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dityayogeshchoudhari/Downloads/capstone project/part-1 project/"/>
    </mc:Choice>
  </mc:AlternateContent>
  <xr:revisionPtr revIDLastSave="0" documentId="8_{CBD62560-1066-034D-B4C3-83703A1D640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leaned_orders" sheetId="1" r:id="rId1"/>
  </sheets>
  <definedNames>
    <definedName name="_xlnm._FilterDatabase" localSheetId="0" hidden="1">cleaned_orders!$A$1:$AG$913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" l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2" i="1"/>
  <c r="AH914" i="1" l="1"/>
  <c r="AH913" i="1"/>
  <c r="AE908" i="1"/>
  <c r="AE909" i="1"/>
  <c r="AE896" i="1"/>
  <c r="AE907" i="1"/>
  <c r="AE871" i="1"/>
  <c r="AE831" i="1"/>
  <c r="AE807" i="1"/>
  <c r="AE759" i="1"/>
  <c r="AE822" i="1"/>
  <c r="AE798" i="1"/>
  <c r="AE758" i="1"/>
  <c r="AE734" i="1"/>
  <c r="AE710" i="1"/>
  <c r="AE694" i="1"/>
  <c r="AE662" i="1"/>
  <c r="AE910" i="1"/>
  <c r="AE902" i="1"/>
  <c r="AE898" i="1"/>
  <c r="AE890" i="1"/>
  <c r="AE882" i="1"/>
  <c r="AE874" i="1"/>
  <c r="AE866" i="1"/>
  <c r="AE858" i="1"/>
  <c r="AE850" i="1"/>
  <c r="AE842" i="1"/>
  <c r="AE834" i="1"/>
  <c r="AE826" i="1"/>
  <c r="AE818" i="1"/>
  <c r="AE810" i="1"/>
  <c r="AE802" i="1"/>
  <c r="AE794" i="1"/>
  <c r="AE786" i="1"/>
  <c r="AE778" i="1"/>
  <c r="AE770" i="1"/>
  <c r="AE762" i="1"/>
  <c r="AE754" i="1"/>
  <c r="AE746" i="1"/>
  <c r="AE738" i="1"/>
  <c r="AE730" i="1"/>
  <c r="AE722" i="1"/>
  <c r="AE714" i="1"/>
  <c r="AE706" i="1"/>
  <c r="AE698" i="1"/>
  <c r="AE690" i="1"/>
  <c r="AE682" i="1"/>
  <c r="AE674" i="1"/>
  <c r="AE666" i="1"/>
  <c r="AE658" i="1"/>
  <c r="AE650" i="1"/>
  <c r="AE642" i="1"/>
  <c r="AE634" i="1"/>
  <c r="AE897" i="1"/>
  <c r="AE889" i="1"/>
  <c r="AE881" i="1"/>
  <c r="AE873" i="1"/>
  <c r="AE865" i="1"/>
  <c r="AE857" i="1"/>
  <c r="AE849" i="1"/>
  <c r="AE841" i="1"/>
  <c r="AE833" i="1"/>
  <c r="AE825" i="1"/>
  <c r="AE817" i="1"/>
  <c r="AE809" i="1"/>
  <c r="AE801" i="1"/>
  <c r="AE793" i="1"/>
  <c r="AE785" i="1"/>
  <c r="AE777" i="1"/>
  <c r="AE769" i="1"/>
  <c r="AE761" i="1"/>
  <c r="AE753" i="1"/>
  <c r="AE745" i="1"/>
  <c r="AE737" i="1"/>
  <c r="AE729" i="1"/>
  <c r="AE721" i="1"/>
  <c r="AE713" i="1"/>
  <c r="AE705" i="1"/>
  <c r="AE697" i="1"/>
  <c r="AE689" i="1"/>
  <c r="AE681" i="1"/>
  <c r="AE673" i="1"/>
  <c r="AE665" i="1"/>
  <c r="AE657" i="1"/>
  <c r="AE649" i="1"/>
  <c r="AE641" i="1"/>
  <c r="AE633" i="1"/>
  <c r="AE625" i="1"/>
  <c r="AE617" i="1"/>
  <c r="AE609" i="1"/>
  <c r="AE601" i="1"/>
  <c r="AE593" i="1"/>
  <c r="AE585" i="1"/>
  <c r="AE577" i="1"/>
  <c r="AE569" i="1"/>
  <c r="AE880" i="1"/>
  <c r="AE840" i="1"/>
  <c r="AE832" i="1"/>
  <c r="AE824" i="1"/>
  <c r="AE816" i="1"/>
  <c r="AE808" i="1"/>
  <c r="AE800" i="1"/>
  <c r="AE792" i="1"/>
  <c r="AE784" i="1"/>
  <c r="AE776" i="1"/>
  <c r="AE768" i="1"/>
  <c r="AE760" i="1"/>
  <c r="AE752" i="1"/>
  <c r="AE744" i="1"/>
  <c r="AE736" i="1"/>
  <c r="AE728" i="1"/>
  <c r="AE720" i="1"/>
  <c r="AE712" i="1"/>
  <c r="AE704" i="1"/>
  <c r="AE696" i="1"/>
  <c r="AE688" i="1"/>
  <c r="AE680" i="1"/>
  <c r="AE672" i="1"/>
  <c r="AE664" i="1"/>
  <c r="AE656" i="1"/>
  <c r="AE648" i="1"/>
  <c r="AE640" i="1"/>
  <c r="AE632" i="1"/>
  <c r="AE624" i="1"/>
  <c r="AE616" i="1"/>
  <c r="AE608" i="1"/>
  <c r="AE600" i="1"/>
  <c r="AE592" i="1"/>
  <c r="AE584" i="1"/>
  <c r="AE576" i="1"/>
  <c r="AE568" i="1"/>
  <c r="AE560" i="1"/>
  <c r="AE552" i="1"/>
  <c r="AE544" i="1"/>
  <c r="AE536" i="1"/>
  <c r="AE528" i="1"/>
  <c r="AE520" i="1"/>
  <c r="AE856" i="1"/>
  <c r="AE887" i="1"/>
  <c r="AE855" i="1"/>
  <c r="AE775" i="1"/>
  <c r="AE727" i="1"/>
  <c r="AE719" i="1"/>
  <c r="AE711" i="1"/>
  <c r="AE703" i="1"/>
  <c r="AE695" i="1"/>
  <c r="AE687" i="1"/>
  <c r="AE679" i="1"/>
  <c r="AE671" i="1"/>
  <c r="AE663" i="1"/>
  <c r="AE655" i="1"/>
  <c r="AE647" i="1"/>
  <c r="AE639" i="1"/>
  <c r="AE631" i="1"/>
  <c r="AE623" i="1"/>
  <c r="AE615" i="1"/>
  <c r="AE607" i="1"/>
  <c r="AE599" i="1"/>
  <c r="AE591" i="1"/>
  <c r="AE583" i="1"/>
  <c r="AE575" i="1"/>
  <c r="AE567" i="1"/>
  <c r="AE559" i="1"/>
  <c r="AE551" i="1"/>
  <c r="AE543" i="1"/>
  <c r="AE535" i="1"/>
  <c r="AE527" i="1"/>
  <c r="AE519" i="1"/>
  <c r="AE511" i="1"/>
  <c r="AE503" i="1"/>
  <c r="AE495" i="1"/>
  <c r="AE487" i="1"/>
  <c r="AE479" i="1"/>
  <c r="AE848" i="1"/>
  <c r="AE863" i="1"/>
  <c r="AE815" i="1"/>
  <c r="AE767" i="1"/>
  <c r="AE2" i="1"/>
  <c r="AE878" i="1"/>
  <c r="AE862" i="1"/>
  <c r="AE838" i="1"/>
  <c r="AE806" i="1"/>
  <c r="AE774" i="1"/>
  <c r="AE766" i="1"/>
  <c r="AE750" i="1"/>
  <c r="AE702" i="1"/>
  <c r="AE686" i="1"/>
  <c r="AE678" i="1"/>
  <c r="AE670" i="1"/>
  <c r="AE654" i="1"/>
  <c r="AE646" i="1"/>
  <c r="AE638" i="1"/>
  <c r="AE630" i="1"/>
  <c r="AE622" i="1"/>
  <c r="AE614" i="1"/>
  <c r="AE606" i="1"/>
  <c r="AE598" i="1"/>
  <c r="AE590" i="1"/>
  <c r="AE582" i="1"/>
  <c r="AE574" i="1"/>
  <c r="AE566" i="1"/>
  <c r="AE558" i="1"/>
  <c r="AE550" i="1"/>
  <c r="AE542" i="1"/>
  <c r="AE534" i="1"/>
  <c r="AE526" i="1"/>
  <c r="AE518" i="1"/>
  <c r="AE510" i="1"/>
  <c r="AE502" i="1"/>
  <c r="AE494" i="1"/>
  <c r="AE486" i="1"/>
  <c r="AE478" i="1"/>
  <c r="AE470" i="1"/>
  <c r="AE462" i="1"/>
  <c r="AE454" i="1"/>
  <c r="AE446" i="1"/>
  <c r="AE872" i="1"/>
  <c r="AE839" i="1"/>
  <c r="AE783" i="1"/>
  <c r="AE743" i="1"/>
  <c r="AE894" i="1"/>
  <c r="AE870" i="1"/>
  <c r="AE854" i="1"/>
  <c r="AE814" i="1"/>
  <c r="AE742" i="1"/>
  <c r="AE913" i="1"/>
  <c r="AE905" i="1"/>
  <c r="AE901" i="1"/>
  <c r="AE893" i="1"/>
  <c r="AE885" i="1"/>
  <c r="AE877" i="1"/>
  <c r="AE869" i="1"/>
  <c r="AE861" i="1"/>
  <c r="AE853" i="1"/>
  <c r="AE845" i="1"/>
  <c r="AE837" i="1"/>
  <c r="AE829" i="1"/>
  <c r="AE821" i="1"/>
  <c r="AE813" i="1"/>
  <c r="AE805" i="1"/>
  <c r="AE797" i="1"/>
  <c r="AE789" i="1"/>
  <c r="AE781" i="1"/>
  <c r="AE773" i="1"/>
  <c r="AE765" i="1"/>
  <c r="AE757" i="1"/>
  <c r="AE749" i="1"/>
  <c r="AE741" i="1"/>
  <c r="AE733" i="1"/>
  <c r="AE725" i="1"/>
  <c r="AE717" i="1"/>
  <c r="AE709" i="1"/>
  <c r="AE701" i="1"/>
  <c r="AE693" i="1"/>
  <c r="AE888" i="1"/>
  <c r="AE879" i="1"/>
  <c r="AE823" i="1"/>
  <c r="AE799" i="1"/>
  <c r="AE751" i="1"/>
  <c r="AE735" i="1"/>
  <c r="AE782" i="1"/>
  <c r="AE718" i="1"/>
  <c r="AE912" i="1"/>
  <c r="AE904" i="1"/>
  <c r="AE900" i="1"/>
  <c r="AE892" i="1"/>
  <c r="AE884" i="1"/>
  <c r="AE876" i="1"/>
  <c r="AE868" i="1"/>
  <c r="AE860" i="1"/>
  <c r="AE852" i="1"/>
  <c r="AE844" i="1"/>
  <c r="AE836" i="1"/>
  <c r="AE828" i="1"/>
  <c r="AE820" i="1"/>
  <c r="AE812" i="1"/>
  <c r="AE804" i="1"/>
  <c r="AE796" i="1"/>
  <c r="AE788" i="1"/>
  <c r="AE780" i="1"/>
  <c r="AE772" i="1"/>
  <c r="AE764" i="1"/>
  <c r="AE756" i="1"/>
  <c r="AE748" i="1"/>
  <c r="AE740" i="1"/>
  <c r="AE732" i="1"/>
  <c r="AE724" i="1"/>
  <c r="AE716" i="1"/>
  <c r="AE708" i="1"/>
  <c r="AE700" i="1"/>
  <c r="AE692" i="1"/>
  <c r="AE684" i="1"/>
  <c r="AE676" i="1"/>
  <c r="AE864" i="1"/>
  <c r="AE895" i="1"/>
  <c r="AE847" i="1"/>
  <c r="AE791" i="1"/>
  <c r="AE906" i="1"/>
  <c r="AE886" i="1"/>
  <c r="AE846" i="1"/>
  <c r="AE830" i="1"/>
  <c r="AE790" i="1"/>
  <c r="AE726" i="1"/>
  <c r="AE911" i="1"/>
  <c r="AE903" i="1"/>
  <c r="AE899" i="1"/>
  <c r="AE891" i="1"/>
  <c r="AE883" i="1"/>
  <c r="AE875" i="1"/>
  <c r="AE867" i="1"/>
  <c r="AE859" i="1"/>
  <c r="AE851" i="1"/>
  <c r="AE843" i="1"/>
  <c r="AE835" i="1"/>
  <c r="AE827" i="1"/>
  <c r="AE819" i="1"/>
  <c r="AE811" i="1"/>
  <c r="AE803" i="1"/>
  <c r="AE795" i="1"/>
  <c r="AE787" i="1"/>
  <c r="AE779" i="1"/>
  <c r="AE771" i="1"/>
  <c r="AE763" i="1"/>
  <c r="AE755" i="1"/>
  <c r="AE747" i="1"/>
  <c r="AE739" i="1"/>
  <c r="AE731" i="1"/>
  <c r="AE723" i="1"/>
  <c r="AE626" i="1"/>
  <c r="AE618" i="1"/>
  <c r="AE610" i="1"/>
  <c r="AE602" i="1"/>
  <c r="AE594" i="1"/>
  <c r="AE586" i="1"/>
  <c r="AE578" i="1"/>
  <c r="AE570" i="1"/>
  <c r="AE562" i="1"/>
  <c r="AE554" i="1"/>
  <c r="AE546" i="1"/>
  <c r="AE538" i="1"/>
  <c r="AE530" i="1"/>
  <c r="AE522" i="1"/>
  <c r="AE514" i="1"/>
  <c r="AE506" i="1"/>
  <c r="AE498" i="1"/>
  <c r="AE490" i="1"/>
  <c r="AE482" i="1"/>
  <c r="AE474" i="1"/>
  <c r="AE466" i="1"/>
  <c r="AE458" i="1"/>
  <c r="AE450" i="1"/>
  <c r="AE442" i="1"/>
  <c r="AE434" i="1"/>
  <c r="AE426" i="1"/>
  <c r="AE418" i="1"/>
  <c r="AE410" i="1"/>
  <c r="AE402" i="1"/>
  <c r="AE394" i="1"/>
  <c r="AE386" i="1"/>
  <c r="AE378" i="1"/>
  <c r="AE370" i="1"/>
  <c r="AE362" i="1"/>
  <c r="AE354" i="1"/>
  <c r="AE346" i="1"/>
  <c r="AE338" i="1"/>
  <c r="AE330" i="1"/>
  <c r="AE322" i="1"/>
  <c r="AE314" i="1"/>
  <c r="AE306" i="1"/>
  <c r="AE298" i="1"/>
  <c r="AE290" i="1"/>
  <c r="AE282" i="1"/>
  <c r="AE274" i="1"/>
  <c r="AE266" i="1"/>
  <c r="AE258" i="1"/>
  <c r="AE250" i="1"/>
  <c r="AE242" i="1"/>
  <c r="AE234" i="1"/>
  <c r="AE226" i="1"/>
  <c r="AE218" i="1"/>
  <c r="AE210" i="1"/>
  <c r="AE202" i="1"/>
  <c r="AE194" i="1"/>
  <c r="AE186" i="1"/>
  <c r="AE178" i="1"/>
  <c r="AE170" i="1"/>
  <c r="AE162" i="1"/>
  <c r="AE154" i="1"/>
  <c r="AE146" i="1"/>
  <c r="AE138" i="1"/>
  <c r="AE130" i="1"/>
  <c r="AE122" i="1"/>
  <c r="AE114" i="1"/>
  <c r="AE106" i="1"/>
  <c r="AE98" i="1"/>
  <c r="AE90" i="1"/>
  <c r="AE82" i="1"/>
  <c r="AE74" i="1"/>
  <c r="AE66" i="1"/>
  <c r="AE58" i="1"/>
  <c r="AE50" i="1"/>
  <c r="AE42" i="1"/>
  <c r="AE34" i="1"/>
  <c r="AE26" i="1"/>
  <c r="AE18" i="1"/>
  <c r="AE561" i="1"/>
  <c r="AE553" i="1"/>
  <c r="AE545" i="1"/>
  <c r="AE537" i="1"/>
  <c r="AE529" i="1"/>
  <c r="AE521" i="1"/>
  <c r="AE513" i="1"/>
  <c r="AE505" i="1"/>
  <c r="AE497" i="1"/>
  <c r="AE489" i="1"/>
  <c r="AE481" i="1"/>
  <c r="AE473" i="1"/>
  <c r="AE465" i="1"/>
  <c r="AE457" i="1"/>
  <c r="AE449" i="1"/>
  <c r="AE441" i="1"/>
  <c r="AE433" i="1"/>
  <c r="AE425" i="1"/>
  <c r="AE417" i="1"/>
  <c r="AE409" i="1"/>
  <c r="AE401" i="1"/>
  <c r="AE393" i="1"/>
  <c r="AE385" i="1"/>
  <c r="AE377" i="1"/>
  <c r="AE369" i="1"/>
  <c r="AE361" i="1"/>
  <c r="AE353" i="1"/>
  <c r="AE345" i="1"/>
  <c r="AE337" i="1"/>
  <c r="AE329" i="1"/>
  <c r="AE321" i="1"/>
  <c r="AE313" i="1"/>
  <c r="AE305" i="1"/>
  <c r="AE297" i="1"/>
  <c r="AE289" i="1"/>
  <c r="AE281" i="1"/>
  <c r="AE273" i="1"/>
  <c r="AE265" i="1"/>
  <c r="AE257" i="1"/>
  <c r="AE249" i="1"/>
  <c r="AE241" i="1"/>
  <c r="AE233" i="1"/>
  <c r="AE225" i="1"/>
  <c r="AE217" i="1"/>
  <c r="AE209" i="1"/>
  <c r="AE201" i="1"/>
  <c r="AE193" i="1"/>
  <c r="AE185" i="1"/>
  <c r="AE177" i="1"/>
  <c r="AE169" i="1"/>
  <c r="AE161" i="1"/>
  <c r="AE153" i="1"/>
  <c r="AE145" i="1"/>
  <c r="AE137" i="1"/>
  <c r="AE129" i="1"/>
  <c r="AE121" i="1"/>
  <c r="AE113" i="1"/>
  <c r="AE105" i="1"/>
  <c r="AE97" i="1"/>
  <c r="AE89" i="1"/>
  <c r="AE81" i="1"/>
  <c r="AE73" i="1"/>
  <c r="AE65" i="1"/>
  <c r="AE512" i="1"/>
  <c r="AE504" i="1"/>
  <c r="AE496" i="1"/>
  <c r="AE488" i="1"/>
  <c r="AE480" i="1"/>
  <c r="AE472" i="1"/>
  <c r="AE464" i="1"/>
  <c r="AE456" i="1"/>
  <c r="AE448" i="1"/>
  <c r="AE440" i="1"/>
  <c r="AE432" i="1"/>
  <c r="AE424" i="1"/>
  <c r="AE416" i="1"/>
  <c r="AE408" i="1"/>
  <c r="AE400" i="1"/>
  <c r="AE392" i="1"/>
  <c r="AE384" i="1"/>
  <c r="AE376" i="1"/>
  <c r="AE368" i="1"/>
  <c r="AE360" i="1"/>
  <c r="AE352" i="1"/>
  <c r="AE344" i="1"/>
  <c r="AE336" i="1"/>
  <c r="AE328" i="1"/>
  <c r="AE320" i="1"/>
  <c r="AE312" i="1"/>
  <c r="AE304" i="1"/>
  <c r="AE296" i="1"/>
  <c r="AE288" i="1"/>
  <c r="AE280" i="1"/>
  <c r="AE272" i="1"/>
  <c r="AE264" i="1"/>
  <c r="AE256" i="1"/>
  <c r="AE248" i="1"/>
  <c r="AE240" i="1"/>
  <c r="AE232" i="1"/>
  <c r="AE224" i="1"/>
  <c r="AE216" i="1"/>
  <c r="AE208" i="1"/>
  <c r="AE200" i="1"/>
  <c r="AE192" i="1"/>
  <c r="AE184" i="1"/>
  <c r="AE176" i="1"/>
  <c r="AE168" i="1"/>
  <c r="AE160" i="1"/>
  <c r="AE152" i="1"/>
  <c r="AE144" i="1"/>
  <c r="AE136" i="1"/>
  <c r="AE128" i="1"/>
  <c r="AE120" i="1"/>
  <c r="AE112" i="1"/>
  <c r="AE104" i="1"/>
  <c r="AE96" i="1"/>
  <c r="AE88" i="1"/>
  <c r="AE80" i="1"/>
  <c r="AE72" i="1"/>
  <c r="AE64" i="1"/>
  <c r="AE56" i="1"/>
  <c r="AE48" i="1"/>
  <c r="AE471" i="1"/>
  <c r="AE463" i="1"/>
  <c r="AE455" i="1"/>
  <c r="AE447" i="1"/>
  <c r="AE439" i="1"/>
  <c r="AE431" i="1"/>
  <c r="AE423" i="1"/>
  <c r="AE415" i="1"/>
  <c r="AE407" i="1"/>
  <c r="AE399" i="1"/>
  <c r="AE391" i="1"/>
  <c r="AE383" i="1"/>
  <c r="AE375" i="1"/>
  <c r="AE367" i="1"/>
  <c r="AE359" i="1"/>
  <c r="AE351" i="1"/>
  <c r="AE343" i="1"/>
  <c r="AE335" i="1"/>
  <c r="AE327" i="1"/>
  <c r="AE319" i="1"/>
  <c r="AE311" i="1"/>
  <c r="AE303" i="1"/>
  <c r="AE295" i="1"/>
  <c r="AE287" i="1"/>
  <c r="AE279" i="1"/>
  <c r="AE271" i="1"/>
  <c r="AE263" i="1"/>
  <c r="AE255" i="1"/>
  <c r="AE247" i="1"/>
  <c r="AE239" i="1"/>
  <c r="AE231" i="1"/>
  <c r="AE223" i="1"/>
  <c r="AE215" i="1"/>
  <c r="AE207" i="1"/>
  <c r="AE199" i="1"/>
  <c r="AE191" i="1"/>
  <c r="AE183" i="1"/>
  <c r="AE175" i="1"/>
  <c r="AE167" i="1"/>
  <c r="AE159" i="1"/>
  <c r="AE151" i="1"/>
  <c r="AE143" i="1"/>
  <c r="AE135" i="1"/>
  <c r="AE127" i="1"/>
  <c r="AE119" i="1"/>
  <c r="AE111" i="1"/>
  <c r="AE103" i="1"/>
  <c r="AE95" i="1"/>
  <c r="AE87" i="1"/>
  <c r="AE79" i="1"/>
  <c r="AE71" i="1"/>
  <c r="AE63" i="1"/>
  <c r="AE438" i="1"/>
  <c r="AE430" i="1"/>
  <c r="AE422" i="1"/>
  <c r="AE414" i="1"/>
  <c r="AE406" i="1"/>
  <c r="AE398" i="1"/>
  <c r="AE390" i="1"/>
  <c r="AE382" i="1"/>
  <c r="AE374" i="1"/>
  <c r="AE366" i="1"/>
  <c r="AE358" i="1"/>
  <c r="AE350" i="1"/>
  <c r="AE342" i="1"/>
  <c r="AE334" i="1"/>
  <c r="AE326" i="1"/>
  <c r="AE318" i="1"/>
  <c r="AE310" i="1"/>
  <c r="AE302" i="1"/>
  <c r="AE294" i="1"/>
  <c r="AE286" i="1"/>
  <c r="AE278" i="1"/>
  <c r="AE270" i="1"/>
  <c r="AE262" i="1"/>
  <c r="AE254" i="1"/>
  <c r="AE246" i="1"/>
  <c r="AE238" i="1"/>
  <c r="AE230" i="1"/>
  <c r="AE222" i="1"/>
  <c r="AE214" i="1"/>
  <c r="AE206" i="1"/>
  <c r="AE198" i="1"/>
  <c r="AE190" i="1"/>
  <c r="AE182" i="1"/>
  <c r="AE174" i="1"/>
  <c r="AE166" i="1"/>
  <c r="AE158" i="1"/>
  <c r="AE150" i="1"/>
  <c r="AE142" i="1"/>
  <c r="AE134" i="1"/>
  <c r="AE126" i="1"/>
  <c r="AE118" i="1"/>
  <c r="AE110" i="1"/>
  <c r="AE102" i="1"/>
  <c r="AE94" i="1"/>
  <c r="AE86" i="1"/>
  <c r="AE78" i="1"/>
  <c r="AE70" i="1"/>
  <c r="AE62" i="1"/>
  <c r="AE685" i="1"/>
  <c r="AE677" i="1"/>
  <c r="AE669" i="1"/>
  <c r="AE661" i="1"/>
  <c r="AE653" i="1"/>
  <c r="AE645" i="1"/>
  <c r="AE637" i="1"/>
  <c r="AE629" i="1"/>
  <c r="AE621" i="1"/>
  <c r="AE613" i="1"/>
  <c r="AE605" i="1"/>
  <c r="AE597" i="1"/>
  <c r="AE589" i="1"/>
  <c r="AE581" i="1"/>
  <c r="AE573" i="1"/>
  <c r="AE565" i="1"/>
  <c r="AE557" i="1"/>
  <c r="AE549" i="1"/>
  <c r="AE541" i="1"/>
  <c r="AE533" i="1"/>
  <c r="AE525" i="1"/>
  <c r="AE517" i="1"/>
  <c r="AE509" i="1"/>
  <c r="AE501" i="1"/>
  <c r="AE493" i="1"/>
  <c r="AE485" i="1"/>
  <c r="AE477" i="1"/>
  <c r="AE469" i="1"/>
  <c r="AE461" i="1"/>
  <c r="AE453" i="1"/>
  <c r="AE445" i="1"/>
  <c r="AE437" i="1"/>
  <c r="AE429" i="1"/>
  <c r="AE421" i="1"/>
  <c r="AE413" i="1"/>
  <c r="AE405" i="1"/>
  <c r="AE397" i="1"/>
  <c r="AE389" i="1"/>
  <c r="AE381" i="1"/>
  <c r="AE373" i="1"/>
  <c r="AE365" i="1"/>
  <c r="AE357" i="1"/>
  <c r="AE349" i="1"/>
  <c r="AE341" i="1"/>
  <c r="AE333" i="1"/>
  <c r="AE325" i="1"/>
  <c r="AE317" i="1"/>
  <c r="AE309" i="1"/>
  <c r="AE301" i="1"/>
  <c r="AE293" i="1"/>
  <c r="AE285" i="1"/>
  <c r="AE277" i="1"/>
  <c r="AE269" i="1"/>
  <c r="AE261" i="1"/>
  <c r="AE253" i="1"/>
  <c r="AE245" i="1"/>
  <c r="AE237" i="1"/>
  <c r="AE229" i="1"/>
  <c r="AE221" i="1"/>
  <c r="AE213" i="1"/>
  <c r="AE205" i="1"/>
  <c r="AE197" i="1"/>
  <c r="AE189" i="1"/>
  <c r="AE181" i="1"/>
  <c r="AE173" i="1"/>
  <c r="AE165" i="1"/>
  <c r="AE157" i="1"/>
  <c r="AE149" i="1"/>
  <c r="AE141" i="1"/>
  <c r="AE133" i="1"/>
  <c r="AE125" i="1"/>
  <c r="AE117" i="1"/>
  <c r="AE109" i="1"/>
  <c r="AE101" i="1"/>
  <c r="AE93" i="1"/>
  <c r="AE85" i="1"/>
  <c r="AE77" i="1"/>
  <c r="AE69" i="1"/>
  <c r="AE61" i="1"/>
  <c r="AE53" i="1"/>
  <c r="AE45" i="1"/>
  <c r="AE37" i="1"/>
  <c r="AE29" i="1"/>
  <c r="AE21" i="1"/>
  <c r="AE13" i="1"/>
  <c r="AE668" i="1"/>
  <c r="AE660" i="1"/>
  <c r="AE652" i="1"/>
  <c r="AE644" i="1"/>
  <c r="AE636" i="1"/>
  <c r="AE628" i="1"/>
  <c r="AE620" i="1"/>
  <c r="AE612" i="1"/>
  <c r="AE604" i="1"/>
  <c r="AE596" i="1"/>
  <c r="AE588" i="1"/>
  <c r="AE580" i="1"/>
  <c r="AE572" i="1"/>
  <c r="AE564" i="1"/>
  <c r="AE556" i="1"/>
  <c r="AE548" i="1"/>
  <c r="AE540" i="1"/>
  <c r="AE532" i="1"/>
  <c r="AE524" i="1"/>
  <c r="AE516" i="1"/>
  <c r="AE508" i="1"/>
  <c r="AE500" i="1"/>
  <c r="AE492" i="1"/>
  <c r="AE484" i="1"/>
  <c r="AE476" i="1"/>
  <c r="AE468" i="1"/>
  <c r="AE460" i="1"/>
  <c r="AE452" i="1"/>
  <c r="AE444" i="1"/>
  <c r="AE436" i="1"/>
  <c r="AE428" i="1"/>
  <c r="AE420" i="1"/>
  <c r="AE412" i="1"/>
  <c r="AE404" i="1"/>
  <c r="AE396" i="1"/>
  <c r="AE388" i="1"/>
  <c r="AE380" i="1"/>
  <c r="AE372" i="1"/>
  <c r="AE364" i="1"/>
  <c r="AE356" i="1"/>
  <c r="AE348" i="1"/>
  <c r="AE340" i="1"/>
  <c r="AE332" i="1"/>
  <c r="AE324" i="1"/>
  <c r="AE316" i="1"/>
  <c r="AE308" i="1"/>
  <c r="AE300" i="1"/>
  <c r="AE292" i="1"/>
  <c r="AE284" i="1"/>
  <c r="AE276" i="1"/>
  <c r="AE268" i="1"/>
  <c r="AE260" i="1"/>
  <c r="AE252" i="1"/>
  <c r="AE244" i="1"/>
  <c r="AE236" i="1"/>
  <c r="AE228" i="1"/>
  <c r="AE220" i="1"/>
  <c r="AE212" i="1"/>
  <c r="AE204" i="1"/>
  <c r="AE196" i="1"/>
  <c r="AE188" i="1"/>
  <c r="AE180" i="1"/>
  <c r="AE172" i="1"/>
  <c r="AE164" i="1"/>
  <c r="AE156" i="1"/>
  <c r="AE148" i="1"/>
  <c r="AE140" i="1"/>
  <c r="AE132" i="1"/>
  <c r="AE124" i="1"/>
  <c r="AE116" i="1"/>
  <c r="AE108" i="1"/>
  <c r="AE100" i="1"/>
  <c r="AE92" i="1"/>
  <c r="AE84" i="1"/>
  <c r="AE76" i="1"/>
  <c r="AE68" i="1"/>
  <c r="AE60" i="1"/>
  <c r="AE52" i="1"/>
  <c r="AE44" i="1"/>
  <c r="AE36" i="1"/>
  <c r="AE28" i="1"/>
  <c r="AE20" i="1"/>
  <c r="AE12" i="1"/>
  <c r="AE715" i="1"/>
  <c r="AE707" i="1"/>
  <c r="AE699" i="1"/>
  <c r="AE691" i="1"/>
  <c r="AE683" i="1"/>
  <c r="AE675" i="1"/>
  <c r="AE667" i="1"/>
  <c r="AE659" i="1"/>
  <c r="AE651" i="1"/>
  <c r="AE643" i="1"/>
  <c r="AE635" i="1"/>
  <c r="AE627" i="1"/>
  <c r="AE619" i="1"/>
  <c r="AE611" i="1"/>
  <c r="AE603" i="1"/>
  <c r="AE595" i="1"/>
  <c r="AE587" i="1"/>
  <c r="AE579" i="1"/>
  <c r="AE571" i="1"/>
  <c r="AE563" i="1"/>
  <c r="AE555" i="1"/>
  <c r="AE547" i="1"/>
  <c r="AE539" i="1"/>
  <c r="AE531" i="1"/>
  <c r="AE523" i="1"/>
  <c r="AE515" i="1"/>
  <c r="AE507" i="1"/>
  <c r="AE499" i="1"/>
  <c r="AE491" i="1"/>
  <c r="AE483" i="1"/>
  <c r="AE475" i="1"/>
  <c r="AE467" i="1"/>
  <c r="AE459" i="1"/>
  <c r="AE451" i="1"/>
  <c r="AE443" i="1"/>
  <c r="AE435" i="1"/>
  <c r="AE427" i="1"/>
  <c r="AE419" i="1"/>
  <c r="AE411" i="1"/>
  <c r="AE403" i="1"/>
  <c r="AE395" i="1"/>
  <c r="AE387" i="1"/>
  <c r="AE379" i="1"/>
  <c r="AE371" i="1"/>
  <c r="AE363" i="1"/>
  <c r="AE355" i="1"/>
  <c r="AE347" i="1"/>
  <c r="AE339" i="1"/>
  <c r="AE331" i="1"/>
  <c r="AE323" i="1"/>
  <c r="AE315" i="1"/>
  <c r="AE307" i="1"/>
  <c r="AE299" i="1"/>
  <c r="AE291" i="1"/>
  <c r="AE283" i="1"/>
  <c r="AE275" i="1"/>
  <c r="AE267" i="1"/>
  <c r="AE259" i="1"/>
  <c r="AE251" i="1"/>
  <c r="AE243" i="1"/>
  <c r="AE235" i="1"/>
  <c r="AE227" i="1"/>
  <c r="AE219" i="1"/>
  <c r="AE211" i="1"/>
  <c r="AE203" i="1"/>
  <c r="AE195" i="1"/>
  <c r="AE187" i="1"/>
  <c r="AE179" i="1"/>
  <c r="AE171" i="1"/>
  <c r="AE163" i="1"/>
  <c r="AE155" i="1"/>
  <c r="AE147" i="1"/>
  <c r="AE139" i="1"/>
  <c r="AE131" i="1"/>
  <c r="AE123" i="1"/>
  <c r="AE115" i="1"/>
  <c r="AE4" i="1"/>
  <c r="AE107" i="1"/>
  <c r="AE99" i="1"/>
  <c r="AE91" i="1"/>
  <c r="AE83" i="1"/>
  <c r="AE75" i="1"/>
  <c r="AE67" i="1"/>
  <c r="AE59" i="1"/>
  <c r="AE51" i="1"/>
  <c r="AE43" i="1"/>
  <c r="AE35" i="1"/>
  <c r="AE27" i="1"/>
  <c r="AE19" i="1"/>
  <c r="AE11" i="1"/>
  <c r="AE3" i="1"/>
  <c r="AE10" i="1"/>
  <c r="AE57" i="1"/>
  <c r="AE49" i="1"/>
  <c r="AE41" i="1"/>
  <c r="AE33" i="1"/>
  <c r="AE25" i="1"/>
  <c r="AE17" i="1"/>
  <c r="AE9" i="1"/>
  <c r="AE40" i="1"/>
  <c r="AE32" i="1"/>
  <c r="AE24" i="1"/>
  <c r="AE16" i="1"/>
  <c r="AE8" i="1"/>
  <c r="AE55" i="1"/>
  <c r="AE47" i="1"/>
  <c r="AE39" i="1"/>
  <c r="AE31" i="1"/>
  <c r="AE23" i="1"/>
  <c r="AE15" i="1"/>
  <c r="AE7" i="1"/>
  <c r="AE54" i="1"/>
  <c r="AE46" i="1"/>
  <c r="AE38" i="1"/>
  <c r="AE30" i="1"/>
  <c r="AE22" i="1"/>
  <c r="AE14" i="1"/>
  <c r="AE6" i="1"/>
  <c r="AE5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2" i="1"/>
  <c r="Z3" i="1"/>
  <c r="AA3" i="1" s="1"/>
  <c r="AA4" i="1"/>
  <c r="Z5" i="1"/>
  <c r="AA5" i="1" s="1"/>
  <c r="Z6" i="1"/>
  <c r="AA6" i="1" s="1"/>
  <c r="Z7" i="1"/>
  <c r="AA7" i="1" s="1"/>
  <c r="Z8" i="1"/>
  <c r="AA8" i="1" s="1"/>
  <c r="Z9" i="1"/>
  <c r="AA9" i="1" s="1"/>
  <c r="Z10" i="1"/>
  <c r="AA10" i="1" s="1"/>
  <c r="Z11" i="1"/>
  <c r="AA11" i="1" s="1"/>
  <c r="Z12" i="1"/>
  <c r="AA12" i="1" s="1"/>
  <c r="Z13" i="1"/>
  <c r="AA13" i="1" s="1"/>
  <c r="Z14" i="1"/>
  <c r="AA14" i="1" s="1"/>
  <c r="Z15" i="1"/>
  <c r="AA15" i="1" s="1"/>
  <c r="Z16" i="1"/>
  <c r="AA16" i="1" s="1"/>
  <c r="Z17" i="1"/>
  <c r="AA17" i="1" s="1"/>
  <c r="Z18" i="1"/>
  <c r="AA18" i="1" s="1"/>
  <c r="Z19" i="1"/>
  <c r="AA19" i="1" s="1"/>
  <c r="Z20" i="1"/>
  <c r="AA20" i="1" s="1"/>
  <c r="Z21" i="1"/>
  <c r="AA21" i="1" s="1"/>
  <c r="Z22" i="1"/>
  <c r="AA22" i="1" s="1"/>
  <c r="Z23" i="1"/>
  <c r="AA23" i="1" s="1"/>
  <c r="Z24" i="1"/>
  <c r="AA24" i="1" s="1"/>
  <c r="Z25" i="1"/>
  <c r="AA25" i="1" s="1"/>
  <c r="Z26" i="1"/>
  <c r="AA26" i="1" s="1"/>
  <c r="Z27" i="1"/>
  <c r="AA27" i="1" s="1"/>
  <c r="Z28" i="1"/>
  <c r="AA28" i="1" s="1"/>
  <c r="Z29" i="1"/>
  <c r="AA29" i="1" s="1"/>
  <c r="Z30" i="1"/>
  <c r="AA30" i="1" s="1"/>
  <c r="Z31" i="1"/>
  <c r="AA31" i="1" s="1"/>
  <c r="Z32" i="1"/>
  <c r="AA32" i="1" s="1"/>
  <c r="Z33" i="1"/>
  <c r="AA33" i="1" s="1"/>
  <c r="Z34" i="1"/>
  <c r="AA34" i="1" s="1"/>
  <c r="Z35" i="1"/>
  <c r="AA35" i="1" s="1"/>
  <c r="Z36" i="1"/>
  <c r="AA36" i="1" s="1"/>
  <c r="Z37" i="1"/>
  <c r="AA37" i="1" s="1"/>
  <c r="Z38" i="1"/>
  <c r="AA38" i="1" s="1"/>
  <c r="Z39" i="1"/>
  <c r="AA39" i="1" s="1"/>
  <c r="Z40" i="1"/>
  <c r="AA40" i="1" s="1"/>
  <c r="Z41" i="1"/>
  <c r="AA41" i="1" s="1"/>
  <c r="Z42" i="1"/>
  <c r="AA42" i="1" s="1"/>
  <c r="Z43" i="1"/>
  <c r="AA43" i="1" s="1"/>
  <c r="Z44" i="1"/>
  <c r="AA44" i="1" s="1"/>
  <c r="Z45" i="1"/>
  <c r="AA45" i="1" s="1"/>
  <c r="Z46" i="1"/>
  <c r="AA46" i="1" s="1"/>
  <c r="Z47" i="1"/>
  <c r="AA47" i="1" s="1"/>
  <c r="Z48" i="1"/>
  <c r="AA48" i="1" s="1"/>
  <c r="Z49" i="1"/>
  <c r="AA49" i="1" s="1"/>
  <c r="Z50" i="1"/>
  <c r="AA50" i="1" s="1"/>
  <c r="Z51" i="1"/>
  <c r="AA51" i="1" s="1"/>
  <c r="Z52" i="1"/>
  <c r="AA52" i="1" s="1"/>
  <c r="Z53" i="1"/>
  <c r="AA53" i="1" s="1"/>
  <c r="Z54" i="1"/>
  <c r="AA54" i="1" s="1"/>
  <c r="Z55" i="1"/>
  <c r="AA55" i="1" s="1"/>
  <c r="Z56" i="1"/>
  <c r="AA56" i="1" s="1"/>
  <c r="Z57" i="1"/>
  <c r="AA57" i="1" s="1"/>
  <c r="Z58" i="1"/>
  <c r="AA58" i="1" s="1"/>
  <c r="Z59" i="1"/>
  <c r="AA59" i="1" s="1"/>
  <c r="Z60" i="1"/>
  <c r="AA60" i="1" s="1"/>
  <c r="Z61" i="1"/>
  <c r="AA61" i="1" s="1"/>
  <c r="Z62" i="1"/>
  <c r="AA62" i="1" s="1"/>
  <c r="Z63" i="1"/>
  <c r="AA63" i="1" s="1"/>
  <c r="Z64" i="1"/>
  <c r="AA64" i="1" s="1"/>
  <c r="Z65" i="1"/>
  <c r="AA65" i="1" s="1"/>
  <c r="Z66" i="1"/>
  <c r="AA66" i="1" s="1"/>
  <c r="Z67" i="1"/>
  <c r="AA67" i="1" s="1"/>
  <c r="Z68" i="1"/>
  <c r="AA68" i="1" s="1"/>
  <c r="Z69" i="1"/>
  <c r="AA69" i="1" s="1"/>
  <c r="Z70" i="1"/>
  <c r="AA70" i="1" s="1"/>
  <c r="Z71" i="1"/>
  <c r="AA71" i="1" s="1"/>
  <c r="Z72" i="1"/>
  <c r="AA72" i="1" s="1"/>
  <c r="Z73" i="1"/>
  <c r="AA73" i="1" s="1"/>
  <c r="Z74" i="1"/>
  <c r="AA74" i="1" s="1"/>
  <c r="Z75" i="1"/>
  <c r="AA75" i="1" s="1"/>
  <c r="Z76" i="1"/>
  <c r="AA76" i="1" s="1"/>
  <c r="Z77" i="1"/>
  <c r="AA77" i="1" s="1"/>
  <c r="Z78" i="1"/>
  <c r="AA78" i="1" s="1"/>
  <c r="Z79" i="1"/>
  <c r="AA79" i="1" s="1"/>
  <c r="Z80" i="1"/>
  <c r="AA80" i="1" s="1"/>
  <c r="Z81" i="1"/>
  <c r="AA81" i="1" s="1"/>
  <c r="Z82" i="1"/>
  <c r="AA82" i="1" s="1"/>
  <c r="Z83" i="1"/>
  <c r="AA83" i="1" s="1"/>
  <c r="Z84" i="1"/>
  <c r="AA84" i="1" s="1"/>
  <c r="Z85" i="1"/>
  <c r="AA85" i="1" s="1"/>
  <c r="Z86" i="1"/>
  <c r="AA86" i="1" s="1"/>
  <c r="Z87" i="1"/>
  <c r="AA87" i="1" s="1"/>
  <c r="Z88" i="1"/>
  <c r="AA88" i="1" s="1"/>
  <c r="Z89" i="1"/>
  <c r="AA89" i="1" s="1"/>
  <c r="Z90" i="1"/>
  <c r="AA90" i="1" s="1"/>
  <c r="Z91" i="1"/>
  <c r="AA91" i="1" s="1"/>
  <c r="Z92" i="1"/>
  <c r="AA92" i="1" s="1"/>
  <c r="Z93" i="1"/>
  <c r="AA93" i="1" s="1"/>
  <c r="Z94" i="1"/>
  <c r="AA94" i="1" s="1"/>
  <c r="Z95" i="1"/>
  <c r="AA95" i="1" s="1"/>
  <c r="Z96" i="1"/>
  <c r="AA96" i="1" s="1"/>
  <c r="Z97" i="1"/>
  <c r="AA97" i="1" s="1"/>
  <c r="Z98" i="1"/>
  <c r="AA98" i="1" s="1"/>
  <c r="Z99" i="1"/>
  <c r="AA99" i="1" s="1"/>
  <c r="Z100" i="1"/>
  <c r="AA100" i="1" s="1"/>
  <c r="Z101" i="1"/>
  <c r="AA101" i="1" s="1"/>
  <c r="Z102" i="1"/>
  <c r="AA102" i="1" s="1"/>
  <c r="Z103" i="1"/>
  <c r="AA103" i="1" s="1"/>
  <c r="Z104" i="1"/>
  <c r="AA104" i="1" s="1"/>
  <c r="Z105" i="1"/>
  <c r="AA105" i="1" s="1"/>
  <c r="Z106" i="1"/>
  <c r="AA106" i="1" s="1"/>
  <c r="Z107" i="1"/>
  <c r="AA107" i="1" s="1"/>
  <c r="Z108" i="1"/>
  <c r="AA108" i="1" s="1"/>
  <c r="Z109" i="1"/>
  <c r="AA109" i="1" s="1"/>
  <c r="Z110" i="1"/>
  <c r="AA110" i="1" s="1"/>
  <c r="Z111" i="1"/>
  <c r="AA111" i="1" s="1"/>
  <c r="Z112" i="1"/>
  <c r="AA112" i="1" s="1"/>
  <c r="Z113" i="1"/>
  <c r="AA113" i="1" s="1"/>
  <c r="Z114" i="1"/>
  <c r="AA114" i="1" s="1"/>
  <c r="Z115" i="1"/>
  <c r="AA115" i="1" s="1"/>
  <c r="Z116" i="1"/>
  <c r="AA116" i="1" s="1"/>
  <c r="Z117" i="1"/>
  <c r="AA117" i="1" s="1"/>
  <c r="Z118" i="1"/>
  <c r="AA118" i="1" s="1"/>
  <c r="Z119" i="1"/>
  <c r="AA119" i="1" s="1"/>
  <c r="Z120" i="1"/>
  <c r="AA120" i="1" s="1"/>
  <c r="Z121" i="1"/>
  <c r="AA121" i="1" s="1"/>
  <c r="Z122" i="1"/>
  <c r="AA122" i="1" s="1"/>
  <c r="Z123" i="1"/>
  <c r="AA123" i="1" s="1"/>
  <c r="Z124" i="1"/>
  <c r="AA124" i="1" s="1"/>
  <c r="Z125" i="1"/>
  <c r="AA125" i="1" s="1"/>
  <c r="Z126" i="1"/>
  <c r="AA126" i="1" s="1"/>
  <c r="Z127" i="1"/>
  <c r="AA127" i="1" s="1"/>
  <c r="Z128" i="1"/>
  <c r="AA128" i="1" s="1"/>
  <c r="Z129" i="1"/>
  <c r="AA129" i="1" s="1"/>
  <c r="Z130" i="1"/>
  <c r="AA130" i="1" s="1"/>
  <c r="Z131" i="1"/>
  <c r="AA131" i="1" s="1"/>
  <c r="Z132" i="1"/>
  <c r="AA132" i="1" s="1"/>
  <c r="Z133" i="1"/>
  <c r="AA133" i="1" s="1"/>
  <c r="Z134" i="1"/>
  <c r="AA134" i="1" s="1"/>
  <c r="Z135" i="1"/>
  <c r="AA135" i="1" s="1"/>
  <c r="Z136" i="1"/>
  <c r="AA136" i="1" s="1"/>
  <c r="Z137" i="1"/>
  <c r="AA137" i="1" s="1"/>
  <c r="Z138" i="1"/>
  <c r="AA138" i="1" s="1"/>
  <c r="Z139" i="1"/>
  <c r="AA139" i="1" s="1"/>
  <c r="Z140" i="1"/>
  <c r="AA140" i="1" s="1"/>
  <c r="Z141" i="1"/>
  <c r="AA141" i="1" s="1"/>
  <c r="Z142" i="1"/>
  <c r="AA142" i="1" s="1"/>
  <c r="Z143" i="1"/>
  <c r="AA143" i="1" s="1"/>
  <c r="Z144" i="1"/>
  <c r="AA144" i="1" s="1"/>
  <c r="Z145" i="1"/>
  <c r="AA145" i="1" s="1"/>
  <c r="Z146" i="1"/>
  <c r="AA146" i="1" s="1"/>
  <c r="Z147" i="1"/>
  <c r="AA147" i="1" s="1"/>
  <c r="Z148" i="1"/>
  <c r="AA148" i="1" s="1"/>
  <c r="Z149" i="1"/>
  <c r="AA149" i="1" s="1"/>
  <c r="Z150" i="1"/>
  <c r="AA150" i="1" s="1"/>
  <c r="Z151" i="1"/>
  <c r="AA151" i="1" s="1"/>
  <c r="Z152" i="1"/>
  <c r="AA152" i="1" s="1"/>
  <c r="Z153" i="1"/>
  <c r="AA153" i="1" s="1"/>
  <c r="Z154" i="1"/>
  <c r="AA154" i="1" s="1"/>
  <c r="Z155" i="1"/>
  <c r="AA155" i="1" s="1"/>
  <c r="Z156" i="1"/>
  <c r="AA156" i="1" s="1"/>
  <c r="Z157" i="1"/>
  <c r="AA157" i="1" s="1"/>
  <c r="Z158" i="1"/>
  <c r="AA158" i="1" s="1"/>
  <c r="Z159" i="1"/>
  <c r="AA159" i="1" s="1"/>
  <c r="Z160" i="1"/>
  <c r="AA160" i="1" s="1"/>
  <c r="Z161" i="1"/>
  <c r="AA161" i="1" s="1"/>
  <c r="Z162" i="1"/>
  <c r="AA162" i="1" s="1"/>
  <c r="Z163" i="1"/>
  <c r="AA163" i="1" s="1"/>
  <c r="Z164" i="1"/>
  <c r="AA164" i="1" s="1"/>
  <c r="Z165" i="1"/>
  <c r="AA165" i="1" s="1"/>
  <c r="Z166" i="1"/>
  <c r="AA166" i="1" s="1"/>
  <c r="Z167" i="1"/>
  <c r="AA167" i="1" s="1"/>
  <c r="Z168" i="1"/>
  <c r="AA168" i="1" s="1"/>
  <c r="Z169" i="1"/>
  <c r="AA169" i="1" s="1"/>
  <c r="Z170" i="1"/>
  <c r="AA170" i="1" s="1"/>
  <c r="Z171" i="1"/>
  <c r="AA171" i="1" s="1"/>
  <c r="Z172" i="1"/>
  <c r="AA172" i="1" s="1"/>
  <c r="Z173" i="1"/>
  <c r="AA173" i="1" s="1"/>
  <c r="Z174" i="1"/>
  <c r="AA174" i="1" s="1"/>
  <c r="Z175" i="1"/>
  <c r="AA175" i="1" s="1"/>
  <c r="Z176" i="1"/>
  <c r="AA176" i="1" s="1"/>
  <c r="Z177" i="1"/>
  <c r="AA177" i="1" s="1"/>
  <c r="Z178" i="1"/>
  <c r="AA178" i="1" s="1"/>
  <c r="Z179" i="1"/>
  <c r="AA179" i="1" s="1"/>
  <c r="Z180" i="1"/>
  <c r="AA180" i="1" s="1"/>
  <c r="Z181" i="1"/>
  <c r="AA181" i="1" s="1"/>
  <c r="Z182" i="1"/>
  <c r="AA182" i="1" s="1"/>
  <c r="Z183" i="1"/>
  <c r="AA183" i="1" s="1"/>
  <c r="Z184" i="1"/>
  <c r="AA184" i="1" s="1"/>
  <c r="Z185" i="1"/>
  <c r="AA185" i="1" s="1"/>
  <c r="Z186" i="1"/>
  <c r="AA186" i="1" s="1"/>
  <c r="Z187" i="1"/>
  <c r="AA187" i="1" s="1"/>
  <c r="Z188" i="1"/>
  <c r="AA188" i="1" s="1"/>
  <c r="Z189" i="1"/>
  <c r="AA189" i="1" s="1"/>
  <c r="Z190" i="1"/>
  <c r="AA190" i="1" s="1"/>
  <c r="Z191" i="1"/>
  <c r="AA191" i="1" s="1"/>
  <c r="Z192" i="1"/>
  <c r="AA192" i="1" s="1"/>
  <c r="Z193" i="1"/>
  <c r="AA193" i="1" s="1"/>
  <c r="Z194" i="1"/>
  <c r="AA194" i="1" s="1"/>
  <c r="Z195" i="1"/>
  <c r="AA195" i="1" s="1"/>
  <c r="Z196" i="1"/>
  <c r="AA196" i="1" s="1"/>
  <c r="Z197" i="1"/>
  <c r="AA197" i="1" s="1"/>
  <c r="Z198" i="1"/>
  <c r="AA198" i="1" s="1"/>
  <c r="Z199" i="1"/>
  <c r="AA199" i="1" s="1"/>
  <c r="Z200" i="1"/>
  <c r="AA200" i="1" s="1"/>
  <c r="Z201" i="1"/>
  <c r="AA201" i="1" s="1"/>
  <c r="Z202" i="1"/>
  <c r="AA202" i="1" s="1"/>
  <c r="Z203" i="1"/>
  <c r="AA203" i="1" s="1"/>
  <c r="Z204" i="1"/>
  <c r="AA204" i="1" s="1"/>
  <c r="Z205" i="1"/>
  <c r="AA205" i="1" s="1"/>
  <c r="Z206" i="1"/>
  <c r="AA206" i="1" s="1"/>
  <c r="Z207" i="1"/>
  <c r="AA207" i="1" s="1"/>
  <c r="Z208" i="1"/>
  <c r="AA208" i="1" s="1"/>
  <c r="Z209" i="1"/>
  <c r="AA209" i="1" s="1"/>
  <c r="Z210" i="1"/>
  <c r="AA210" i="1" s="1"/>
  <c r="Z211" i="1"/>
  <c r="AA211" i="1" s="1"/>
  <c r="Z212" i="1"/>
  <c r="AA212" i="1" s="1"/>
  <c r="Z213" i="1"/>
  <c r="AA213" i="1" s="1"/>
  <c r="Z214" i="1"/>
  <c r="AA214" i="1" s="1"/>
  <c r="Z215" i="1"/>
  <c r="AA215" i="1" s="1"/>
  <c r="Z216" i="1"/>
  <c r="AA216" i="1" s="1"/>
  <c r="Z217" i="1"/>
  <c r="AA217" i="1" s="1"/>
  <c r="Z218" i="1"/>
  <c r="AA218" i="1" s="1"/>
  <c r="Z219" i="1"/>
  <c r="AA219" i="1" s="1"/>
  <c r="Z220" i="1"/>
  <c r="AA220" i="1" s="1"/>
  <c r="Z221" i="1"/>
  <c r="AA221" i="1" s="1"/>
  <c r="Z222" i="1"/>
  <c r="AA222" i="1" s="1"/>
  <c r="Z223" i="1"/>
  <c r="AA223" i="1" s="1"/>
  <c r="Z224" i="1"/>
  <c r="AA224" i="1" s="1"/>
  <c r="Z225" i="1"/>
  <c r="AA225" i="1" s="1"/>
  <c r="Z226" i="1"/>
  <c r="AA226" i="1" s="1"/>
  <c r="Z227" i="1"/>
  <c r="AA227" i="1" s="1"/>
  <c r="Z228" i="1"/>
  <c r="AA228" i="1" s="1"/>
  <c r="Z229" i="1"/>
  <c r="AA229" i="1" s="1"/>
  <c r="Z230" i="1"/>
  <c r="AA230" i="1" s="1"/>
  <c r="Z231" i="1"/>
  <c r="AA231" i="1" s="1"/>
  <c r="Z232" i="1"/>
  <c r="AA232" i="1" s="1"/>
  <c r="Z233" i="1"/>
  <c r="AA233" i="1" s="1"/>
  <c r="Z234" i="1"/>
  <c r="AA234" i="1" s="1"/>
  <c r="Z235" i="1"/>
  <c r="AA235" i="1" s="1"/>
  <c r="Z236" i="1"/>
  <c r="AA236" i="1" s="1"/>
  <c r="Z237" i="1"/>
  <c r="AA237" i="1" s="1"/>
  <c r="Z238" i="1"/>
  <c r="AA238" i="1" s="1"/>
  <c r="Z239" i="1"/>
  <c r="AA239" i="1" s="1"/>
  <c r="Z240" i="1"/>
  <c r="AA240" i="1" s="1"/>
  <c r="Z241" i="1"/>
  <c r="AA241" i="1" s="1"/>
  <c r="Z242" i="1"/>
  <c r="AA242" i="1" s="1"/>
  <c r="Z243" i="1"/>
  <c r="AA243" i="1" s="1"/>
  <c r="Z244" i="1"/>
  <c r="AA244" i="1" s="1"/>
  <c r="Z245" i="1"/>
  <c r="AA245" i="1" s="1"/>
  <c r="Z246" i="1"/>
  <c r="AA246" i="1" s="1"/>
  <c r="Z247" i="1"/>
  <c r="AA247" i="1" s="1"/>
  <c r="Z248" i="1"/>
  <c r="AA248" i="1" s="1"/>
  <c r="Z249" i="1"/>
  <c r="AA249" i="1" s="1"/>
  <c r="Z250" i="1"/>
  <c r="AA250" i="1" s="1"/>
  <c r="Z251" i="1"/>
  <c r="AA251" i="1" s="1"/>
  <c r="Z252" i="1"/>
  <c r="AA252" i="1" s="1"/>
  <c r="Z253" i="1"/>
  <c r="AA253" i="1" s="1"/>
  <c r="Z254" i="1"/>
  <c r="AA254" i="1" s="1"/>
  <c r="Z255" i="1"/>
  <c r="AA255" i="1" s="1"/>
  <c r="Z256" i="1"/>
  <c r="AA256" i="1" s="1"/>
  <c r="Z257" i="1"/>
  <c r="AA257" i="1" s="1"/>
  <c r="Z258" i="1"/>
  <c r="AA258" i="1" s="1"/>
  <c r="Z259" i="1"/>
  <c r="AA259" i="1" s="1"/>
  <c r="Z260" i="1"/>
  <c r="AA260" i="1" s="1"/>
  <c r="Z261" i="1"/>
  <c r="AA261" i="1" s="1"/>
  <c r="Z262" i="1"/>
  <c r="AA262" i="1" s="1"/>
  <c r="Z263" i="1"/>
  <c r="AA263" i="1" s="1"/>
  <c r="Z264" i="1"/>
  <c r="AA264" i="1" s="1"/>
  <c r="Z265" i="1"/>
  <c r="AA265" i="1" s="1"/>
  <c r="Z266" i="1"/>
  <c r="AA266" i="1" s="1"/>
  <c r="Z267" i="1"/>
  <c r="AA267" i="1" s="1"/>
  <c r="Z268" i="1"/>
  <c r="AA268" i="1" s="1"/>
  <c r="Z269" i="1"/>
  <c r="AA269" i="1" s="1"/>
  <c r="Z270" i="1"/>
  <c r="AA270" i="1" s="1"/>
  <c r="Z271" i="1"/>
  <c r="AA271" i="1" s="1"/>
  <c r="Z272" i="1"/>
  <c r="AA272" i="1" s="1"/>
  <c r="Z273" i="1"/>
  <c r="AA273" i="1" s="1"/>
  <c r="Z274" i="1"/>
  <c r="AA274" i="1" s="1"/>
  <c r="Z275" i="1"/>
  <c r="AA275" i="1" s="1"/>
  <c r="Z276" i="1"/>
  <c r="AA276" i="1" s="1"/>
  <c r="Z277" i="1"/>
  <c r="AA277" i="1" s="1"/>
  <c r="Z278" i="1"/>
  <c r="AA278" i="1" s="1"/>
  <c r="Z279" i="1"/>
  <c r="AA279" i="1" s="1"/>
  <c r="Z280" i="1"/>
  <c r="AA280" i="1" s="1"/>
  <c r="Z281" i="1"/>
  <c r="AA281" i="1" s="1"/>
  <c r="Z282" i="1"/>
  <c r="AA282" i="1" s="1"/>
  <c r="Z283" i="1"/>
  <c r="AA283" i="1" s="1"/>
  <c r="Z284" i="1"/>
  <c r="AA284" i="1" s="1"/>
  <c r="Z285" i="1"/>
  <c r="AA285" i="1" s="1"/>
  <c r="Z286" i="1"/>
  <c r="AA286" i="1" s="1"/>
  <c r="Z287" i="1"/>
  <c r="AA287" i="1" s="1"/>
  <c r="Z288" i="1"/>
  <c r="AA288" i="1" s="1"/>
  <c r="Z289" i="1"/>
  <c r="AA289" i="1" s="1"/>
  <c r="Z290" i="1"/>
  <c r="AA290" i="1" s="1"/>
  <c r="Z291" i="1"/>
  <c r="AA291" i="1" s="1"/>
  <c r="Z292" i="1"/>
  <c r="AA292" i="1" s="1"/>
  <c r="Z293" i="1"/>
  <c r="AA293" i="1" s="1"/>
  <c r="Z294" i="1"/>
  <c r="AA294" i="1" s="1"/>
  <c r="Z295" i="1"/>
  <c r="AA295" i="1" s="1"/>
  <c r="Z296" i="1"/>
  <c r="AA296" i="1" s="1"/>
  <c r="Z297" i="1"/>
  <c r="AA297" i="1" s="1"/>
  <c r="Z298" i="1"/>
  <c r="AA298" i="1" s="1"/>
  <c r="Z299" i="1"/>
  <c r="AA299" i="1" s="1"/>
  <c r="Z300" i="1"/>
  <c r="AA300" i="1" s="1"/>
  <c r="Z301" i="1"/>
  <c r="AA301" i="1" s="1"/>
  <c r="Z302" i="1"/>
  <c r="AA302" i="1" s="1"/>
  <c r="Z303" i="1"/>
  <c r="AA303" i="1" s="1"/>
  <c r="Z304" i="1"/>
  <c r="AA304" i="1" s="1"/>
  <c r="Z305" i="1"/>
  <c r="AA305" i="1" s="1"/>
  <c r="Z306" i="1"/>
  <c r="AA306" i="1" s="1"/>
  <c r="Z307" i="1"/>
  <c r="AA307" i="1" s="1"/>
  <c r="Z308" i="1"/>
  <c r="AA308" i="1" s="1"/>
  <c r="Z309" i="1"/>
  <c r="AA309" i="1" s="1"/>
  <c r="Z310" i="1"/>
  <c r="AA310" i="1" s="1"/>
  <c r="Z311" i="1"/>
  <c r="AA311" i="1" s="1"/>
  <c r="Z312" i="1"/>
  <c r="AA312" i="1" s="1"/>
  <c r="Z313" i="1"/>
  <c r="AA313" i="1" s="1"/>
  <c r="Z314" i="1"/>
  <c r="AA314" i="1" s="1"/>
  <c r="Z315" i="1"/>
  <c r="AA315" i="1" s="1"/>
  <c r="Z316" i="1"/>
  <c r="AA316" i="1" s="1"/>
  <c r="Z317" i="1"/>
  <c r="AA317" i="1" s="1"/>
  <c r="Z318" i="1"/>
  <c r="AA318" i="1" s="1"/>
  <c r="Z319" i="1"/>
  <c r="AA319" i="1" s="1"/>
  <c r="Z320" i="1"/>
  <c r="AA320" i="1" s="1"/>
  <c r="Z321" i="1"/>
  <c r="AA321" i="1" s="1"/>
  <c r="Z322" i="1"/>
  <c r="AA322" i="1" s="1"/>
  <c r="Z323" i="1"/>
  <c r="AA323" i="1" s="1"/>
  <c r="Z324" i="1"/>
  <c r="AA324" i="1" s="1"/>
  <c r="Z325" i="1"/>
  <c r="AA325" i="1" s="1"/>
  <c r="Z326" i="1"/>
  <c r="AA326" i="1" s="1"/>
  <c r="Z327" i="1"/>
  <c r="AA327" i="1" s="1"/>
  <c r="Z328" i="1"/>
  <c r="AA328" i="1" s="1"/>
  <c r="Z329" i="1"/>
  <c r="AA329" i="1" s="1"/>
  <c r="Z330" i="1"/>
  <c r="AA330" i="1" s="1"/>
  <c r="Z331" i="1"/>
  <c r="AA331" i="1" s="1"/>
  <c r="Z332" i="1"/>
  <c r="AA332" i="1" s="1"/>
  <c r="Z333" i="1"/>
  <c r="AA333" i="1" s="1"/>
  <c r="Z334" i="1"/>
  <c r="AA334" i="1" s="1"/>
  <c r="Z335" i="1"/>
  <c r="AA335" i="1" s="1"/>
  <c r="Z336" i="1"/>
  <c r="AA336" i="1" s="1"/>
  <c r="Z337" i="1"/>
  <c r="AA337" i="1" s="1"/>
  <c r="Z338" i="1"/>
  <c r="AA338" i="1" s="1"/>
  <c r="Z339" i="1"/>
  <c r="AA339" i="1" s="1"/>
  <c r="Z340" i="1"/>
  <c r="AA340" i="1" s="1"/>
  <c r="Z341" i="1"/>
  <c r="AA341" i="1" s="1"/>
  <c r="Z342" i="1"/>
  <c r="AA342" i="1" s="1"/>
  <c r="Z343" i="1"/>
  <c r="AA343" i="1" s="1"/>
  <c r="Z344" i="1"/>
  <c r="AA344" i="1" s="1"/>
  <c r="Z345" i="1"/>
  <c r="AA345" i="1" s="1"/>
  <c r="Z346" i="1"/>
  <c r="AA346" i="1" s="1"/>
  <c r="Z347" i="1"/>
  <c r="AA347" i="1" s="1"/>
  <c r="Z348" i="1"/>
  <c r="AA348" i="1" s="1"/>
  <c r="Z349" i="1"/>
  <c r="AA349" i="1" s="1"/>
  <c r="Z350" i="1"/>
  <c r="AA350" i="1" s="1"/>
  <c r="Z351" i="1"/>
  <c r="AA351" i="1" s="1"/>
  <c r="Z352" i="1"/>
  <c r="AA352" i="1" s="1"/>
  <c r="Z353" i="1"/>
  <c r="AA353" i="1" s="1"/>
  <c r="Z354" i="1"/>
  <c r="AA354" i="1" s="1"/>
  <c r="Z355" i="1"/>
  <c r="AA355" i="1" s="1"/>
  <c r="Z356" i="1"/>
  <c r="AA356" i="1" s="1"/>
  <c r="Z357" i="1"/>
  <c r="AA357" i="1" s="1"/>
  <c r="Z358" i="1"/>
  <c r="AA358" i="1" s="1"/>
  <c r="Z359" i="1"/>
  <c r="AA359" i="1" s="1"/>
  <c r="Z360" i="1"/>
  <c r="AA360" i="1" s="1"/>
  <c r="Z361" i="1"/>
  <c r="AA361" i="1" s="1"/>
  <c r="Z362" i="1"/>
  <c r="AA362" i="1" s="1"/>
  <c r="Z363" i="1"/>
  <c r="AA363" i="1" s="1"/>
  <c r="Z364" i="1"/>
  <c r="AA364" i="1" s="1"/>
  <c r="Z365" i="1"/>
  <c r="AA365" i="1" s="1"/>
  <c r="Z366" i="1"/>
  <c r="AA366" i="1" s="1"/>
  <c r="Z367" i="1"/>
  <c r="AA367" i="1" s="1"/>
  <c r="Z368" i="1"/>
  <c r="AA368" i="1" s="1"/>
  <c r="Z369" i="1"/>
  <c r="AA369" i="1" s="1"/>
  <c r="Z370" i="1"/>
  <c r="AA370" i="1" s="1"/>
  <c r="Z371" i="1"/>
  <c r="AA371" i="1" s="1"/>
  <c r="Z372" i="1"/>
  <c r="AA372" i="1" s="1"/>
  <c r="Z373" i="1"/>
  <c r="AA373" i="1" s="1"/>
  <c r="Z374" i="1"/>
  <c r="AA374" i="1" s="1"/>
  <c r="Z375" i="1"/>
  <c r="AA375" i="1" s="1"/>
  <c r="Z376" i="1"/>
  <c r="AA376" i="1" s="1"/>
  <c r="Z377" i="1"/>
  <c r="AA377" i="1" s="1"/>
  <c r="Z378" i="1"/>
  <c r="AA378" i="1" s="1"/>
  <c r="Z379" i="1"/>
  <c r="AA379" i="1" s="1"/>
  <c r="Z380" i="1"/>
  <c r="AA380" i="1" s="1"/>
  <c r="Z381" i="1"/>
  <c r="AA381" i="1" s="1"/>
  <c r="Z382" i="1"/>
  <c r="AA382" i="1" s="1"/>
  <c r="Z383" i="1"/>
  <c r="AA383" i="1" s="1"/>
  <c r="Z384" i="1"/>
  <c r="AA384" i="1" s="1"/>
  <c r="Z385" i="1"/>
  <c r="AA385" i="1" s="1"/>
  <c r="Z386" i="1"/>
  <c r="AA386" i="1" s="1"/>
  <c r="Z387" i="1"/>
  <c r="AA387" i="1" s="1"/>
  <c r="Z388" i="1"/>
  <c r="AA388" i="1" s="1"/>
  <c r="Z389" i="1"/>
  <c r="AA389" i="1" s="1"/>
  <c r="Z390" i="1"/>
  <c r="AA390" i="1" s="1"/>
  <c r="Z391" i="1"/>
  <c r="AA391" i="1" s="1"/>
  <c r="Z392" i="1"/>
  <c r="AA392" i="1" s="1"/>
  <c r="Z393" i="1"/>
  <c r="AA393" i="1" s="1"/>
  <c r="Z394" i="1"/>
  <c r="AA394" i="1" s="1"/>
  <c r="Z395" i="1"/>
  <c r="AA395" i="1" s="1"/>
  <c r="Z396" i="1"/>
  <c r="AA396" i="1" s="1"/>
  <c r="Z397" i="1"/>
  <c r="AA397" i="1" s="1"/>
  <c r="Z398" i="1"/>
  <c r="AA398" i="1" s="1"/>
  <c r="Z399" i="1"/>
  <c r="AA399" i="1" s="1"/>
  <c r="Z400" i="1"/>
  <c r="AA400" i="1" s="1"/>
  <c r="Z401" i="1"/>
  <c r="AA401" i="1" s="1"/>
  <c r="Z402" i="1"/>
  <c r="AA402" i="1" s="1"/>
  <c r="Z403" i="1"/>
  <c r="AA403" i="1" s="1"/>
  <c r="Z404" i="1"/>
  <c r="AA404" i="1" s="1"/>
  <c r="Z405" i="1"/>
  <c r="AA405" i="1" s="1"/>
  <c r="Z406" i="1"/>
  <c r="AA406" i="1" s="1"/>
  <c r="Z407" i="1"/>
  <c r="AA407" i="1" s="1"/>
  <c r="Z408" i="1"/>
  <c r="AA408" i="1" s="1"/>
  <c r="Z409" i="1"/>
  <c r="AA409" i="1" s="1"/>
  <c r="Z410" i="1"/>
  <c r="AA410" i="1" s="1"/>
  <c r="Z411" i="1"/>
  <c r="AA411" i="1" s="1"/>
  <c r="Z412" i="1"/>
  <c r="AA412" i="1" s="1"/>
  <c r="Z413" i="1"/>
  <c r="AA413" i="1" s="1"/>
  <c r="Z414" i="1"/>
  <c r="AA414" i="1" s="1"/>
  <c r="Z415" i="1"/>
  <c r="AA415" i="1" s="1"/>
  <c r="Z416" i="1"/>
  <c r="AA416" i="1" s="1"/>
  <c r="Z417" i="1"/>
  <c r="AA417" i="1" s="1"/>
  <c r="Z418" i="1"/>
  <c r="AA418" i="1" s="1"/>
  <c r="Z419" i="1"/>
  <c r="AA419" i="1" s="1"/>
  <c r="Z420" i="1"/>
  <c r="AA420" i="1" s="1"/>
  <c r="Z421" i="1"/>
  <c r="AA421" i="1" s="1"/>
  <c r="Z422" i="1"/>
  <c r="AA422" i="1" s="1"/>
  <c r="Z423" i="1"/>
  <c r="AA423" i="1" s="1"/>
  <c r="Z424" i="1"/>
  <c r="AA424" i="1" s="1"/>
  <c r="Z425" i="1"/>
  <c r="AA425" i="1" s="1"/>
  <c r="Z426" i="1"/>
  <c r="AA426" i="1" s="1"/>
  <c r="Z427" i="1"/>
  <c r="AA427" i="1" s="1"/>
  <c r="Z428" i="1"/>
  <c r="AA428" i="1" s="1"/>
  <c r="Z429" i="1"/>
  <c r="AA429" i="1" s="1"/>
  <c r="Z430" i="1"/>
  <c r="AA430" i="1" s="1"/>
  <c r="Z431" i="1"/>
  <c r="AA431" i="1" s="1"/>
  <c r="Z432" i="1"/>
  <c r="AA432" i="1" s="1"/>
  <c r="Z433" i="1"/>
  <c r="AA433" i="1" s="1"/>
  <c r="Z434" i="1"/>
  <c r="AA434" i="1" s="1"/>
  <c r="Z435" i="1"/>
  <c r="AA435" i="1" s="1"/>
  <c r="Z436" i="1"/>
  <c r="AA436" i="1" s="1"/>
  <c r="Z437" i="1"/>
  <c r="AA437" i="1" s="1"/>
  <c r="Z438" i="1"/>
  <c r="AA438" i="1" s="1"/>
  <c r="Z439" i="1"/>
  <c r="AA439" i="1" s="1"/>
  <c r="Z440" i="1"/>
  <c r="AA440" i="1" s="1"/>
  <c r="Z441" i="1"/>
  <c r="AA441" i="1" s="1"/>
  <c r="Z442" i="1"/>
  <c r="AA442" i="1" s="1"/>
  <c r="Z443" i="1"/>
  <c r="AA443" i="1" s="1"/>
  <c r="Z444" i="1"/>
  <c r="AA444" i="1" s="1"/>
  <c r="Z445" i="1"/>
  <c r="AA445" i="1" s="1"/>
  <c r="Z446" i="1"/>
  <c r="AA446" i="1" s="1"/>
  <c r="Z447" i="1"/>
  <c r="AA447" i="1" s="1"/>
  <c r="Z448" i="1"/>
  <c r="AA448" i="1" s="1"/>
  <c r="Z449" i="1"/>
  <c r="AA449" i="1" s="1"/>
  <c r="Z450" i="1"/>
  <c r="AA450" i="1" s="1"/>
  <c r="Z451" i="1"/>
  <c r="AA451" i="1" s="1"/>
  <c r="Z452" i="1"/>
  <c r="AA452" i="1" s="1"/>
  <c r="Z453" i="1"/>
  <c r="AA453" i="1" s="1"/>
  <c r="Z454" i="1"/>
  <c r="AA454" i="1" s="1"/>
  <c r="Z455" i="1"/>
  <c r="AA455" i="1" s="1"/>
  <c r="Z456" i="1"/>
  <c r="AA456" i="1" s="1"/>
  <c r="Z457" i="1"/>
  <c r="AA457" i="1" s="1"/>
  <c r="Z458" i="1"/>
  <c r="AA458" i="1" s="1"/>
  <c r="Z459" i="1"/>
  <c r="AA459" i="1" s="1"/>
  <c r="Z460" i="1"/>
  <c r="AA460" i="1" s="1"/>
  <c r="Z461" i="1"/>
  <c r="AA461" i="1" s="1"/>
  <c r="Z462" i="1"/>
  <c r="AA462" i="1" s="1"/>
  <c r="Z463" i="1"/>
  <c r="AA463" i="1" s="1"/>
  <c r="Z464" i="1"/>
  <c r="AA464" i="1" s="1"/>
  <c r="Z465" i="1"/>
  <c r="AA465" i="1" s="1"/>
  <c r="Z466" i="1"/>
  <c r="AA466" i="1" s="1"/>
  <c r="Z467" i="1"/>
  <c r="AA467" i="1" s="1"/>
  <c r="Z468" i="1"/>
  <c r="AA468" i="1" s="1"/>
  <c r="Z469" i="1"/>
  <c r="AA469" i="1" s="1"/>
  <c r="Z470" i="1"/>
  <c r="AA470" i="1" s="1"/>
  <c r="Z471" i="1"/>
  <c r="AA471" i="1" s="1"/>
  <c r="Z472" i="1"/>
  <c r="AA472" i="1" s="1"/>
  <c r="Z473" i="1"/>
  <c r="AA473" i="1" s="1"/>
  <c r="Z474" i="1"/>
  <c r="AA474" i="1" s="1"/>
  <c r="Z475" i="1"/>
  <c r="AA475" i="1" s="1"/>
  <c r="Z476" i="1"/>
  <c r="AA476" i="1" s="1"/>
  <c r="Z477" i="1"/>
  <c r="AA477" i="1" s="1"/>
  <c r="Z478" i="1"/>
  <c r="AA478" i="1" s="1"/>
  <c r="Z479" i="1"/>
  <c r="AA479" i="1" s="1"/>
  <c r="Z480" i="1"/>
  <c r="AA480" i="1" s="1"/>
  <c r="Z481" i="1"/>
  <c r="AA481" i="1" s="1"/>
  <c r="Z482" i="1"/>
  <c r="AA482" i="1" s="1"/>
  <c r="Z483" i="1"/>
  <c r="AA483" i="1" s="1"/>
  <c r="Z484" i="1"/>
  <c r="AA484" i="1" s="1"/>
  <c r="Z485" i="1"/>
  <c r="AA485" i="1" s="1"/>
  <c r="Z486" i="1"/>
  <c r="AA486" i="1" s="1"/>
  <c r="Z487" i="1"/>
  <c r="AA487" i="1" s="1"/>
  <c r="Z488" i="1"/>
  <c r="AA488" i="1" s="1"/>
  <c r="Z489" i="1"/>
  <c r="AA489" i="1" s="1"/>
  <c r="Z490" i="1"/>
  <c r="AA490" i="1" s="1"/>
  <c r="Z491" i="1"/>
  <c r="AA491" i="1" s="1"/>
  <c r="Z492" i="1"/>
  <c r="AA492" i="1" s="1"/>
  <c r="Z493" i="1"/>
  <c r="AA493" i="1" s="1"/>
  <c r="Z494" i="1"/>
  <c r="AA494" i="1" s="1"/>
  <c r="Z495" i="1"/>
  <c r="AA495" i="1" s="1"/>
  <c r="Z496" i="1"/>
  <c r="AA496" i="1" s="1"/>
  <c r="Z497" i="1"/>
  <c r="AA497" i="1" s="1"/>
  <c r="Z498" i="1"/>
  <c r="AA498" i="1" s="1"/>
  <c r="Z499" i="1"/>
  <c r="AA499" i="1" s="1"/>
  <c r="Z500" i="1"/>
  <c r="AA500" i="1" s="1"/>
  <c r="Z501" i="1"/>
  <c r="AA501" i="1" s="1"/>
  <c r="Z502" i="1"/>
  <c r="AA502" i="1" s="1"/>
  <c r="Z503" i="1"/>
  <c r="AA503" i="1" s="1"/>
  <c r="Z504" i="1"/>
  <c r="AA504" i="1" s="1"/>
  <c r="Z505" i="1"/>
  <c r="AA505" i="1" s="1"/>
  <c r="Z506" i="1"/>
  <c r="AA506" i="1" s="1"/>
  <c r="Z507" i="1"/>
  <c r="AA507" i="1" s="1"/>
  <c r="Z508" i="1"/>
  <c r="AA508" i="1" s="1"/>
  <c r="Z509" i="1"/>
  <c r="AA509" i="1" s="1"/>
  <c r="Z510" i="1"/>
  <c r="AA510" i="1" s="1"/>
  <c r="Z511" i="1"/>
  <c r="AA511" i="1" s="1"/>
  <c r="Z512" i="1"/>
  <c r="AA512" i="1" s="1"/>
  <c r="Z513" i="1"/>
  <c r="AA513" i="1" s="1"/>
  <c r="Z514" i="1"/>
  <c r="AA514" i="1" s="1"/>
  <c r="Z515" i="1"/>
  <c r="AA515" i="1" s="1"/>
  <c r="Z516" i="1"/>
  <c r="AA516" i="1" s="1"/>
  <c r="Z517" i="1"/>
  <c r="AA517" i="1" s="1"/>
  <c r="Z518" i="1"/>
  <c r="AA518" i="1" s="1"/>
  <c r="Z519" i="1"/>
  <c r="AA519" i="1" s="1"/>
  <c r="Z520" i="1"/>
  <c r="AA520" i="1" s="1"/>
  <c r="Z521" i="1"/>
  <c r="AA521" i="1" s="1"/>
  <c r="Z522" i="1"/>
  <c r="AA522" i="1" s="1"/>
  <c r="Z523" i="1"/>
  <c r="AA523" i="1" s="1"/>
  <c r="Z524" i="1"/>
  <c r="AA524" i="1" s="1"/>
  <c r="Z525" i="1"/>
  <c r="AA525" i="1" s="1"/>
  <c r="Z526" i="1"/>
  <c r="AA526" i="1" s="1"/>
  <c r="Z527" i="1"/>
  <c r="AA527" i="1" s="1"/>
  <c r="Z528" i="1"/>
  <c r="AA528" i="1" s="1"/>
  <c r="Z529" i="1"/>
  <c r="AA529" i="1" s="1"/>
  <c r="Z530" i="1"/>
  <c r="AA530" i="1" s="1"/>
  <c r="Z531" i="1"/>
  <c r="AA531" i="1" s="1"/>
  <c r="Z532" i="1"/>
  <c r="AA532" i="1" s="1"/>
  <c r="Z533" i="1"/>
  <c r="AA533" i="1" s="1"/>
  <c r="Z534" i="1"/>
  <c r="AA534" i="1" s="1"/>
  <c r="Z535" i="1"/>
  <c r="AA535" i="1" s="1"/>
  <c r="Z536" i="1"/>
  <c r="AA536" i="1" s="1"/>
  <c r="Z537" i="1"/>
  <c r="AA537" i="1" s="1"/>
  <c r="Z538" i="1"/>
  <c r="AA538" i="1" s="1"/>
  <c r="Z539" i="1"/>
  <c r="AA539" i="1" s="1"/>
  <c r="Z540" i="1"/>
  <c r="AA540" i="1" s="1"/>
  <c r="Z541" i="1"/>
  <c r="AA541" i="1" s="1"/>
  <c r="Z542" i="1"/>
  <c r="AA542" i="1" s="1"/>
  <c r="Z543" i="1"/>
  <c r="AA543" i="1" s="1"/>
  <c r="Z544" i="1"/>
  <c r="AA544" i="1" s="1"/>
  <c r="Z545" i="1"/>
  <c r="AA545" i="1" s="1"/>
  <c r="Z546" i="1"/>
  <c r="AA546" i="1" s="1"/>
  <c r="Z547" i="1"/>
  <c r="AA547" i="1" s="1"/>
  <c r="Z548" i="1"/>
  <c r="AA548" i="1" s="1"/>
  <c r="Z549" i="1"/>
  <c r="AA549" i="1" s="1"/>
  <c r="Z550" i="1"/>
  <c r="AA550" i="1" s="1"/>
  <c r="Z551" i="1"/>
  <c r="AA551" i="1" s="1"/>
  <c r="Z552" i="1"/>
  <c r="AA552" i="1" s="1"/>
  <c r="Z553" i="1"/>
  <c r="AA553" i="1" s="1"/>
  <c r="Z554" i="1"/>
  <c r="AA554" i="1" s="1"/>
  <c r="Z555" i="1"/>
  <c r="AA555" i="1" s="1"/>
  <c r="Z556" i="1"/>
  <c r="AA556" i="1" s="1"/>
  <c r="Z557" i="1"/>
  <c r="AA557" i="1" s="1"/>
  <c r="Z558" i="1"/>
  <c r="AA558" i="1" s="1"/>
  <c r="Z559" i="1"/>
  <c r="AA559" i="1" s="1"/>
  <c r="Z560" i="1"/>
  <c r="AA560" i="1" s="1"/>
  <c r="Z561" i="1"/>
  <c r="AA561" i="1" s="1"/>
  <c r="Z562" i="1"/>
  <c r="AA562" i="1" s="1"/>
  <c r="Z563" i="1"/>
  <c r="AA563" i="1" s="1"/>
  <c r="Z564" i="1"/>
  <c r="AA564" i="1" s="1"/>
  <c r="Z565" i="1"/>
  <c r="AA565" i="1" s="1"/>
  <c r="Z566" i="1"/>
  <c r="AA566" i="1" s="1"/>
  <c r="Z567" i="1"/>
  <c r="AA567" i="1" s="1"/>
  <c r="Z568" i="1"/>
  <c r="AA568" i="1" s="1"/>
  <c r="Z569" i="1"/>
  <c r="AA569" i="1" s="1"/>
  <c r="Z570" i="1"/>
  <c r="AA570" i="1" s="1"/>
  <c r="Z571" i="1"/>
  <c r="AA571" i="1" s="1"/>
  <c r="Z572" i="1"/>
  <c r="AA572" i="1" s="1"/>
  <c r="Z573" i="1"/>
  <c r="AA573" i="1" s="1"/>
  <c r="Z574" i="1"/>
  <c r="AA574" i="1" s="1"/>
  <c r="Z575" i="1"/>
  <c r="AA575" i="1" s="1"/>
  <c r="Z576" i="1"/>
  <c r="AA576" i="1" s="1"/>
  <c r="Z577" i="1"/>
  <c r="AA577" i="1" s="1"/>
  <c r="Z578" i="1"/>
  <c r="AA578" i="1" s="1"/>
  <c r="Z579" i="1"/>
  <c r="AA579" i="1" s="1"/>
  <c r="Z580" i="1"/>
  <c r="AA580" i="1" s="1"/>
  <c r="Z581" i="1"/>
  <c r="AA581" i="1" s="1"/>
  <c r="Z582" i="1"/>
  <c r="AA582" i="1" s="1"/>
  <c r="Z583" i="1"/>
  <c r="AA583" i="1" s="1"/>
  <c r="Z584" i="1"/>
  <c r="AA584" i="1" s="1"/>
  <c r="Z585" i="1"/>
  <c r="AA585" i="1" s="1"/>
  <c r="Z586" i="1"/>
  <c r="AA586" i="1" s="1"/>
  <c r="Z587" i="1"/>
  <c r="AA587" i="1" s="1"/>
  <c r="Z588" i="1"/>
  <c r="AA588" i="1" s="1"/>
  <c r="Z589" i="1"/>
  <c r="AA589" i="1" s="1"/>
  <c r="Z590" i="1"/>
  <c r="AA590" i="1" s="1"/>
  <c r="Z591" i="1"/>
  <c r="AA591" i="1" s="1"/>
  <c r="Z592" i="1"/>
  <c r="AA592" i="1" s="1"/>
  <c r="Z593" i="1"/>
  <c r="AA593" i="1" s="1"/>
  <c r="Z594" i="1"/>
  <c r="AA594" i="1" s="1"/>
  <c r="Z595" i="1"/>
  <c r="AA595" i="1" s="1"/>
  <c r="Z596" i="1"/>
  <c r="AA596" i="1" s="1"/>
  <c r="Z597" i="1"/>
  <c r="AA597" i="1" s="1"/>
  <c r="Z598" i="1"/>
  <c r="AA598" i="1" s="1"/>
  <c r="Z599" i="1"/>
  <c r="AA599" i="1" s="1"/>
  <c r="Z600" i="1"/>
  <c r="AA600" i="1" s="1"/>
  <c r="Z601" i="1"/>
  <c r="AA601" i="1" s="1"/>
  <c r="Z602" i="1"/>
  <c r="AA602" i="1" s="1"/>
  <c r="Z603" i="1"/>
  <c r="AA603" i="1" s="1"/>
  <c r="Z604" i="1"/>
  <c r="AA604" i="1" s="1"/>
  <c r="Z605" i="1"/>
  <c r="AA605" i="1" s="1"/>
  <c r="Z606" i="1"/>
  <c r="AA606" i="1" s="1"/>
  <c r="Z607" i="1"/>
  <c r="AA607" i="1" s="1"/>
  <c r="Z608" i="1"/>
  <c r="AA608" i="1" s="1"/>
  <c r="Z609" i="1"/>
  <c r="AA609" i="1" s="1"/>
  <c r="Z610" i="1"/>
  <c r="AA610" i="1" s="1"/>
  <c r="Z611" i="1"/>
  <c r="AA611" i="1" s="1"/>
  <c r="Z612" i="1"/>
  <c r="AA612" i="1" s="1"/>
  <c r="Z613" i="1"/>
  <c r="AA613" i="1" s="1"/>
  <c r="Z614" i="1"/>
  <c r="AA614" i="1" s="1"/>
  <c r="Z615" i="1"/>
  <c r="AA615" i="1" s="1"/>
  <c r="Z616" i="1"/>
  <c r="AA616" i="1" s="1"/>
  <c r="Z617" i="1"/>
  <c r="AA617" i="1" s="1"/>
  <c r="Z618" i="1"/>
  <c r="AA618" i="1" s="1"/>
  <c r="Z619" i="1"/>
  <c r="AA619" i="1" s="1"/>
  <c r="Z620" i="1"/>
  <c r="AA620" i="1" s="1"/>
  <c r="Z621" i="1"/>
  <c r="AA621" i="1" s="1"/>
  <c r="Z622" i="1"/>
  <c r="AA622" i="1" s="1"/>
  <c r="Z623" i="1"/>
  <c r="AA623" i="1" s="1"/>
  <c r="Z624" i="1"/>
  <c r="AA624" i="1" s="1"/>
  <c r="Z625" i="1"/>
  <c r="AA625" i="1" s="1"/>
  <c r="Z626" i="1"/>
  <c r="AA626" i="1" s="1"/>
  <c r="Z627" i="1"/>
  <c r="AA627" i="1" s="1"/>
  <c r="Z628" i="1"/>
  <c r="AA628" i="1" s="1"/>
  <c r="Z629" i="1"/>
  <c r="AA629" i="1" s="1"/>
  <c r="Z630" i="1"/>
  <c r="AA630" i="1" s="1"/>
  <c r="Z631" i="1"/>
  <c r="AA631" i="1" s="1"/>
  <c r="Z632" i="1"/>
  <c r="AA632" i="1" s="1"/>
  <c r="Z633" i="1"/>
  <c r="AA633" i="1" s="1"/>
  <c r="Z634" i="1"/>
  <c r="AA634" i="1" s="1"/>
  <c r="Z635" i="1"/>
  <c r="AA635" i="1" s="1"/>
  <c r="Z636" i="1"/>
  <c r="AA636" i="1" s="1"/>
  <c r="Z637" i="1"/>
  <c r="AA637" i="1" s="1"/>
  <c r="Z638" i="1"/>
  <c r="AA638" i="1" s="1"/>
  <c r="Z639" i="1"/>
  <c r="AA639" i="1" s="1"/>
  <c r="Z640" i="1"/>
  <c r="AA640" i="1" s="1"/>
  <c r="Z641" i="1"/>
  <c r="AA641" i="1" s="1"/>
  <c r="Z642" i="1"/>
  <c r="AA642" i="1" s="1"/>
  <c r="Z643" i="1"/>
  <c r="AA643" i="1" s="1"/>
  <c r="Z644" i="1"/>
  <c r="AA644" i="1" s="1"/>
  <c r="Z645" i="1"/>
  <c r="AA645" i="1" s="1"/>
  <c r="Z646" i="1"/>
  <c r="AA646" i="1" s="1"/>
  <c r="Z647" i="1"/>
  <c r="AA647" i="1" s="1"/>
  <c r="Z648" i="1"/>
  <c r="AA648" i="1" s="1"/>
  <c r="Z649" i="1"/>
  <c r="AA649" i="1" s="1"/>
  <c r="Z650" i="1"/>
  <c r="AA650" i="1" s="1"/>
  <c r="Z651" i="1"/>
  <c r="AA651" i="1" s="1"/>
  <c r="Z652" i="1"/>
  <c r="AA652" i="1" s="1"/>
  <c r="Z653" i="1"/>
  <c r="AA653" i="1" s="1"/>
  <c r="Z654" i="1"/>
  <c r="AA654" i="1" s="1"/>
  <c r="Z655" i="1"/>
  <c r="AA655" i="1" s="1"/>
  <c r="Z656" i="1"/>
  <c r="AA656" i="1" s="1"/>
  <c r="Z657" i="1"/>
  <c r="AA657" i="1" s="1"/>
  <c r="Z658" i="1"/>
  <c r="AA658" i="1" s="1"/>
  <c r="Z659" i="1"/>
  <c r="AA659" i="1" s="1"/>
  <c r="Z660" i="1"/>
  <c r="AA660" i="1" s="1"/>
  <c r="Z661" i="1"/>
  <c r="AA661" i="1" s="1"/>
  <c r="Z662" i="1"/>
  <c r="AA662" i="1" s="1"/>
  <c r="Z663" i="1"/>
  <c r="AA663" i="1" s="1"/>
  <c r="Z664" i="1"/>
  <c r="AA664" i="1" s="1"/>
  <c r="Z665" i="1"/>
  <c r="AA665" i="1" s="1"/>
  <c r="Z666" i="1"/>
  <c r="AA666" i="1" s="1"/>
  <c r="Z667" i="1"/>
  <c r="AA667" i="1" s="1"/>
  <c r="Z668" i="1"/>
  <c r="AA668" i="1" s="1"/>
  <c r="Z669" i="1"/>
  <c r="AA669" i="1" s="1"/>
  <c r="Z670" i="1"/>
  <c r="AA670" i="1" s="1"/>
  <c r="Z671" i="1"/>
  <c r="AA671" i="1" s="1"/>
  <c r="Z672" i="1"/>
  <c r="AA672" i="1" s="1"/>
  <c r="Z673" i="1"/>
  <c r="AA673" i="1" s="1"/>
  <c r="Z674" i="1"/>
  <c r="AA674" i="1" s="1"/>
  <c r="Z675" i="1"/>
  <c r="AA675" i="1" s="1"/>
  <c r="Z676" i="1"/>
  <c r="AA676" i="1" s="1"/>
  <c r="Z677" i="1"/>
  <c r="AA677" i="1" s="1"/>
  <c r="Z678" i="1"/>
  <c r="AA678" i="1" s="1"/>
  <c r="Z679" i="1"/>
  <c r="AA679" i="1" s="1"/>
  <c r="Z680" i="1"/>
  <c r="AA680" i="1" s="1"/>
  <c r="Z681" i="1"/>
  <c r="AA681" i="1" s="1"/>
  <c r="Z682" i="1"/>
  <c r="AA682" i="1" s="1"/>
  <c r="Z683" i="1"/>
  <c r="AA683" i="1" s="1"/>
  <c r="Z684" i="1"/>
  <c r="AA684" i="1" s="1"/>
  <c r="Z685" i="1"/>
  <c r="AA685" i="1" s="1"/>
  <c r="Z686" i="1"/>
  <c r="AA686" i="1" s="1"/>
  <c r="Z687" i="1"/>
  <c r="AA687" i="1" s="1"/>
  <c r="Z688" i="1"/>
  <c r="AA688" i="1" s="1"/>
  <c r="Z689" i="1"/>
  <c r="AA689" i="1" s="1"/>
  <c r="Z690" i="1"/>
  <c r="AA690" i="1" s="1"/>
  <c r="Z691" i="1"/>
  <c r="AA691" i="1" s="1"/>
  <c r="Z692" i="1"/>
  <c r="AA692" i="1" s="1"/>
  <c r="Z693" i="1"/>
  <c r="AA693" i="1" s="1"/>
  <c r="Z694" i="1"/>
  <c r="AA694" i="1" s="1"/>
  <c r="Z695" i="1"/>
  <c r="AA695" i="1" s="1"/>
  <c r="Z696" i="1"/>
  <c r="AA696" i="1" s="1"/>
  <c r="Z697" i="1"/>
  <c r="AA697" i="1" s="1"/>
  <c r="Z698" i="1"/>
  <c r="AA698" i="1" s="1"/>
  <c r="Z699" i="1"/>
  <c r="AA699" i="1" s="1"/>
  <c r="Z700" i="1"/>
  <c r="AA700" i="1" s="1"/>
  <c r="Z701" i="1"/>
  <c r="AA701" i="1" s="1"/>
  <c r="Z702" i="1"/>
  <c r="AA702" i="1" s="1"/>
  <c r="Z703" i="1"/>
  <c r="AA703" i="1" s="1"/>
  <c r="Z704" i="1"/>
  <c r="AA704" i="1" s="1"/>
  <c r="Z705" i="1"/>
  <c r="AA705" i="1" s="1"/>
  <c r="Z706" i="1"/>
  <c r="AA706" i="1" s="1"/>
  <c r="Z707" i="1"/>
  <c r="AA707" i="1" s="1"/>
  <c r="Z708" i="1"/>
  <c r="AA708" i="1" s="1"/>
  <c r="Z709" i="1"/>
  <c r="AA709" i="1" s="1"/>
  <c r="Z710" i="1"/>
  <c r="AA710" i="1" s="1"/>
  <c r="Z711" i="1"/>
  <c r="AA711" i="1" s="1"/>
  <c r="Z712" i="1"/>
  <c r="AA712" i="1" s="1"/>
  <c r="Z713" i="1"/>
  <c r="AA713" i="1" s="1"/>
  <c r="Z714" i="1"/>
  <c r="AA714" i="1" s="1"/>
  <c r="Z715" i="1"/>
  <c r="AA715" i="1" s="1"/>
  <c r="Z716" i="1"/>
  <c r="AA716" i="1" s="1"/>
  <c r="Z717" i="1"/>
  <c r="AA717" i="1" s="1"/>
  <c r="Z718" i="1"/>
  <c r="AA718" i="1" s="1"/>
  <c r="Z719" i="1"/>
  <c r="AA719" i="1" s="1"/>
  <c r="Z720" i="1"/>
  <c r="AA720" i="1" s="1"/>
  <c r="Z721" i="1"/>
  <c r="AA721" i="1" s="1"/>
  <c r="Z722" i="1"/>
  <c r="AA722" i="1" s="1"/>
  <c r="Z723" i="1"/>
  <c r="AA723" i="1" s="1"/>
  <c r="Z724" i="1"/>
  <c r="AA724" i="1" s="1"/>
  <c r="Z725" i="1"/>
  <c r="AA725" i="1" s="1"/>
  <c r="Z726" i="1"/>
  <c r="AA726" i="1" s="1"/>
  <c r="Z727" i="1"/>
  <c r="AA727" i="1" s="1"/>
  <c r="Z728" i="1"/>
  <c r="AA728" i="1" s="1"/>
  <c r="Z729" i="1"/>
  <c r="AA729" i="1" s="1"/>
  <c r="Z730" i="1"/>
  <c r="AA730" i="1" s="1"/>
  <c r="Z731" i="1"/>
  <c r="AA731" i="1" s="1"/>
  <c r="Z732" i="1"/>
  <c r="AA732" i="1" s="1"/>
  <c r="Z733" i="1"/>
  <c r="AA733" i="1" s="1"/>
  <c r="Z734" i="1"/>
  <c r="AA734" i="1" s="1"/>
  <c r="Z735" i="1"/>
  <c r="AA735" i="1" s="1"/>
  <c r="Z736" i="1"/>
  <c r="AA736" i="1" s="1"/>
  <c r="Z737" i="1"/>
  <c r="AA737" i="1" s="1"/>
  <c r="Z738" i="1"/>
  <c r="AA738" i="1" s="1"/>
  <c r="Z739" i="1"/>
  <c r="AA739" i="1" s="1"/>
  <c r="Z740" i="1"/>
  <c r="AA740" i="1" s="1"/>
  <c r="Z741" i="1"/>
  <c r="AA741" i="1" s="1"/>
  <c r="Z742" i="1"/>
  <c r="AA742" i="1" s="1"/>
  <c r="Z743" i="1"/>
  <c r="AA743" i="1" s="1"/>
  <c r="Z744" i="1"/>
  <c r="AA744" i="1" s="1"/>
  <c r="Z745" i="1"/>
  <c r="AA745" i="1" s="1"/>
  <c r="Z746" i="1"/>
  <c r="AA746" i="1" s="1"/>
  <c r="Z747" i="1"/>
  <c r="AA747" i="1" s="1"/>
  <c r="Z748" i="1"/>
  <c r="AA748" i="1" s="1"/>
  <c r="Z749" i="1"/>
  <c r="AA749" i="1" s="1"/>
  <c r="Z750" i="1"/>
  <c r="AA750" i="1" s="1"/>
  <c r="Z751" i="1"/>
  <c r="AA751" i="1" s="1"/>
  <c r="Z752" i="1"/>
  <c r="AA752" i="1" s="1"/>
  <c r="Z753" i="1"/>
  <c r="AA753" i="1" s="1"/>
  <c r="Z754" i="1"/>
  <c r="AA754" i="1" s="1"/>
  <c r="Z755" i="1"/>
  <c r="AA755" i="1" s="1"/>
  <c r="Z756" i="1"/>
  <c r="AA756" i="1" s="1"/>
  <c r="Z757" i="1"/>
  <c r="AA757" i="1" s="1"/>
  <c r="Z758" i="1"/>
  <c r="AA758" i="1" s="1"/>
  <c r="Z759" i="1"/>
  <c r="AA759" i="1" s="1"/>
  <c r="Z760" i="1"/>
  <c r="AA760" i="1" s="1"/>
  <c r="Z761" i="1"/>
  <c r="AA761" i="1" s="1"/>
  <c r="Z762" i="1"/>
  <c r="AA762" i="1" s="1"/>
  <c r="Z763" i="1"/>
  <c r="AA763" i="1" s="1"/>
  <c r="Z764" i="1"/>
  <c r="AA764" i="1" s="1"/>
  <c r="Z765" i="1"/>
  <c r="AA765" i="1" s="1"/>
  <c r="Z766" i="1"/>
  <c r="AA766" i="1" s="1"/>
  <c r="Z767" i="1"/>
  <c r="AA767" i="1" s="1"/>
  <c r="Z768" i="1"/>
  <c r="AA768" i="1" s="1"/>
  <c r="Z769" i="1"/>
  <c r="AA769" i="1" s="1"/>
  <c r="Z770" i="1"/>
  <c r="AA770" i="1" s="1"/>
  <c r="Z771" i="1"/>
  <c r="AA771" i="1" s="1"/>
  <c r="Z772" i="1"/>
  <c r="AA772" i="1" s="1"/>
  <c r="Z773" i="1"/>
  <c r="AA773" i="1" s="1"/>
  <c r="Z774" i="1"/>
  <c r="AA774" i="1" s="1"/>
  <c r="Z775" i="1"/>
  <c r="AA775" i="1" s="1"/>
  <c r="Z776" i="1"/>
  <c r="AA776" i="1" s="1"/>
  <c r="Z777" i="1"/>
  <c r="AA777" i="1" s="1"/>
  <c r="Z778" i="1"/>
  <c r="AA778" i="1" s="1"/>
  <c r="Z779" i="1"/>
  <c r="AA779" i="1" s="1"/>
  <c r="Z780" i="1"/>
  <c r="AA780" i="1" s="1"/>
  <c r="Z781" i="1"/>
  <c r="AA781" i="1" s="1"/>
  <c r="Z782" i="1"/>
  <c r="AA782" i="1" s="1"/>
  <c r="Z783" i="1"/>
  <c r="AA783" i="1" s="1"/>
  <c r="Z784" i="1"/>
  <c r="AA784" i="1" s="1"/>
  <c r="Z785" i="1"/>
  <c r="AA785" i="1" s="1"/>
  <c r="Z786" i="1"/>
  <c r="AA786" i="1" s="1"/>
  <c r="Z787" i="1"/>
  <c r="AA787" i="1" s="1"/>
  <c r="Z788" i="1"/>
  <c r="AA788" i="1" s="1"/>
  <c r="Z789" i="1"/>
  <c r="AA789" i="1" s="1"/>
  <c r="Z790" i="1"/>
  <c r="AA790" i="1" s="1"/>
  <c r="Z791" i="1"/>
  <c r="AA791" i="1" s="1"/>
  <c r="Z792" i="1"/>
  <c r="AA792" i="1" s="1"/>
  <c r="Z793" i="1"/>
  <c r="AA793" i="1" s="1"/>
  <c r="Z794" i="1"/>
  <c r="AA794" i="1" s="1"/>
  <c r="Z795" i="1"/>
  <c r="AA795" i="1" s="1"/>
  <c r="Z796" i="1"/>
  <c r="AA796" i="1" s="1"/>
  <c r="Z797" i="1"/>
  <c r="AA797" i="1" s="1"/>
  <c r="Z798" i="1"/>
  <c r="AA798" i="1" s="1"/>
  <c r="Z799" i="1"/>
  <c r="AA799" i="1" s="1"/>
  <c r="Z800" i="1"/>
  <c r="AA800" i="1" s="1"/>
  <c r="Z801" i="1"/>
  <c r="AA801" i="1" s="1"/>
  <c r="Z802" i="1"/>
  <c r="AA802" i="1" s="1"/>
  <c r="Z803" i="1"/>
  <c r="AA803" i="1" s="1"/>
  <c r="Z804" i="1"/>
  <c r="AA804" i="1" s="1"/>
  <c r="Z805" i="1"/>
  <c r="AA805" i="1" s="1"/>
  <c r="Z806" i="1"/>
  <c r="AA806" i="1" s="1"/>
  <c r="Z807" i="1"/>
  <c r="AA807" i="1" s="1"/>
  <c r="Z808" i="1"/>
  <c r="AA808" i="1" s="1"/>
  <c r="Z809" i="1"/>
  <c r="AA809" i="1" s="1"/>
  <c r="Z810" i="1"/>
  <c r="AA810" i="1" s="1"/>
  <c r="Z811" i="1"/>
  <c r="AA811" i="1" s="1"/>
  <c r="Z812" i="1"/>
  <c r="AA812" i="1" s="1"/>
  <c r="Z813" i="1"/>
  <c r="AA813" i="1" s="1"/>
  <c r="Z814" i="1"/>
  <c r="AA814" i="1" s="1"/>
  <c r="Z815" i="1"/>
  <c r="AA815" i="1" s="1"/>
  <c r="Z816" i="1"/>
  <c r="AA816" i="1" s="1"/>
  <c r="Z817" i="1"/>
  <c r="AA817" i="1" s="1"/>
  <c r="Z818" i="1"/>
  <c r="AA818" i="1" s="1"/>
  <c r="Z819" i="1"/>
  <c r="AA819" i="1" s="1"/>
  <c r="Z820" i="1"/>
  <c r="AA820" i="1" s="1"/>
  <c r="Z821" i="1"/>
  <c r="AA821" i="1" s="1"/>
  <c r="Z822" i="1"/>
  <c r="AA822" i="1" s="1"/>
  <c r="Z823" i="1"/>
  <c r="AA823" i="1" s="1"/>
  <c r="Z824" i="1"/>
  <c r="AA824" i="1" s="1"/>
  <c r="Z825" i="1"/>
  <c r="AA825" i="1" s="1"/>
  <c r="Z826" i="1"/>
  <c r="AA826" i="1" s="1"/>
  <c r="Z827" i="1"/>
  <c r="AA827" i="1" s="1"/>
  <c r="Z828" i="1"/>
  <c r="AA828" i="1" s="1"/>
  <c r="Z829" i="1"/>
  <c r="AA829" i="1" s="1"/>
  <c r="Z830" i="1"/>
  <c r="AA830" i="1" s="1"/>
  <c r="Z831" i="1"/>
  <c r="AA831" i="1" s="1"/>
  <c r="Z832" i="1"/>
  <c r="AA832" i="1" s="1"/>
  <c r="Z833" i="1"/>
  <c r="AA833" i="1" s="1"/>
  <c r="Z834" i="1"/>
  <c r="AA834" i="1" s="1"/>
  <c r="Z835" i="1"/>
  <c r="AA835" i="1" s="1"/>
  <c r="Z836" i="1"/>
  <c r="AA836" i="1" s="1"/>
  <c r="Z837" i="1"/>
  <c r="AA837" i="1" s="1"/>
  <c r="Z838" i="1"/>
  <c r="AA838" i="1" s="1"/>
  <c r="Z839" i="1"/>
  <c r="AA839" i="1" s="1"/>
  <c r="Z840" i="1"/>
  <c r="AA840" i="1" s="1"/>
  <c r="Z841" i="1"/>
  <c r="AA841" i="1" s="1"/>
  <c r="Z842" i="1"/>
  <c r="AA842" i="1" s="1"/>
  <c r="Z843" i="1"/>
  <c r="AA843" i="1" s="1"/>
  <c r="Z844" i="1"/>
  <c r="AA844" i="1" s="1"/>
  <c r="Z845" i="1"/>
  <c r="AA845" i="1" s="1"/>
  <c r="Z846" i="1"/>
  <c r="AA846" i="1" s="1"/>
  <c r="Z847" i="1"/>
  <c r="AA847" i="1" s="1"/>
  <c r="Z848" i="1"/>
  <c r="AA848" i="1" s="1"/>
  <c r="Z849" i="1"/>
  <c r="AA849" i="1" s="1"/>
  <c r="Z850" i="1"/>
  <c r="AA850" i="1" s="1"/>
  <c r="Z851" i="1"/>
  <c r="AA851" i="1" s="1"/>
  <c r="Z852" i="1"/>
  <c r="AA852" i="1" s="1"/>
  <c r="Z853" i="1"/>
  <c r="AA853" i="1" s="1"/>
  <c r="Z854" i="1"/>
  <c r="AA854" i="1" s="1"/>
  <c r="Z855" i="1"/>
  <c r="AA855" i="1" s="1"/>
  <c r="Z856" i="1"/>
  <c r="AA856" i="1" s="1"/>
  <c r="Z857" i="1"/>
  <c r="AA857" i="1" s="1"/>
  <c r="Z858" i="1"/>
  <c r="AA858" i="1" s="1"/>
  <c r="Z859" i="1"/>
  <c r="AA859" i="1" s="1"/>
  <c r="Z860" i="1"/>
  <c r="AA860" i="1" s="1"/>
  <c r="Z861" i="1"/>
  <c r="AA861" i="1" s="1"/>
  <c r="Z862" i="1"/>
  <c r="AA862" i="1" s="1"/>
  <c r="Z863" i="1"/>
  <c r="AA863" i="1" s="1"/>
  <c r="Z864" i="1"/>
  <c r="AA864" i="1" s="1"/>
  <c r="Z865" i="1"/>
  <c r="AA865" i="1" s="1"/>
  <c r="Z866" i="1"/>
  <c r="AA866" i="1" s="1"/>
  <c r="Z867" i="1"/>
  <c r="AA867" i="1" s="1"/>
  <c r="Z868" i="1"/>
  <c r="AA868" i="1" s="1"/>
  <c r="Z869" i="1"/>
  <c r="AA869" i="1" s="1"/>
  <c r="Z870" i="1"/>
  <c r="AA870" i="1" s="1"/>
  <c r="Z871" i="1"/>
  <c r="AA871" i="1" s="1"/>
  <c r="Z872" i="1"/>
  <c r="AA872" i="1" s="1"/>
  <c r="Z873" i="1"/>
  <c r="AA873" i="1" s="1"/>
  <c r="Z874" i="1"/>
  <c r="AA874" i="1" s="1"/>
  <c r="Z875" i="1"/>
  <c r="AA875" i="1" s="1"/>
  <c r="Z876" i="1"/>
  <c r="AA876" i="1" s="1"/>
  <c r="Z877" i="1"/>
  <c r="AA877" i="1" s="1"/>
  <c r="Z878" i="1"/>
  <c r="AA878" i="1" s="1"/>
  <c r="Z879" i="1"/>
  <c r="AA879" i="1" s="1"/>
  <c r="Z880" i="1"/>
  <c r="AA880" i="1" s="1"/>
  <c r="Z881" i="1"/>
  <c r="AA881" i="1" s="1"/>
  <c r="Z882" i="1"/>
  <c r="AA882" i="1" s="1"/>
  <c r="Z883" i="1"/>
  <c r="AA883" i="1" s="1"/>
  <c r="Z884" i="1"/>
  <c r="AA884" i="1" s="1"/>
  <c r="Z885" i="1"/>
  <c r="AA885" i="1" s="1"/>
  <c r="Z886" i="1"/>
  <c r="AA886" i="1" s="1"/>
  <c r="Z887" i="1"/>
  <c r="AA887" i="1" s="1"/>
  <c r="Z888" i="1"/>
  <c r="AA888" i="1" s="1"/>
  <c r="Z889" i="1"/>
  <c r="AA889" i="1" s="1"/>
  <c r="Z890" i="1"/>
  <c r="AA890" i="1" s="1"/>
  <c r="Z891" i="1"/>
  <c r="AA891" i="1" s="1"/>
  <c r="Z892" i="1"/>
  <c r="AA892" i="1" s="1"/>
  <c r="Z893" i="1"/>
  <c r="AA893" i="1" s="1"/>
  <c r="Z894" i="1"/>
  <c r="AA894" i="1" s="1"/>
  <c r="Z895" i="1"/>
  <c r="AA895" i="1" s="1"/>
  <c r="Z896" i="1"/>
  <c r="AA896" i="1" s="1"/>
  <c r="Z897" i="1"/>
  <c r="AA897" i="1" s="1"/>
  <c r="Z898" i="1"/>
  <c r="AA898" i="1" s="1"/>
  <c r="Z899" i="1"/>
  <c r="AA899" i="1" s="1"/>
  <c r="Z900" i="1"/>
  <c r="AA900" i="1" s="1"/>
  <c r="Z901" i="1"/>
  <c r="AA901" i="1" s="1"/>
  <c r="Z902" i="1"/>
  <c r="AA902" i="1" s="1"/>
  <c r="Z903" i="1"/>
  <c r="AA903" i="1" s="1"/>
  <c r="Z904" i="1"/>
  <c r="AA904" i="1" s="1"/>
  <c r="Z905" i="1"/>
  <c r="AA905" i="1" s="1"/>
  <c r="Z906" i="1"/>
  <c r="AA906" i="1" s="1"/>
  <c r="Z907" i="1"/>
  <c r="AA907" i="1" s="1"/>
  <c r="Z908" i="1"/>
  <c r="AA908" i="1" s="1"/>
  <c r="Z909" i="1"/>
  <c r="AA909" i="1" s="1"/>
  <c r="Z910" i="1"/>
  <c r="AA910" i="1" s="1"/>
  <c r="Z911" i="1"/>
  <c r="AA911" i="1" s="1"/>
  <c r="Z912" i="1"/>
  <c r="AA912" i="1" s="1"/>
  <c r="Z913" i="1"/>
  <c r="AA913" i="1" s="1"/>
  <c r="Z2" i="1"/>
  <c r="AA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2" i="1"/>
  <c r="E3" i="1"/>
  <c r="AD3" i="1" s="1"/>
  <c r="E4" i="1"/>
  <c r="AD4" i="1" s="1"/>
  <c r="E5" i="1"/>
  <c r="AD5" i="1" s="1"/>
  <c r="E6" i="1"/>
  <c r="AD6" i="1" s="1"/>
  <c r="E7" i="1"/>
  <c r="AD7" i="1" s="1"/>
  <c r="E8" i="1"/>
  <c r="E9" i="1"/>
  <c r="AD9" i="1" s="1"/>
  <c r="E10" i="1"/>
  <c r="AD10" i="1" s="1"/>
  <c r="E11" i="1"/>
  <c r="AD11" i="1" s="1"/>
  <c r="E12" i="1"/>
  <c r="AD12" i="1" s="1"/>
  <c r="E13" i="1"/>
  <c r="AD13" i="1" s="1"/>
  <c r="E14" i="1"/>
  <c r="AD14" i="1" s="1"/>
  <c r="E15" i="1"/>
  <c r="AD15" i="1" s="1"/>
  <c r="E16" i="1"/>
  <c r="AD16" i="1" s="1"/>
  <c r="E17" i="1"/>
  <c r="AD17" i="1" s="1"/>
  <c r="E18" i="1"/>
  <c r="AD18" i="1" s="1"/>
  <c r="E19" i="1"/>
  <c r="AD19" i="1" s="1"/>
  <c r="E20" i="1"/>
  <c r="AD20" i="1" s="1"/>
  <c r="E21" i="1"/>
  <c r="AD21" i="1" s="1"/>
  <c r="E22" i="1"/>
  <c r="AD22" i="1" s="1"/>
  <c r="E23" i="1"/>
  <c r="AD23" i="1" s="1"/>
  <c r="E24" i="1"/>
  <c r="AD24" i="1" s="1"/>
  <c r="E25" i="1"/>
  <c r="AD25" i="1" s="1"/>
  <c r="E26" i="1"/>
  <c r="AD26" i="1" s="1"/>
  <c r="E27" i="1"/>
  <c r="AD27" i="1" s="1"/>
  <c r="E28" i="1"/>
  <c r="AD28" i="1" s="1"/>
  <c r="E29" i="1"/>
  <c r="AD29" i="1" s="1"/>
  <c r="E30" i="1"/>
  <c r="AD30" i="1" s="1"/>
  <c r="E31" i="1"/>
  <c r="AD31" i="1" s="1"/>
  <c r="E32" i="1"/>
  <c r="AD32" i="1" s="1"/>
  <c r="E33" i="1"/>
  <c r="AD33" i="1" s="1"/>
  <c r="E34" i="1"/>
  <c r="AD34" i="1" s="1"/>
  <c r="E35" i="1"/>
  <c r="AD35" i="1" s="1"/>
  <c r="E36" i="1"/>
  <c r="AD36" i="1" s="1"/>
  <c r="E37" i="1"/>
  <c r="AD37" i="1" s="1"/>
  <c r="E38" i="1"/>
  <c r="AD38" i="1" s="1"/>
  <c r="E39" i="1"/>
  <c r="AD39" i="1" s="1"/>
  <c r="E40" i="1"/>
  <c r="AD40" i="1" s="1"/>
  <c r="E41" i="1"/>
  <c r="AD41" i="1" s="1"/>
  <c r="E42" i="1"/>
  <c r="AD42" i="1" s="1"/>
  <c r="E43" i="1"/>
  <c r="AD43" i="1" s="1"/>
  <c r="E44" i="1"/>
  <c r="AD44" i="1" s="1"/>
  <c r="E45" i="1"/>
  <c r="AD45" i="1" s="1"/>
  <c r="E46" i="1"/>
  <c r="AD46" i="1" s="1"/>
  <c r="E47" i="1"/>
  <c r="AD47" i="1" s="1"/>
  <c r="E48" i="1"/>
  <c r="AD48" i="1" s="1"/>
  <c r="E49" i="1"/>
  <c r="AD49" i="1" s="1"/>
  <c r="E50" i="1"/>
  <c r="AD50" i="1" s="1"/>
  <c r="E51" i="1"/>
  <c r="AD51" i="1" s="1"/>
  <c r="E52" i="1"/>
  <c r="AD52" i="1" s="1"/>
  <c r="E53" i="1"/>
  <c r="AD53" i="1" s="1"/>
  <c r="E54" i="1"/>
  <c r="AD54" i="1" s="1"/>
  <c r="E55" i="1"/>
  <c r="AD55" i="1" s="1"/>
  <c r="E56" i="1"/>
  <c r="AD56" i="1" s="1"/>
  <c r="E57" i="1"/>
  <c r="AD57" i="1" s="1"/>
  <c r="E58" i="1"/>
  <c r="AD58" i="1" s="1"/>
  <c r="E59" i="1"/>
  <c r="AD59" i="1" s="1"/>
  <c r="E60" i="1"/>
  <c r="AD60" i="1" s="1"/>
  <c r="E61" i="1"/>
  <c r="AD61" i="1" s="1"/>
  <c r="E62" i="1"/>
  <c r="AD62" i="1" s="1"/>
  <c r="E63" i="1"/>
  <c r="AD63" i="1" s="1"/>
  <c r="E64" i="1"/>
  <c r="AD64" i="1" s="1"/>
  <c r="E65" i="1"/>
  <c r="AD65" i="1" s="1"/>
  <c r="E66" i="1"/>
  <c r="AD66" i="1" s="1"/>
  <c r="E67" i="1"/>
  <c r="AD67" i="1" s="1"/>
  <c r="E68" i="1"/>
  <c r="AD68" i="1" s="1"/>
  <c r="E69" i="1"/>
  <c r="AD69" i="1" s="1"/>
  <c r="E70" i="1"/>
  <c r="AD70" i="1" s="1"/>
  <c r="E71" i="1"/>
  <c r="AD71" i="1" s="1"/>
  <c r="E72" i="1"/>
  <c r="AD72" i="1" s="1"/>
  <c r="E73" i="1"/>
  <c r="AD73" i="1" s="1"/>
  <c r="E74" i="1"/>
  <c r="AD74" i="1" s="1"/>
  <c r="E75" i="1"/>
  <c r="AD75" i="1" s="1"/>
  <c r="E76" i="1"/>
  <c r="AD76" i="1" s="1"/>
  <c r="E77" i="1"/>
  <c r="AD77" i="1" s="1"/>
  <c r="E78" i="1"/>
  <c r="AD78" i="1" s="1"/>
  <c r="E79" i="1"/>
  <c r="AD79" i="1" s="1"/>
  <c r="E80" i="1"/>
  <c r="AD80" i="1" s="1"/>
  <c r="E81" i="1"/>
  <c r="AD81" i="1" s="1"/>
  <c r="E82" i="1"/>
  <c r="AD82" i="1" s="1"/>
  <c r="E83" i="1"/>
  <c r="AD83" i="1" s="1"/>
  <c r="E84" i="1"/>
  <c r="AD84" i="1" s="1"/>
  <c r="E85" i="1"/>
  <c r="AD85" i="1" s="1"/>
  <c r="E86" i="1"/>
  <c r="AD86" i="1" s="1"/>
  <c r="E87" i="1"/>
  <c r="AD87" i="1" s="1"/>
  <c r="E88" i="1"/>
  <c r="AD88" i="1" s="1"/>
  <c r="E89" i="1"/>
  <c r="AD89" i="1" s="1"/>
  <c r="E90" i="1"/>
  <c r="AD90" i="1" s="1"/>
  <c r="E91" i="1"/>
  <c r="AD91" i="1" s="1"/>
  <c r="E92" i="1"/>
  <c r="AD92" i="1" s="1"/>
  <c r="E93" i="1"/>
  <c r="AD93" i="1" s="1"/>
  <c r="E94" i="1"/>
  <c r="AD94" i="1" s="1"/>
  <c r="E95" i="1"/>
  <c r="AD95" i="1" s="1"/>
  <c r="E96" i="1"/>
  <c r="AD96" i="1" s="1"/>
  <c r="E97" i="1"/>
  <c r="AD97" i="1" s="1"/>
  <c r="E98" i="1"/>
  <c r="AD98" i="1" s="1"/>
  <c r="E99" i="1"/>
  <c r="AD99" i="1" s="1"/>
  <c r="E100" i="1"/>
  <c r="AD100" i="1" s="1"/>
  <c r="E101" i="1"/>
  <c r="AD101" i="1" s="1"/>
  <c r="E102" i="1"/>
  <c r="AD102" i="1" s="1"/>
  <c r="E103" i="1"/>
  <c r="AD103" i="1" s="1"/>
  <c r="E104" i="1"/>
  <c r="AD104" i="1" s="1"/>
  <c r="E105" i="1"/>
  <c r="AD105" i="1" s="1"/>
  <c r="E106" i="1"/>
  <c r="AD106" i="1" s="1"/>
  <c r="E107" i="1"/>
  <c r="AD107" i="1" s="1"/>
  <c r="E108" i="1"/>
  <c r="AD108" i="1" s="1"/>
  <c r="E109" i="1"/>
  <c r="AD109" i="1" s="1"/>
  <c r="E110" i="1"/>
  <c r="AD110" i="1" s="1"/>
  <c r="E111" i="1"/>
  <c r="AD111" i="1" s="1"/>
  <c r="E112" i="1"/>
  <c r="AD112" i="1" s="1"/>
  <c r="E113" i="1"/>
  <c r="AD113" i="1" s="1"/>
  <c r="E114" i="1"/>
  <c r="AD114" i="1" s="1"/>
  <c r="E115" i="1"/>
  <c r="AD115" i="1" s="1"/>
  <c r="E116" i="1"/>
  <c r="AD116" i="1" s="1"/>
  <c r="E117" i="1"/>
  <c r="AD117" i="1" s="1"/>
  <c r="E118" i="1"/>
  <c r="AD118" i="1" s="1"/>
  <c r="E119" i="1"/>
  <c r="AD119" i="1" s="1"/>
  <c r="E120" i="1"/>
  <c r="AD120" i="1" s="1"/>
  <c r="E121" i="1"/>
  <c r="AD121" i="1" s="1"/>
  <c r="E122" i="1"/>
  <c r="AD122" i="1" s="1"/>
  <c r="E123" i="1"/>
  <c r="AD123" i="1" s="1"/>
  <c r="E124" i="1"/>
  <c r="AD124" i="1" s="1"/>
  <c r="E125" i="1"/>
  <c r="AD125" i="1" s="1"/>
  <c r="E126" i="1"/>
  <c r="AD126" i="1" s="1"/>
  <c r="E127" i="1"/>
  <c r="AD127" i="1" s="1"/>
  <c r="E128" i="1"/>
  <c r="AD128" i="1" s="1"/>
  <c r="E129" i="1"/>
  <c r="AD129" i="1" s="1"/>
  <c r="E130" i="1"/>
  <c r="AD130" i="1" s="1"/>
  <c r="E131" i="1"/>
  <c r="AD131" i="1" s="1"/>
  <c r="E132" i="1"/>
  <c r="AD132" i="1" s="1"/>
  <c r="E133" i="1"/>
  <c r="AD133" i="1" s="1"/>
  <c r="E134" i="1"/>
  <c r="AD134" i="1" s="1"/>
  <c r="E135" i="1"/>
  <c r="AD135" i="1" s="1"/>
  <c r="E136" i="1"/>
  <c r="AD136" i="1" s="1"/>
  <c r="E137" i="1"/>
  <c r="AD137" i="1" s="1"/>
  <c r="E138" i="1"/>
  <c r="AD138" i="1" s="1"/>
  <c r="E139" i="1"/>
  <c r="AD139" i="1" s="1"/>
  <c r="E140" i="1"/>
  <c r="AD140" i="1" s="1"/>
  <c r="E141" i="1"/>
  <c r="AD141" i="1" s="1"/>
  <c r="E142" i="1"/>
  <c r="AD142" i="1" s="1"/>
  <c r="E143" i="1"/>
  <c r="AD143" i="1" s="1"/>
  <c r="E144" i="1"/>
  <c r="AD144" i="1" s="1"/>
  <c r="E145" i="1"/>
  <c r="AD145" i="1" s="1"/>
  <c r="E146" i="1"/>
  <c r="AD146" i="1" s="1"/>
  <c r="E147" i="1"/>
  <c r="AD147" i="1" s="1"/>
  <c r="E148" i="1"/>
  <c r="AD148" i="1" s="1"/>
  <c r="E149" i="1"/>
  <c r="AD149" i="1" s="1"/>
  <c r="E150" i="1"/>
  <c r="AD150" i="1" s="1"/>
  <c r="E151" i="1"/>
  <c r="AD151" i="1" s="1"/>
  <c r="E152" i="1"/>
  <c r="AD152" i="1" s="1"/>
  <c r="E153" i="1"/>
  <c r="AD153" i="1" s="1"/>
  <c r="E154" i="1"/>
  <c r="AD154" i="1" s="1"/>
  <c r="E155" i="1"/>
  <c r="AD155" i="1" s="1"/>
  <c r="E156" i="1"/>
  <c r="AD156" i="1" s="1"/>
  <c r="E157" i="1"/>
  <c r="AD157" i="1" s="1"/>
  <c r="E158" i="1"/>
  <c r="AD158" i="1" s="1"/>
  <c r="E159" i="1"/>
  <c r="AD159" i="1" s="1"/>
  <c r="E160" i="1"/>
  <c r="AD160" i="1" s="1"/>
  <c r="E161" i="1"/>
  <c r="AD161" i="1" s="1"/>
  <c r="E162" i="1"/>
  <c r="AD162" i="1" s="1"/>
  <c r="E163" i="1"/>
  <c r="AD163" i="1" s="1"/>
  <c r="E164" i="1"/>
  <c r="AD164" i="1" s="1"/>
  <c r="E165" i="1"/>
  <c r="AD165" i="1" s="1"/>
  <c r="E166" i="1"/>
  <c r="AD166" i="1" s="1"/>
  <c r="E167" i="1"/>
  <c r="AD167" i="1" s="1"/>
  <c r="E168" i="1"/>
  <c r="AD168" i="1" s="1"/>
  <c r="E169" i="1"/>
  <c r="AD169" i="1" s="1"/>
  <c r="E170" i="1"/>
  <c r="AD170" i="1" s="1"/>
  <c r="E171" i="1"/>
  <c r="AD171" i="1" s="1"/>
  <c r="E172" i="1"/>
  <c r="AD172" i="1" s="1"/>
  <c r="E173" i="1"/>
  <c r="AD173" i="1" s="1"/>
  <c r="E174" i="1"/>
  <c r="AD174" i="1" s="1"/>
  <c r="E175" i="1"/>
  <c r="AD175" i="1" s="1"/>
  <c r="E176" i="1"/>
  <c r="AD176" i="1" s="1"/>
  <c r="E177" i="1"/>
  <c r="AD177" i="1" s="1"/>
  <c r="E178" i="1"/>
  <c r="AD178" i="1" s="1"/>
  <c r="E179" i="1"/>
  <c r="AD179" i="1" s="1"/>
  <c r="E180" i="1"/>
  <c r="AD180" i="1" s="1"/>
  <c r="E181" i="1"/>
  <c r="AD181" i="1" s="1"/>
  <c r="E182" i="1"/>
  <c r="AD182" i="1" s="1"/>
  <c r="E183" i="1"/>
  <c r="AD183" i="1" s="1"/>
  <c r="E184" i="1"/>
  <c r="AD184" i="1" s="1"/>
  <c r="E185" i="1"/>
  <c r="AD185" i="1" s="1"/>
  <c r="E186" i="1"/>
  <c r="AD186" i="1" s="1"/>
  <c r="E187" i="1"/>
  <c r="AD187" i="1" s="1"/>
  <c r="E188" i="1"/>
  <c r="AD188" i="1" s="1"/>
  <c r="E189" i="1"/>
  <c r="AD189" i="1" s="1"/>
  <c r="E190" i="1"/>
  <c r="AD190" i="1" s="1"/>
  <c r="E191" i="1"/>
  <c r="AD191" i="1" s="1"/>
  <c r="E192" i="1"/>
  <c r="AD192" i="1" s="1"/>
  <c r="E193" i="1"/>
  <c r="AD193" i="1" s="1"/>
  <c r="E194" i="1"/>
  <c r="AD194" i="1" s="1"/>
  <c r="E195" i="1"/>
  <c r="AD195" i="1" s="1"/>
  <c r="E196" i="1"/>
  <c r="AD196" i="1" s="1"/>
  <c r="E197" i="1"/>
  <c r="AD197" i="1" s="1"/>
  <c r="E198" i="1"/>
  <c r="AD198" i="1" s="1"/>
  <c r="E199" i="1"/>
  <c r="AD199" i="1" s="1"/>
  <c r="E200" i="1"/>
  <c r="AD200" i="1" s="1"/>
  <c r="E201" i="1"/>
  <c r="AD201" i="1" s="1"/>
  <c r="E202" i="1"/>
  <c r="AD202" i="1" s="1"/>
  <c r="E203" i="1"/>
  <c r="AD203" i="1" s="1"/>
  <c r="E204" i="1"/>
  <c r="AD204" i="1" s="1"/>
  <c r="E205" i="1"/>
  <c r="AD205" i="1" s="1"/>
  <c r="E206" i="1"/>
  <c r="AD206" i="1" s="1"/>
  <c r="E207" i="1"/>
  <c r="AD207" i="1" s="1"/>
  <c r="E208" i="1"/>
  <c r="AD208" i="1" s="1"/>
  <c r="E209" i="1"/>
  <c r="AD209" i="1" s="1"/>
  <c r="E210" i="1"/>
  <c r="AD210" i="1" s="1"/>
  <c r="E211" i="1"/>
  <c r="AD211" i="1" s="1"/>
  <c r="E212" i="1"/>
  <c r="AD212" i="1" s="1"/>
  <c r="E213" i="1"/>
  <c r="AD213" i="1" s="1"/>
  <c r="E214" i="1"/>
  <c r="AD214" i="1" s="1"/>
  <c r="E215" i="1"/>
  <c r="AD215" i="1" s="1"/>
  <c r="E216" i="1"/>
  <c r="AD216" i="1" s="1"/>
  <c r="E217" i="1"/>
  <c r="AD217" i="1" s="1"/>
  <c r="E218" i="1"/>
  <c r="AD218" i="1" s="1"/>
  <c r="E219" i="1"/>
  <c r="AD219" i="1" s="1"/>
  <c r="E220" i="1"/>
  <c r="AD220" i="1" s="1"/>
  <c r="E221" i="1"/>
  <c r="AD221" i="1" s="1"/>
  <c r="E222" i="1"/>
  <c r="AD222" i="1" s="1"/>
  <c r="E223" i="1"/>
  <c r="AD223" i="1" s="1"/>
  <c r="E224" i="1"/>
  <c r="AD224" i="1" s="1"/>
  <c r="E225" i="1"/>
  <c r="AD225" i="1" s="1"/>
  <c r="E226" i="1"/>
  <c r="AD226" i="1" s="1"/>
  <c r="E227" i="1"/>
  <c r="AD227" i="1" s="1"/>
  <c r="E228" i="1"/>
  <c r="AD228" i="1" s="1"/>
  <c r="E229" i="1"/>
  <c r="AD229" i="1" s="1"/>
  <c r="E230" i="1"/>
  <c r="AD230" i="1" s="1"/>
  <c r="E231" i="1"/>
  <c r="AD231" i="1" s="1"/>
  <c r="E232" i="1"/>
  <c r="AD232" i="1" s="1"/>
  <c r="E233" i="1"/>
  <c r="AD233" i="1" s="1"/>
  <c r="E234" i="1"/>
  <c r="AD234" i="1" s="1"/>
  <c r="E235" i="1"/>
  <c r="AD235" i="1" s="1"/>
  <c r="E236" i="1"/>
  <c r="AD236" i="1" s="1"/>
  <c r="E237" i="1"/>
  <c r="AD237" i="1" s="1"/>
  <c r="E238" i="1"/>
  <c r="AD238" i="1" s="1"/>
  <c r="E239" i="1"/>
  <c r="AD239" i="1" s="1"/>
  <c r="E240" i="1"/>
  <c r="AD240" i="1" s="1"/>
  <c r="E241" i="1"/>
  <c r="AD241" i="1" s="1"/>
  <c r="E242" i="1"/>
  <c r="AD242" i="1" s="1"/>
  <c r="E243" i="1"/>
  <c r="AD243" i="1" s="1"/>
  <c r="E244" i="1"/>
  <c r="AD244" i="1" s="1"/>
  <c r="E245" i="1"/>
  <c r="AD245" i="1" s="1"/>
  <c r="E246" i="1"/>
  <c r="AD246" i="1" s="1"/>
  <c r="E247" i="1"/>
  <c r="AD247" i="1" s="1"/>
  <c r="E248" i="1"/>
  <c r="AD248" i="1" s="1"/>
  <c r="E249" i="1"/>
  <c r="AD249" i="1" s="1"/>
  <c r="E250" i="1"/>
  <c r="AD250" i="1" s="1"/>
  <c r="E251" i="1"/>
  <c r="AD251" i="1" s="1"/>
  <c r="E252" i="1"/>
  <c r="AD252" i="1" s="1"/>
  <c r="E253" i="1"/>
  <c r="AD253" i="1" s="1"/>
  <c r="E254" i="1"/>
  <c r="AD254" i="1" s="1"/>
  <c r="E255" i="1"/>
  <c r="AD255" i="1" s="1"/>
  <c r="E256" i="1"/>
  <c r="AD256" i="1" s="1"/>
  <c r="E257" i="1"/>
  <c r="AD257" i="1" s="1"/>
  <c r="E258" i="1"/>
  <c r="AD258" i="1" s="1"/>
  <c r="E259" i="1"/>
  <c r="AD259" i="1" s="1"/>
  <c r="E260" i="1"/>
  <c r="AD260" i="1" s="1"/>
  <c r="E261" i="1"/>
  <c r="AD261" i="1" s="1"/>
  <c r="E262" i="1"/>
  <c r="AD262" i="1" s="1"/>
  <c r="E263" i="1"/>
  <c r="AD263" i="1" s="1"/>
  <c r="E264" i="1"/>
  <c r="AD264" i="1" s="1"/>
  <c r="E265" i="1"/>
  <c r="AD265" i="1" s="1"/>
  <c r="E266" i="1"/>
  <c r="AD266" i="1" s="1"/>
  <c r="E267" i="1"/>
  <c r="AD267" i="1" s="1"/>
  <c r="E268" i="1"/>
  <c r="AD268" i="1" s="1"/>
  <c r="E269" i="1"/>
  <c r="AD269" i="1" s="1"/>
  <c r="E270" i="1"/>
  <c r="AD270" i="1" s="1"/>
  <c r="E271" i="1"/>
  <c r="AD271" i="1" s="1"/>
  <c r="E272" i="1"/>
  <c r="AD272" i="1" s="1"/>
  <c r="E273" i="1"/>
  <c r="AD273" i="1" s="1"/>
  <c r="E274" i="1"/>
  <c r="AD274" i="1" s="1"/>
  <c r="E275" i="1"/>
  <c r="AD275" i="1" s="1"/>
  <c r="E276" i="1"/>
  <c r="AD276" i="1" s="1"/>
  <c r="E277" i="1"/>
  <c r="AD277" i="1" s="1"/>
  <c r="E278" i="1"/>
  <c r="AD278" i="1" s="1"/>
  <c r="E279" i="1"/>
  <c r="AD279" i="1" s="1"/>
  <c r="E280" i="1"/>
  <c r="AD280" i="1" s="1"/>
  <c r="E281" i="1"/>
  <c r="AD281" i="1" s="1"/>
  <c r="E282" i="1"/>
  <c r="AD282" i="1" s="1"/>
  <c r="E283" i="1"/>
  <c r="AD283" i="1" s="1"/>
  <c r="E284" i="1"/>
  <c r="AD284" i="1" s="1"/>
  <c r="E285" i="1"/>
  <c r="AD285" i="1" s="1"/>
  <c r="E286" i="1"/>
  <c r="AD286" i="1" s="1"/>
  <c r="E287" i="1"/>
  <c r="AD287" i="1" s="1"/>
  <c r="E288" i="1"/>
  <c r="AD288" i="1" s="1"/>
  <c r="E289" i="1"/>
  <c r="AD289" i="1" s="1"/>
  <c r="E290" i="1"/>
  <c r="AD290" i="1" s="1"/>
  <c r="E291" i="1"/>
  <c r="AD291" i="1" s="1"/>
  <c r="E292" i="1"/>
  <c r="AD292" i="1" s="1"/>
  <c r="E293" i="1"/>
  <c r="AD293" i="1" s="1"/>
  <c r="E294" i="1"/>
  <c r="AD294" i="1" s="1"/>
  <c r="E295" i="1"/>
  <c r="AD295" i="1" s="1"/>
  <c r="E296" i="1"/>
  <c r="AD296" i="1" s="1"/>
  <c r="E297" i="1"/>
  <c r="AD297" i="1" s="1"/>
  <c r="E298" i="1"/>
  <c r="AD298" i="1" s="1"/>
  <c r="E299" i="1"/>
  <c r="AD299" i="1" s="1"/>
  <c r="E300" i="1"/>
  <c r="AD300" i="1" s="1"/>
  <c r="E301" i="1"/>
  <c r="AD301" i="1" s="1"/>
  <c r="E302" i="1"/>
  <c r="AD302" i="1" s="1"/>
  <c r="E303" i="1"/>
  <c r="AD303" i="1" s="1"/>
  <c r="E304" i="1"/>
  <c r="AD304" i="1" s="1"/>
  <c r="E305" i="1"/>
  <c r="AD305" i="1" s="1"/>
  <c r="E306" i="1"/>
  <c r="AD306" i="1" s="1"/>
  <c r="E307" i="1"/>
  <c r="AD307" i="1" s="1"/>
  <c r="E308" i="1"/>
  <c r="AD308" i="1" s="1"/>
  <c r="E309" i="1"/>
  <c r="AD309" i="1" s="1"/>
  <c r="E310" i="1"/>
  <c r="AD310" i="1" s="1"/>
  <c r="E311" i="1"/>
  <c r="AD311" i="1" s="1"/>
  <c r="E312" i="1"/>
  <c r="AD312" i="1" s="1"/>
  <c r="E313" i="1"/>
  <c r="AD313" i="1" s="1"/>
  <c r="E314" i="1"/>
  <c r="AD314" i="1" s="1"/>
  <c r="E315" i="1"/>
  <c r="AD315" i="1" s="1"/>
  <c r="E316" i="1"/>
  <c r="AD316" i="1" s="1"/>
  <c r="E317" i="1"/>
  <c r="AD317" i="1" s="1"/>
  <c r="E318" i="1"/>
  <c r="AD318" i="1" s="1"/>
  <c r="E319" i="1"/>
  <c r="AD319" i="1" s="1"/>
  <c r="E320" i="1"/>
  <c r="AD320" i="1" s="1"/>
  <c r="E321" i="1"/>
  <c r="AD321" i="1" s="1"/>
  <c r="E322" i="1"/>
  <c r="AD322" i="1" s="1"/>
  <c r="E323" i="1"/>
  <c r="AD323" i="1" s="1"/>
  <c r="E324" i="1"/>
  <c r="AD324" i="1" s="1"/>
  <c r="E325" i="1"/>
  <c r="AD325" i="1" s="1"/>
  <c r="E326" i="1"/>
  <c r="AD326" i="1" s="1"/>
  <c r="E327" i="1"/>
  <c r="AD327" i="1" s="1"/>
  <c r="E328" i="1"/>
  <c r="AD328" i="1" s="1"/>
  <c r="E329" i="1"/>
  <c r="AD329" i="1" s="1"/>
  <c r="E330" i="1"/>
  <c r="AD330" i="1" s="1"/>
  <c r="E331" i="1"/>
  <c r="AD331" i="1" s="1"/>
  <c r="E332" i="1"/>
  <c r="AD332" i="1" s="1"/>
  <c r="E333" i="1"/>
  <c r="AD333" i="1" s="1"/>
  <c r="E334" i="1"/>
  <c r="AD334" i="1" s="1"/>
  <c r="E335" i="1"/>
  <c r="AD335" i="1" s="1"/>
  <c r="E336" i="1"/>
  <c r="AD336" i="1" s="1"/>
  <c r="E337" i="1"/>
  <c r="AD337" i="1" s="1"/>
  <c r="E338" i="1"/>
  <c r="AD338" i="1" s="1"/>
  <c r="E339" i="1"/>
  <c r="AD339" i="1" s="1"/>
  <c r="E340" i="1"/>
  <c r="AD340" i="1" s="1"/>
  <c r="E341" i="1"/>
  <c r="AD341" i="1" s="1"/>
  <c r="E342" i="1"/>
  <c r="AD342" i="1" s="1"/>
  <c r="E343" i="1"/>
  <c r="AD343" i="1" s="1"/>
  <c r="E344" i="1"/>
  <c r="AD344" i="1" s="1"/>
  <c r="E345" i="1"/>
  <c r="AD345" i="1" s="1"/>
  <c r="E346" i="1"/>
  <c r="AD346" i="1" s="1"/>
  <c r="E347" i="1"/>
  <c r="AD347" i="1" s="1"/>
  <c r="E348" i="1"/>
  <c r="AD348" i="1" s="1"/>
  <c r="E349" i="1"/>
  <c r="AD349" i="1" s="1"/>
  <c r="E350" i="1"/>
  <c r="AD350" i="1" s="1"/>
  <c r="E351" i="1"/>
  <c r="AD351" i="1" s="1"/>
  <c r="E352" i="1"/>
  <c r="AD352" i="1" s="1"/>
  <c r="E353" i="1"/>
  <c r="AD353" i="1" s="1"/>
  <c r="E354" i="1"/>
  <c r="AD354" i="1" s="1"/>
  <c r="E355" i="1"/>
  <c r="AD355" i="1" s="1"/>
  <c r="E356" i="1"/>
  <c r="AD356" i="1" s="1"/>
  <c r="E357" i="1"/>
  <c r="AD357" i="1" s="1"/>
  <c r="E358" i="1"/>
  <c r="AD358" i="1" s="1"/>
  <c r="E359" i="1"/>
  <c r="AD359" i="1" s="1"/>
  <c r="E360" i="1"/>
  <c r="AD360" i="1" s="1"/>
  <c r="E361" i="1"/>
  <c r="AD361" i="1" s="1"/>
  <c r="E362" i="1"/>
  <c r="AD362" i="1" s="1"/>
  <c r="E363" i="1"/>
  <c r="AD363" i="1" s="1"/>
  <c r="E364" i="1"/>
  <c r="AD364" i="1" s="1"/>
  <c r="E365" i="1"/>
  <c r="AD365" i="1" s="1"/>
  <c r="E366" i="1"/>
  <c r="AD366" i="1" s="1"/>
  <c r="E367" i="1"/>
  <c r="AD367" i="1" s="1"/>
  <c r="E368" i="1"/>
  <c r="AD368" i="1" s="1"/>
  <c r="E369" i="1"/>
  <c r="AD369" i="1" s="1"/>
  <c r="E370" i="1"/>
  <c r="AD370" i="1" s="1"/>
  <c r="E371" i="1"/>
  <c r="AD371" i="1" s="1"/>
  <c r="E372" i="1"/>
  <c r="AD372" i="1" s="1"/>
  <c r="E373" i="1"/>
  <c r="AD373" i="1" s="1"/>
  <c r="E374" i="1"/>
  <c r="AD374" i="1" s="1"/>
  <c r="E375" i="1"/>
  <c r="AD375" i="1" s="1"/>
  <c r="E376" i="1"/>
  <c r="AD376" i="1" s="1"/>
  <c r="E377" i="1"/>
  <c r="AD377" i="1" s="1"/>
  <c r="E378" i="1"/>
  <c r="AD378" i="1" s="1"/>
  <c r="E379" i="1"/>
  <c r="AD379" i="1" s="1"/>
  <c r="E380" i="1"/>
  <c r="AD380" i="1" s="1"/>
  <c r="E381" i="1"/>
  <c r="AD381" i="1" s="1"/>
  <c r="E382" i="1"/>
  <c r="AD382" i="1" s="1"/>
  <c r="E383" i="1"/>
  <c r="AD383" i="1" s="1"/>
  <c r="E384" i="1"/>
  <c r="AD384" i="1" s="1"/>
  <c r="E385" i="1"/>
  <c r="AD385" i="1" s="1"/>
  <c r="E386" i="1"/>
  <c r="AD386" i="1" s="1"/>
  <c r="E387" i="1"/>
  <c r="AD387" i="1" s="1"/>
  <c r="E388" i="1"/>
  <c r="AD388" i="1" s="1"/>
  <c r="E389" i="1"/>
  <c r="AD389" i="1" s="1"/>
  <c r="E390" i="1"/>
  <c r="AD390" i="1" s="1"/>
  <c r="E391" i="1"/>
  <c r="AD391" i="1" s="1"/>
  <c r="E392" i="1"/>
  <c r="AD392" i="1" s="1"/>
  <c r="E393" i="1"/>
  <c r="AD393" i="1" s="1"/>
  <c r="E394" i="1"/>
  <c r="AD394" i="1" s="1"/>
  <c r="E395" i="1"/>
  <c r="AD395" i="1" s="1"/>
  <c r="E396" i="1"/>
  <c r="AD396" i="1" s="1"/>
  <c r="E397" i="1"/>
  <c r="AD397" i="1" s="1"/>
  <c r="E398" i="1"/>
  <c r="AD398" i="1" s="1"/>
  <c r="E399" i="1"/>
  <c r="AD399" i="1" s="1"/>
  <c r="E400" i="1"/>
  <c r="AD400" i="1" s="1"/>
  <c r="E401" i="1"/>
  <c r="AD401" i="1" s="1"/>
  <c r="E402" i="1"/>
  <c r="AD402" i="1" s="1"/>
  <c r="E403" i="1"/>
  <c r="AD403" i="1" s="1"/>
  <c r="E404" i="1"/>
  <c r="AD404" i="1" s="1"/>
  <c r="E405" i="1"/>
  <c r="AD405" i="1" s="1"/>
  <c r="E406" i="1"/>
  <c r="AD406" i="1" s="1"/>
  <c r="E407" i="1"/>
  <c r="AD407" i="1" s="1"/>
  <c r="E408" i="1"/>
  <c r="AD408" i="1" s="1"/>
  <c r="E409" i="1"/>
  <c r="AD409" i="1" s="1"/>
  <c r="E410" i="1"/>
  <c r="AD410" i="1" s="1"/>
  <c r="E411" i="1"/>
  <c r="AD411" i="1" s="1"/>
  <c r="E412" i="1"/>
  <c r="AD412" i="1" s="1"/>
  <c r="E413" i="1"/>
  <c r="AD413" i="1" s="1"/>
  <c r="E414" i="1"/>
  <c r="AD414" i="1" s="1"/>
  <c r="E415" i="1"/>
  <c r="AD415" i="1" s="1"/>
  <c r="E416" i="1"/>
  <c r="AD416" i="1" s="1"/>
  <c r="E417" i="1"/>
  <c r="AD417" i="1" s="1"/>
  <c r="E418" i="1"/>
  <c r="AD418" i="1" s="1"/>
  <c r="E419" i="1"/>
  <c r="AD419" i="1" s="1"/>
  <c r="E420" i="1"/>
  <c r="AD420" i="1" s="1"/>
  <c r="E421" i="1"/>
  <c r="AD421" i="1" s="1"/>
  <c r="E422" i="1"/>
  <c r="AD422" i="1" s="1"/>
  <c r="E423" i="1"/>
  <c r="AD423" i="1" s="1"/>
  <c r="E424" i="1"/>
  <c r="AD424" i="1" s="1"/>
  <c r="E425" i="1"/>
  <c r="AD425" i="1" s="1"/>
  <c r="E426" i="1"/>
  <c r="AD426" i="1" s="1"/>
  <c r="E427" i="1"/>
  <c r="AD427" i="1" s="1"/>
  <c r="E428" i="1"/>
  <c r="AD428" i="1" s="1"/>
  <c r="E429" i="1"/>
  <c r="AD429" i="1" s="1"/>
  <c r="E430" i="1"/>
  <c r="AD430" i="1" s="1"/>
  <c r="E431" i="1"/>
  <c r="AD431" i="1" s="1"/>
  <c r="E432" i="1"/>
  <c r="AD432" i="1" s="1"/>
  <c r="E433" i="1"/>
  <c r="AD433" i="1" s="1"/>
  <c r="E434" i="1"/>
  <c r="AD434" i="1" s="1"/>
  <c r="E435" i="1"/>
  <c r="AD435" i="1" s="1"/>
  <c r="E436" i="1"/>
  <c r="AD436" i="1" s="1"/>
  <c r="E437" i="1"/>
  <c r="AD437" i="1" s="1"/>
  <c r="E438" i="1"/>
  <c r="AD438" i="1" s="1"/>
  <c r="E439" i="1"/>
  <c r="AD439" i="1" s="1"/>
  <c r="E440" i="1"/>
  <c r="AD440" i="1" s="1"/>
  <c r="E441" i="1"/>
  <c r="AD441" i="1" s="1"/>
  <c r="E442" i="1"/>
  <c r="AD442" i="1" s="1"/>
  <c r="E443" i="1"/>
  <c r="AD443" i="1" s="1"/>
  <c r="E444" i="1"/>
  <c r="AD444" i="1" s="1"/>
  <c r="E445" i="1"/>
  <c r="AD445" i="1" s="1"/>
  <c r="E446" i="1"/>
  <c r="AD446" i="1" s="1"/>
  <c r="E447" i="1"/>
  <c r="AD447" i="1" s="1"/>
  <c r="E448" i="1"/>
  <c r="AD448" i="1" s="1"/>
  <c r="E449" i="1"/>
  <c r="AD449" i="1" s="1"/>
  <c r="E450" i="1"/>
  <c r="AD450" i="1" s="1"/>
  <c r="E451" i="1"/>
  <c r="AD451" i="1" s="1"/>
  <c r="E452" i="1"/>
  <c r="AD452" i="1" s="1"/>
  <c r="E453" i="1"/>
  <c r="AD453" i="1" s="1"/>
  <c r="E454" i="1"/>
  <c r="AD454" i="1" s="1"/>
  <c r="E455" i="1"/>
  <c r="AD455" i="1" s="1"/>
  <c r="E456" i="1"/>
  <c r="AD456" i="1" s="1"/>
  <c r="E457" i="1"/>
  <c r="AD457" i="1" s="1"/>
  <c r="E458" i="1"/>
  <c r="AD458" i="1" s="1"/>
  <c r="E459" i="1"/>
  <c r="AD459" i="1" s="1"/>
  <c r="E460" i="1"/>
  <c r="AD460" i="1" s="1"/>
  <c r="E461" i="1"/>
  <c r="AD461" i="1" s="1"/>
  <c r="E462" i="1"/>
  <c r="AD462" i="1" s="1"/>
  <c r="E463" i="1"/>
  <c r="AD463" i="1" s="1"/>
  <c r="E464" i="1"/>
  <c r="AD464" i="1" s="1"/>
  <c r="E465" i="1"/>
  <c r="AD465" i="1" s="1"/>
  <c r="E466" i="1"/>
  <c r="AD466" i="1" s="1"/>
  <c r="E467" i="1"/>
  <c r="AD467" i="1" s="1"/>
  <c r="E468" i="1"/>
  <c r="AD468" i="1" s="1"/>
  <c r="E469" i="1"/>
  <c r="AD469" i="1" s="1"/>
  <c r="E470" i="1"/>
  <c r="AD470" i="1" s="1"/>
  <c r="E471" i="1"/>
  <c r="AD471" i="1" s="1"/>
  <c r="E472" i="1"/>
  <c r="AD472" i="1" s="1"/>
  <c r="E473" i="1"/>
  <c r="AD473" i="1" s="1"/>
  <c r="E474" i="1"/>
  <c r="AD474" i="1" s="1"/>
  <c r="E475" i="1"/>
  <c r="AD475" i="1" s="1"/>
  <c r="E476" i="1"/>
  <c r="AD476" i="1" s="1"/>
  <c r="E477" i="1"/>
  <c r="AD477" i="1" s="1"/>
  <c r="E478" i="1"/>
  <c r="AD478" i="1" s="1"/>
  <c r="E479" i="1"/>
  <c r="AD479" i="1" s="1"/>
  <c r="E480" i="1"/>
  <c r="AD480" i="1" s="1"/>
  <c r="E481" i="1"/>
  <c r="AD481" i="1" s="1"/>
  <c r="E482" i="1"/>
  <c r="AD482" i="1" s="1"/>
  <c r="E483" i="1"/>
  <c r="AD483" i="1" s="1"/>
  <c r="E484" i="1"/>
  <c r="AD484" i="1" s="1"/>
  <c r="E485" i="1"/>
  <c r="AD485" i="1" s="1"/>
  <c r="E486" i="1"/>
  <c r="AD486" i="1" s="1"/>
  <c r="E487" i="1"/>
  <c r="AD487" i="1" s="1"/>
  <c r="E488" i="1"/>
  <c r="AD488" i="1" s="1"/>
  <c r="E489" i="1"/>
  <c r="AD489" i="1" s="1"/>
  <c r="E490" i="1"/>
  <c r="AD490" i="1" s="1"/>
  <c r="E491" i="1"/>
  <c r="AD491" i="1" s="1"/>
  <c r="E492" i="1"/>
  <c r="AD492" i="1" s="1"/>
  <c r="E493" i="1"/>
  <c r="AD493" i="1" s="1"/>
  <c r="E494" i="1"/>
  <c r="AD494" i="1" s="1"/>
  <c r="E495" i="1"/>
  <c r="AD495" i="1" s="1"/>
  <c r="E496" i="1"/>
  <c r="AD496" i="1" s="1"/>
  <c r="E497" i="1"/>
  <c r="AD497" i="1" s="1"/>
  <c r="E498" i="1"/>
  <c r="AD498" i="1" s="1"/>
  <c r="E499" i="1"/>
  <c r="AD499" i="1" s="1"/>
  <c r="E500" i="1"/>
  <c r="AD500" i="1" s="1"/>
  <c r="E501" i="1"/>
  <c r="AD501" i="1" s="1"/>
  <c r="E502" i="1"/>
  <c r="AD502" i="1" s="1"/>
  <c r="E503" i="1"/>
  <c r="AD503" i="1" s="1"/>
  <c r="E504" i="1"/>
  <c r="AD504" i="1" s="1"/>
  <c r="E505" i="1"/>
  <c r="AD505" i="1" s="1"/>
  <c r="E506" i="1"/>
  <c r="AD506" i="1" s="1"/>
  <c r="E507" i="1"/>
  <c r="AD507" i="1" s="1"/>
  <c r="E508" i="1"/>
  <c r="AD508" i="1" s="1"/>
  <c r="E509" i="1"/>
  <c r="AD509" i="1" s="1"/>
  <c r="E510" i="1"/>
  <c r="AD510" i="1" s="1"/>
  <c r="E511" i="1"/>
  <c r="AD511" i="1" s="1"/>
  <c r="E512" i="1"/>
  <c r="AD512" i="1" s="1"/>
  <c r="E513" i="1"/>
  <c r="AD513" i="1" s="1"/>
  <c r="E514" i="1"/>
  <c r="AD514" i="1" s="1"/>
  <c r="E515" i="1"/>
  <c r="AD515" i="1" s="1"/>
  <c r="E516" i="1"/>
  <c r="AD516" i="1" s="1"/>
  <c r="E517" i="1"/>
  <c r="AD517" i="1" s="1"/>
  <c r="E518" i="1"/>
  <c r="AD518" i="1" s="1"/>
  <c r="E519" i="1"/>
  <c r="AD519" i="1" s="1"/>
  <c r="E520" i="1"/>
  <c r="AD520" i="1" s="1"/>
  <c r="E521" i="1"/>
  <c r="AD521" i="1" s="1"/>
  <c r="E522" i="1"/>
  <c r="AD522" i="1" s="1"/>
  <c r="E523" i="1"/>
  <c r="AD523" i="1" s="1"/>
  <c r="E524" i="1"/>
  <c r="AD524" i="1" s="1"/>
  <c r="E525" i="1"/>
  <c r="AD525" i="1" s="1"/>
  <c r="E526" i="1"/>
  <c r="AD526" i="1" s="1"/>
  <c r="E527" i="1"/>
  <c r="AD527" i="1" s="1"/>
  <c r="E528" i="1"/>
  <c r="AD528" i="1" s="1"/>
  <c r="E529" i="1"/>
  <c r="AD529" i="1" s="1"/>
  <c r="E530" i="1"/>
  <c r="AD530" i="1" s="1"/>
  <c r="E531" i="1"/>
  <c r="AD531" i="1" s="1"/>
  <c r="E532" i="1"/>
  <c r="AD532" i="1" s="1"/>
  <c r="E533" i="1"/>
  <c r="AD533" i="1" s="1"/>
  <c r="E534" i="1"/>
  <c r="AD534" i="1" s="1"/>
  <c r="E535" i="1"/>
  <c r="AD535" i="1" s="1"/>
  <c r="E536" i="1"/>
  <c r="AD536" i="1" s="1"/>
  <c r="E537" i="1"/>
  <c r="AD537" i="1" s="1"/>
  <c r="E538" i="1"/>
  <c r="AD538" i="1" s="1"/>
  <c r="E539" i="1"/>
  <c r="AD539" i="1" s="1"/>
  <c r="E540" i="1"/>
  <c r="AD540" i="1" s="1"/>
  <c r="E541" i="1"/>
  <c r="AD541" i="1" s="1"/>
  <c r="E542" i="1"/>
  <c r="AD542" i="1" s="1"/>
  <c r="E543" i="1"/>
  <c r="AD543" i="1" s="1"/>
  <c r="E544" i="1"/>
  <c r="AD544" i="1" s="1"/>
  <c r="E545" i="1"/>
  <c r="AD545" i="1" s="1"/>
  <c r="E546" i="1"/>
  <c r="AD546" i="1" s="1"/>
  <c r="E547" i="1"/>
  <c r="AD547" i="1" s="1"/>
  <c r="E548" i="1"/>
  <c r="AD548" i="1" s="1"/>
  <c r="E549" i="1"/>
  <c r="AD549" i="1" s="1"/>
  <c r="E550" i="1"/>
  <c r="AD550" i="1" s="1"/>
  <c r="E551" i="1"/>
  <c r="AD551" i="1" s="1"/>
  <c r="E552" i="1"/>
  <c r="AD552" i="1" s="1"/>
  <c r="E553" i="1"/>
  <c r="AD553" i="1" s="1"/>
  <c r="E554" i="1"/>
  <c r="AD554" i="1" s="1"/>
  <c r="E555" i="1"/>
  <c r="AD555" i="1" s="1"/>
  <c r="E556" i="1"/>
  <c r="AD556" i="1" s="1"/>
  <c r="E557" i="1"/>
  <c r="AD557" i="1" s="1"/>
  <c r="E558" i="1"/>
  <c r="AD558" i="1" s="1"/>
  <c r="E559" i="1"/>
  <c r="AD559" i="1" s="1"/>
  <c r="E560" i="1"/>
  <c r="AD560" i="1" s="1"/>
  <c r="E561" i="1"/>
  <c r="AD561" i="1" s="1"/>
  <c r="E562" i="1"/>
  <c r="AD562" i="1" s="1"/>
  <c r="E563" i="1"/>
  <c r="AD563" i="1" s="1"/>
  <c r="E564" i="1"/>
  <c r="AD564" i="1" s="1"/>
  <c r="E565" i="1"/>
  <c r="AD565" i="1" s="1"/>
  <c r="E566" i="1"/>
  <c r="AD566" i="1" s="1"/>
  <c r="E567" i="1"/>
  <c r="AD567" i="1" s="1"/>
  <c r="E568" i="1"/>
  <c r="AD568" i="1" s="1"/>
  <c r="E569" i="1"/>
  <c r="AD569" i="1" s="1"/>
  <c r="E570" i="1"/>
  <c r="AD570" i="1" s="1"/>
  <c r="E571" i="1"/>
  <c r="AD571" i="1" s="1"/>
  <c r="E572" i="1"/>
  <c r="AD572" i="1" s="1"/>
  <c r="E573" i="1"/>
  <c r="AD573" i="1" s="1"/>
  <c r="E574" i="1"/>
  <c r="AD574" i="1" s="1"/>
  <c r="E575" i="1"/>
  <c r="AD575" i="1" s="1"/>
  <c r="E576" i="1"/>
  <c r="AD576" i="1" s="1"/>
  <c r="E577" i="1"/>
  <c r="AD577" i="1" s="1"/>
  <c r="E578" i="1"/>
  <c r="AD578" i="1" s="1"/>
  <c r="E579" i="1"/>
  <c r="AD579" i="1" s="1"/>
  <c r="E580" i="1"/>
  <c r="AD580" i="1" s="1"/>
  <c r="E581" i="1"/>
  <c r="AD581" i="1" s="1"/>
  <c r="E582" i="1"/>
  <c r="AD582" i="1" s="1"/>
  <c r="E583" i="1"/>
  <c r="AD583" i="1" s="1"/>
  <c r="E584" i="1"/>
  <c r="AD584" i="1" s="1"/>
  <c r="E585" i="1"/>
  <c r="AD585" i="1" s="1"/>
  <c r="E586" i="1"/>
  <c r="AD586" i="1" s="1"/>
  <c r="E587" i="1"/>
  <c r="AD587" i="1" s="1"/>
  <c r="E588" i="1"/>
  <c r="AD588" i="1" s="1"/>
  <c r="E589" i="1"/>
  <c r="AD589" i="1" s="1"/>
  <c r="E590" i="1"/>
  <c r="AD590" i="1" s="1"/>
  <c r="E591" i="1"/>
  <c r="AD591" i="1" s="1"/>
  <c r="E592" i="1"/>
  <c r="AD592" i="1" s="1"/>
  <c r="E593" i="1"/>
  <c r="AD593" i="1" s="1"/>
  <c r="E594" i="1"/>
  <c r="AD594" i="1" s="1"/>
  <c r="E595" i="1"/>
  <c r="AD595" i="1" s="1"/>
  <c r="E596" i="1"/>
  <c r="AD596" i="1" s="1"/>
  <c r="E597" i="1"/>
  <c r="AD597" i="1" s="1"/>
  <c r="E598" i="1"/>
  <c r="AD598" i="1" s="1"/>
  <c r="E599" i="1"/>
  <c r="AD599" i="1" s="1"/>
  <c r="E600" i="1"/>
  <c r="AD600" i="1" s="1"/>
  <c r="E601" i="1"/>
  <c r="AD601" i="1" s="1"/>
  <c r="E602" i="1"/>
  <c r="AD602" i="1" s="1"/>
  <c r="E603" i="1"/>
  <c r="AD603" i="1" s="1"/>
  <c r="E604" i="1"/>
  <c r="AD604" i="1" s="1"/>
  <c r="E605" i="1"/>
  <c r="AD605" i="1" s="1"/>
  <c r="E606" i="1"/>
  <c r="AD606" i="1" s="1"/>
  <c r="E607" i="1"/>
  <c r="AD607" i="1" s="1"/>
  <c r="E608" i="1"/>
  <c r="AD608" i="1" s="1"/>
  <c r="E609" i="1"/>
  <c r="AD609" i="1" s="1"/>
  <c r="E610" i="1"/>
  <c r="AD610" i="1" s="1"/>
  <c r="E611" i="1"/>
  <c r="AD611" i="1" s="1"/>
  <c r="E612" i="1"/>
  <c r="AD612" i="1" s="1"/>
  <c r="E613" i="1"/>
  <c r="AD613" i="1" s="1"/>
  <c r="E614" i="1"/>
  <c r="AD614" i="1" s="1"/>
  <c r="E615" i="1"/>
  <c r="AD615" i="1" s="1"/>
  <c r="E616" i="1"/>
  <c r="AD616" i="1" s="1"/>
  <c r="E617" i="1"/>
  <c r="AD617" i="1" s="1"/>
  <c r="E618" i="1"/>
  <c r="AD618" i="1" s="1"/>
  <c r="E619" i="1"/>
  <c r="AD619" i="1" s="1"/>
  <c r="E620" i="1"/>
  <c r="AD620" i="1" s="1"/>
  <c r="E621" i="1"/>
  <c r="AD621" i="1" s="1"/>
  <c r="E622" i="1"/>
  <c r="AD622" i="1" s="1"/>
  <c r="E623" i="1"/>
  <c r="AD623" i="1" s="1"/>
  <c r="E624" i="1"/>
  <c r="AD624" i="1" s="1"/>
  <c r="E625" i="1"/>
  <c r="AD625" i="1" s="1"/>
  <c r="E626" i="1"/>
  <c r="AD626" i="1" s="1"/>
  <c r="E627" i="1"/>
  <c r="AD627" i="1" s="1"/>
  <c r="E628" i="1"/>
  <c r="AD628" i="1" s="1"/>
  <c r="E629" i="1"/>
  <c r="AD629" i="1" s="1"/>
  <c r="E630" i="1"/>
  <c r="AD630" i="1" s="1"/>
  <c r="E631" i="1"/>
  <c r="AD631" i="1" s="1"/>
  <c r="E632" i="1"/>
  <c r="AD632" i="1" s="1"/>
  <c r="E633" i="1"/>
  <c r="AD633" i="1" s="1"/>
  <c r="E634" i="1"/>
  <c r="AD634" i="1" s="1"/>
  <c r="E635" i="1"/>
  <c r="AD635" i="1" s="1"/>
  <c r="E636" i="1"/>
  <c r="AD636" i="1" s="1"/>
  <c r="E637" i="1"/>
  <c r="AD637" i="1" s="1"/>
  <c r="E638" i="1"/>
  <c r="AD638" i="1" s="1"/>
  <c r="E639" i="1"/>
  <c r="AD639" i="1" s="1"/>
  <c r="E640" i="1"/>
  <c r="AD640" i="1" s="1"/>
  <c r="E641" i="1"/>
  <c r="AD641" i="1" s="1"/>
  <c r="E642" i="1"/>
  <c r="AD642" i="1" s="1"/>
  <c r="E643" i="1"/>
  <c r="AD643" i="1" s="1"/>
  <c r="E644" i="1"/>
  <c r="AD644" i="1" s="1"/>
  <c r="E645" i="1"/>
  <c r="AD645" i="1" s="1"/>
  <c r="E646" i="1"/>
  <c r="AD646" i="1" s="1"/>
  <c r="E647" i="1"/>
  <c r="AD647" i="1" s="1"/>
  <c r="E648" i="1"/>
  <c r="AD648" i="1" s="1"/>
  <c r="E649" i="1"/>
  <c r="AD649" i="1" s="1"/>
  <c r="E650" i="1"/>
  <c r="AD650" i="1" s="1"/>
  <c r="E651" i="1"/>
  <c r="AD651" i="1" s="1"/>
  <c r="E652" i="1"/>
  <c r="AD652" i="1" s="1"/>
  <c r="E653" i="1"/>
  <c r="AD653" i="1" s="1"/>
  <c r="E654" i="1"/>
  <c r="AD654" i="1" s="1"/>
  <c r="E655" i="1"/>
  <c r="AD655" i="1" s="1"/>
  <c r="E656" i="1"/>
  <c r="AD656" i="1" s="1"/>
  <c r="E657" i="1"/>
  <c r="AD657" i="1" s="1"/>
  <c r="E658" i="1"/>
  <c r="AD658" i="1" s="1"/>
  <c r="E659" i="1"/>
  <c r="AD659" i="1" s="1"/>
  <c r="E660" i="1"/>
  <c r="AD660" i="1" s="1"/>
  <c r="E661" i="1"/>
  <c r="AD661" i="1" s="1"/>
  <c r="E662" i="1"/>
  <c r="AD662" i="1" s="1"/>
  <c r="E663" i="1"/>
  <c r="AD663" i="1" s="1"/>
  <c r="E664" i="1"/>
  <c r="AD664" i="1" s="1"/>
  <c r="E665" i="1"/>
  <c r="AD665" i="1" s="1"/>
  <c r="E666" i="1"/>
  <c r="AD666" i="1" s="1"/>
  <c r="E667" i="1"/>
  <c r="AD667" i="1" s="1"/>
  <c r="E668" i="1"/>
  <c r="AD668" i="1" s="1"/>
  <c r="E669" i="1"/>
  <c r="AD669" i="1" s="1"/>
  <c r="E670" i="1"/>
  <c r="AD670" i="1" s="1"/>
  <c r="E671" i="1"/>
  <c r="AD671" i="1" s="1"/>
  <c r="E672" i="1"/>
  <c r="AD672" i="1" s="1"/>
  <c r="E673" i="1"/>
  <c r="AD673" i="1" s="1"/>
  <c r="E674" i="1"/>
  <c r="AD674" i="1" s="1"/>
  <c r="E675" i="1"/>
  <c r="AD675" i="1" s="1"/>
  <c r="E676" i="1"/>
  <c r="AD676" i="1" s="1"/>
  <c r="E677" i="1"/>
  <c r="AD677" i="1" s="1"/>
  <c r="E678" i="1"/>
  <c r="AD678" i="1" s="1"/>
  <c r="E679" i="1"/>
  <c r="AD679" i="1" s="1"/>
  <c r="E680" i="1"/>
  <c r="AD680" i="1" s="1"/>
  <c r="E681" i="1"/>
  <c r="AD681" i="1" s="1"/>
  <c r="E682" i="1"/>
  <c r="AD682" i="1" s="1"/>
  <c r="E683" i="1"/>
  <c r="AD683" i="1" s="1"/>
  <c r="E684" i="1"/>
  <c r="AD684" i="1" s="1"/>
  <c r="E685" i="1"/>
  <c r="AD685" i="1" s="1"/>
  <c r="E686" i="1"/>
  <c r="AD686" i="1" s="1"/>
  <c r="E687" i="1"/>
  <c r="AD687" i="1" s="1"/>
  <c r="E688" i="1"/>
  <c r="AD688" i="1" s="1"/>
  <c r="E689" i="1"/>
  <c r="AD689" i="1" s="1"/>
  <c r="E690" i="1"/>
  <c r="AD690" i="1" s="1"/>
  <c r="E691" i="1"/>
  <c r="AD691" i="1" s="1"/>
  <c r="E692" i="1"/>
  <c r="AD692" i="1" s="1"/>
  <c r="E693" i="1"/>
  <c r="AD693" i="1" s="1"/>
  <c r="E694" i="1"/>
  <c r="AD694" i="1" s="1"/>
  <c r="E695" i="1"/>
  <c r="AD695" i="1" s="1"/>
  <c r="E696" i="1"/>
  <c r="AD696" i="1" s="1"/>
  <c r="E697" i="1"/>
  <c r="AD697" i="1" s="1"/>
  <c r="E698" i="1"/>
  <c r="AD698" i="1" s="1"/>
  <c r="E699" i="1"/>
  <c r="AD699" i="1" s="1"/>
  <c r="E700" i="1"/>
  <c r="AD700" i="1" s="1"/>
  <c r="E701" i="1"/>
  <c r="AD701" i="1" s="1"/>
  <c r="E702" i="1"/>
  <c r="AD702" i="1" s="1"/>
  <c r="E703" i="1"/>
  <c r="AD703" i="1" s="1"/>
  <c r="E704" i="1"/>
  <c r="AD704" i="1" s="1"/>
  <c r="E705" i="1"/>
  <c r="AD705" i="1" s="1"/>
  <c r="E706" i="1"/>
  <c r="AD706" i="1" s="1"/>
  <c r="E707" i="1"/>
  <c r="AD707" i="1" s="1"/>
  <c r="E708" i="1"/>
  <c r="AD708" i="1" s="1"/>
  <c r="E709" i="1"/>
  <c r="AD709" i="1" s="1"/>
  <c r="E710" i="1"/>
  <c r="AD710" i="1" s="1"/>
  <c r="E711" i="1"/>
  <c r="AD711" i="1" s="1"/>
  <c r="E712" i="1"/>
  <c r="AD712" i="1" s="1"/>
  <c r="E713" i="1"/>
  <c r="AD713" i="1" s="1"/>
  <c r="E714" i="1"/>
  <c r="AD714" i="1" s="1"/>
  <c r="E715" i="1"/>
  <c r="AD715" i="1" s="1"/>
  <c r="E716" i="1"/>
  <c r="AD716" i="1" s="1"/>
  <c r="E717" i="1"/>
  <c r="AD717" i="1" s="1"/>
  <c r="E718" i="1"/>
  <c r="AD718" i="1" s="1"/>
  <c r="E719" i="1"/>
  <c r="AD719" i="1" s="1"/>
  <c r="E720" i="1"/>
  <c r="AD720" i="1" s="1"/>
  <c r="E721" i="1"/>
  <c r="AD721" i="1" s="1"/>
  <c r="E722" i="1"/>
  <c r="AD722" i="1" s="1"/>
  <c r="E723" i="1"/>
  <c r="AD723" i="1" s="1"/>
  <c r="E724" i="1"/>
  <c r="AD724" i="1" s="1"/>
  <c r="E725" i="1"/>
  <c r="AD725" i="1" s="1"/>
  <c r="E726" i="1"/>
  <c r="AD726" i="1" s="1"/>
  <c r="E727" i="1"/>
  <c r="AD727" i="1" s="1"/>
  <c r="E728" i="1"/>
  <c r="AD728" i="1" s="1"/>
  <c r="E729" i="1"/>
  <c r="AD729" i="1" s="1"/>
  <c r="E730" i="1"/>
  <c r="AD730" i="1" s="1"/>
  <c r="E731" i="1"/>
  <c r="AD731" i="1" s="1"/>
  <c r="E732" i="1"/>
  <c r="AD732" i="1" s="1"/>
  <c r="E733" i="1"/>
  <c r="AD733" i="1" s="1"/>
  <c r="E734" i="1"/>
  <c r="AD734" i="1" s="1"/>
  <c r="E735" i="1"/>
  <c r="AD735" i="1" s="1"/>
  <c r="E736" i="1"/>
  <c r="AD736" i="1" s="1"/>
  <c r="E737" i="1"/>
  <c r="AD737" i="1" s="1"/>
  <c r="E738" i="1"/>
  <c r="AD738" i="1" s="1"/>
  <c r="E739" i="1"/>
  <c r="AD739" i="1" s="1"/>
  <c r="E740" i="1"/>
  <c r="AD740" i="1" s="1"/>
  <c r="E741" i="1"/>
  <c r="AD741" i="1" s="1"/>
  <c r="E742" i="1"/>
  <c r="AD742" i="1" s="1"/>
  <c r="E743" i="1"/>
  <c r="AD743" i="1" s="1"/>
  <c r="E744" i="1"/>
  <c r="AD744" i="1" s="1"/>
  <c r="E745" i="1"/>
  <c r="AD745" i="1" s="1"/>
  <c r="E746" i="1"/>
  <c r="AD746" i="1" s="1"/>
  <c r="E747" i="1"/>
  <c r="AD747" i="1" s="1"/>
  <c r="E748" i="1"/>
  <c r="AD748" i="1" s="1"/>
  <c r="E749" i="1"/>
  <c r="AD749" i="1" s="1"/>
  <c r="E750" i="1"/>
  <c r="AD750" i="1" s="1"/>
  <c r="E751" i="1"/>
  <c r="AD751" i="1" s="1"/>
  <c r="E752" i="1"/>
  <c r="AD752" i="1" s="1"/>
  <c r="E753" i="1"/>
  <c r="AD753" i="1" s="1"/>
  <c r="E754" i="1"/>
  <c r="AD754" i="1" s="1"/>
  <c r="E755" i="1"/>
  <c r="AD755" i="1" s="1"/>
  <c r="E756" i="1"/>
  <c r="AD756" i="1" s="1"/>
  <c r="E757" i="1"/>
  <c r="AD757" i="1" s="1"/>
  <c r="E758" i="1"/>
  <c r="AD758" i="1" s="1"/>
  <c r="E759" i="1"/>
  <c r="AD759" i="1" s="1"/>
  <c r="E760" i="1"/>
  <c r="AD760" i="1" s="1"/>
  <c r="E761" i="1"/>
  <c r="AD761" i="1" s="1"/>
  <c r="E762" i="1"/>
  <c r="AD762" i="1" s="1"/>
  <c r="E763" i="1"/>
  <c r="AD763" i="1" s="1"/>
  <c r="E764" i="1"/>
  <c r="AD764" i="1" s="1"/>
  <c r="E765" i="1"/>
  <c r="AD765" i="1" s="1"/>
  <c r="E766" i="1"/>
  <c r="AD766" i="1" s="1"/>
  <c r="E767" i="1"/>
  <c r="AD767" i="1" s="1"/>
  <c r="E768" i="1"/>
  <c r="AD768" i="1" s="1"/>
  <c r="E769" i="1"/>
  <c r="AD769" i="1" s="1"/>
  <c r="E770" i="1"/>
  <c r="AD770" i="1" s="1"/>
  <c r="E771" i="1"/>
  <c r="AD771" i="1" s="1"/>
  <c r="E772" i="1"/>
  <c r="AD772" i="1" s="1"/>
  <c r="E773" i="1"/>
  <c r="AD773" i="1" s="1"/>
  <c r="E774" i="1"/>
  <c r="AD774" i="1" s="1"/>
  <c r="E775" i="1"/>
  <c r="AD775" i="1" s="1"/>
  <c r="E776" i="1"/>
  <c r="AD776" i="1" s="1"/>
  <c r="E777" i="1"/>
  <c r="AD777" i="1" s="1"/>
  <c r="E778" i="1"/>
  <c r="AD778" i="1" s="1"/>
  <c r="E779" i="1"/>
  <c r="AD779" i="1" s="1"/>
  <c r="E780" i="1"/>
  <c r="AD780" i="1" s="1"/>
  <c r="E781" i="1"/>
  <c r="AD781" i="1" s="1"/>
  <c r="E782" i="1"/>
  <c r="AD782" i="1" s="1"/>
  <c r="E783" i="1"/>
  <c r="AD783" i="1" s="1"/>
  <c r="E784" i="1"/>
  <c r="AD784" i="1" s="1"/>
  <c r="E785" i="1"/>
  <c r="AD785" i="1" s="1"/>
  <c r="E786" i="1"/>
  <c r="AD786" i="1" s="1"/>
  <c r="E787" i="1"/>
  <c r="AD787" i="1" s="1"/>
  <c r="E788" i="1"/>
  <c r="AD788" i="1" s="1"/>
  <c r="E789" i="1"/>
  <c r="AD789" i="1" s="1"/>
  <c r="E790" i="1"/>
  <c r="AD790" i="1" s="1"/>
  <c r="E791" i="1"/>
  <c r="AD791" i="1" s="1"/>
  <c r="E792" i="1"/>
  <c r="AD792" i="1" s="1"/>
  <c r="E793" i="1"/>
  <c r="AD793" i="1" s="1"/>
  <c r="E794" i="1"/>
  <c r="AD794" i="1" s="1"/>
  <c r="E795" i="1"/>
  <c r="AD795" i="1" s="1"/>
  <c r="E796" i="1"/>
  <c r="AD796" i="1" s="1"/>
  <c r="E797" i="1"/>
  <c r="AD797" i="1" s="1"/>
  <c r="E798" i="1"/>
  <c r="AD798" i="1" s="1"/>
  <c r="E799" i="1"/>
  <c r="AD799" i="1" s="1"/>
  <c r="E800" i="1"/>
  <c r="AD800" i="1" s="1"/>
  <c r="E801" i="1"/>
  <c r="AD801" i="1" s="1"/>
  <c r="E802" i="1"/>
  <c r="AD802" i="1" s="1"/>
  <c r="E803" i="1"/>
  <c r="AD803" i="1" s="1"/>
  <c r="E804" i="1"/>
  <c r="AD804" i="1" s="1"/>
  <c r="E805" i="1"/>
  <c r="AD805" i="1" s="1"/>
  <c r="E806" i="1"/>
  <c r="AD806" i="1" s="1"/>
  <c r="E807" i="1"/>
  <c r="AD807" i="1" s="1"/>
  <c r="E808" i="1"/>
  <c r="AD808" i="1" s="1"/>
  <c r="E809" i="1"/>
  <c r="AD809" i="1" s="1"/>
  <c r="E810" i="1"/>
  <c r="AD810" i="1" s="1"/>
  <c r="E811" i="1"/>
  <c r="AD811" i="1" s="1"/>
  <c r="E812" i="1"/>
  <c r="AD812" i="1" s="1"/>
  <c r="E813" i="1"/>
  <c r="AD813" i="1" s="1"/>
  <c r="E814" i="1"/>
  <c r="AD814" i="1" s="1"/>
  <c r="E815" i="1"/>
  <c r="AD815" i="1" s="1"/>
  <c r="E816" i="1"/>
  <c r="AD816" i="1" s="1"/>
  <c r="E817" i="1"/>
  <c r="AD817" i="1" s="1"/>
  <c r="E818" i="1"/>
  <c r="AD818" i="1" s="1"/>
  <c r="E819" i="1"/>
  <c r="AD819" i="1" s="1"/>
  <c r="E820" i="1"/>
  <c r="AD820" i="1" s="1"/>
  <c r="E821" i="1"/>
  <c r="AD821" i="1" s="1"/>
  <c r="E822" i="1"/>
  <c r="AD822" i="1" s="1"/>
  <c r="E823" i="1"/>
  <c r="AD823" i="1" s="1"/>
  <c r="E824" i="1"/>
  <c r="AD824" i="1" s="1"/>
  <c r="E825" i="1"/>
  <c r="AD825" i="1" s="1"/>
  <c r="E826" i="1"/>
  <c r="AD826" i="1" s="1"/>
  <c r="E827" i="1"/>
  <c r="AD827" i="1" s="1"/>
  <c r="E828" i="1"/>
  <c r="AD828" i="1" s="1"/>
  <c r="E829" i="1"/>
  <c r="AD829" i="1" s="1"/>
  <c r="E830" i="1"/>
  <c r="AD830" i="1" s="1"/>
  <c r="E831" i="1"/>
  <c r="AD831" i="1" s="1"/>
  <c r="E832" i="1"/>
  <c r="AD832" i="1" s="1"/>
  <c r="E833" i="1"/>
  <c r="AD833" i="1" s="1"/>
  <c r="E834" i="1"/>
  <c r="AD834" i="1" s="1"/>
  <c r="E835" i="1"/>
  <c r="AD835" i="1" s="1"/>
  <c r="E836" i="1"/>
  <c r="AD836" i="1" s="1"/>
  <c r="E837" i="1"/>
  <c r="AD837" i="1" s="1"/>
  <c r="E838" i="1"/>
  <c r="AD838" i="1" s="1"/>
  <c r="E839" i="1"/>
  <c r="AD839" i="1" s="1"/>
  <c r="E840" i="1"/>
  <c r="AD840" i="1" s="1"/>
  <c r="E841" i="1"/>
  <c r="AD841" i="1" s="1"/>
  <c r="E842" i="1"/>
  <c r="AD842" i="1" s="1"/>
  <c r="E843" i="1"/>
  <c r="AD843" i="1" s="1"/>
  <c r="E844" i="1"/>
  <c r="AD844" i="1" s="1"/>
  <c r="E845" i="1"/>
  <c r="AD845" i="1" s="1"/>
  <c r="E846" i="1"/>
  <c r="AD846" i="1" s="1"/>
  <c r="E847" i="1"/>
  <c r="AD847" i="1" s="1"/>
  <c r="E848" i="1"/>
  <c r="AD848" i="1" s="1"/>
  <c r="E849" i="1"/>
  <c r="AD849" i="1" s="1"/>
  <c r="E850" i="1"/>
  <c r="AD850" i="1" s="1"/>
  <c r="E851" i="1"/>
  <c r="AD851" i="1" s="1"/>
  <c r="E852" i="1"/>
  <c r="AD852" i="1" s="1"/>
  <c r="E853" i="1"/>
  <c r="AD853" i="1" s="1"/>
  <c r="E854" i="1"/>
  <c r="AD854" i="1" s="1"/>
  <c r="E855" i="1"/>
  <c r="AD855" i="1" s="1"/>
  <c r="E856" i="1"/>
  <c r="AD856" i="1" s="1"/>
  <c r="E857" i="1"/>
  <c r="AD857" i="1" s="1"/>
  <c r="E858" i="1"/>
  <c r="AD858" i="1" s="1"/>
  <c r="E859" i="1"/>
  <c r="AD859" i="1" s="1"/>
  <c r="E860" i="1"/>
  <c r="AD860" i="1" s="1"/>
  <c r="E861" i="1"/>
  <c r="AD861" i="1" s="1"/>
  <c r="E862" i="1"/>
  <c r="AD862" i="1" s="1"/>
  <c r="E863" i="1"/>
  <c r="AD863" i="1" s="1"/>
  <c r="E864" i="1"/>
  <c r="AD864" i="1" s="1"/>
  <c r="E865" i="1"/>
  <c r="AD865" i="1" s="1"/>
  <c r="E866" i="1"/>
  <c r="AD866" i="1" s="1"/>
  <c r="E867" i="1"/>
  <c r="AD867" i="1" s="1"/>
  <c r="E868" i="1"/>
  <c r="AD868" i="1" s="1"/>
  <c r="E869" i="1"/>
  <c r="AD869" i="1" s="1"/>
  <c r="E870" i="1"/>
  <c r="AD870" i="1" s="1"/>
  <c r="E871" i="1"/>
  <c r="AD871" i="1" s="1"/>
  <c r="E872" i="1"/>
  <c r="AD872" i="1" s="1"/>
  <c r="E873" i="1"/>
  <c r="AD873" i="1" s="1"/>
  <c r="E874" i="1"/>
  <c r="AD874" i="1" s="1"/>
  <c r="E875" i="1"/>
  <c r="AD875" i="1" s="1"/>
  <c r="E876" i="1"/>
  <c r="AD876" i="1" s="1"/>
  <c r="E877" i="1"/>
  <c r="AD877" i="1" s="1"/>
  <c r="E878" i="1"/>
  <c r="AD878" i="1" s="1"/>
  <c r="E879" i="1"/>
  <c r="AD879" i="1" s="1"/>
  <c r="E880" i="1"/>
  <c r="AD880" i="1" s="1"/>
  <c r="E881" i="1"/>
  <c r="AD881" i="1" s="1"/>
  <c r="E882" i="1"/>
  <c r="AD882" i="1" s="1"/>
  <c r="E883" i="1"/>
  <c r="AD883" i="1" s="1"/>
  <c r="E884" i="1"/>
  <c r="AD884" i="1" s="1"/>
  <c r="E885" i="1"/>
  <c r="AD885" i="1" s="1"/>
  <c r="E886" i="1"/>
  <c r="AD886" i="1" s="1"/>
  <c r="E887" i="1"/>
  <c r="AD887" i="1" s="1"/>
  <c r="E888" i="1"/>
  <c r="AD888" i="1" s="1"/>
  <c r="E889" i="1"/>
  <c r="AD889" i="1" s="1"/>
  <c r="E890" i="1"/>
  <c r="AD890" i="1" s="1"/>
  <c r="E891" i="1"/>
  <c r="AD891" i="1" s="1"/>
  <c r="E892" i="1"/>
  <c r="AD892" i="1" s="1"/>
  <c r="E893" i="1"/>
  <c r="AD893" i="1" s="1"/>
  <c r="E894" i="1"/>
  <c r="AD894" i="1" s="1"/>
  <c r="E895" i="1"/>
  <c r="AD895" i="1" s="1"/>
  <c r="E896" i="1"/>
  <c r="AD896" i="1" s="1"/>
  <c r="E897" i="1"/>
  <c r="AD897" i="1" s="1"/>
  <c r="E898" i="1"/>
  <c r="AD898" i="1" s="1"/>
  <c r="E899" i="1"/>
  <c r="AD899" i="1" s="1"/>
  <c r="E900" i="1"/>
  <c r="AD900" i="1" s="1"/>
  <c r="E901" i="1"/>
  <c r="AD901" i="1" s="1"/>
  <c r="E902" i="1"/>
  <c r="AD902" i="1" s="1"/>
  <c r="E903" i="1"/>
  <c r="AD903" i="1" s="1"/>
  <c r="E904" i="1"/>
  <c r="AD904" i="1" s="1"/>
  <c r="E905" i="1"/>
  <c r="AD905" i="1" s="1"/>
  <c r="E906" i="1"/>
  <c r="AD906" i="1" s="1"/>
  <c r="E907" i="1"/>
  <c r="AD907" i="1" s="1"/>
  <c r="E908" i="1"/>
  <c r="AD908" i="1" s="1"/>
  <c r="E909" i="1"/>
  <c r="AD909" i="1" s="1"/>
  <c r="E910" i="1"/>
  <c r="AD910" i="1" s="1"/>
  <c r="E911" i="1"/>
  <c r="AD911" i="1" s="1"/>
  <c r="E912" i="1"/>
  <c r="AD912" i="1" s="1"/>
  <c r="E913" i="1"/>
  <c r="AD913" i="1" s="1"/>
  <c r="E2" i="1"/>
  <c r="AD2" i="1" s="1"/>
  <c r="D91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2" i="1"/>
  <c r="AD8" i="1" l="1"/>
  <c r="A929" i="1"/>
</calcChain>
</file>

<file path=xl/sharedStrings.xml><?xml version="1.0" encoding="utf-8"?>
<sst xmlns="http://schemas.openxmlformats.org/spreadsheetml/2006/main" count="13744" uniqueCount="3388">
  <si>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</si>
  <si>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</si>
  <si>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</si>
  <si>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</si>
  <si>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</si>
  <si>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</si>
  <si>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</si>
  <si>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</si>
  <si>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</si>
  <si>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</si>
  <si>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</si>
  <si>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</si>
  <si>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</si>
  <si>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</si>
  <si>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</si>
  <si>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</si>
  <si>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</si>
  <si>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</si>
  <si>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</si>
  <si>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</si>
  <si>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</si>
  <si>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</si>
  <si>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</si>
  <si>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</si>
  <si>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</si>
  <si>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</si>
  <si>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</si>
  <si>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</si>
  <si>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</si>
  <si>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</si>
  <si>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</si>
  <si>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</si>
  <si>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</si>
  <si>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</si>
  <si>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</si>
  <si>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</si>
  <si>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</si>
  <si>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</si>
  <si>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</si>
  <si>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</si>
  <si>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</si>
  <si>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</si>
  <si>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</si>
  <si>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</si>
  <si>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</si>
  <si>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</si>
  <si>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</si>
  <si>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</si>
  <si>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</si>
  <si>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</si>
  <si>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</si>
  <si>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</si>
  <si>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</si>
  <si>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</si>
  <si>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</si>
  <si>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</si>
  <si>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</si>
  <si>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</si>
  <si>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</si>
  <si>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</si>
  <si>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</si>
  <si>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</si>
  <si>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</si>
  <si>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</si>
  <si>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</si>
  <si>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</si>
  <si>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</si>
  <si>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</si>
  <si>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</si>
  <si>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</si>
  <si>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</si>
  <si>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</si>
  <si>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</si>
  <si>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</si>
  <si>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</si>
  <si>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</si>
  <si>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</si>
  <si>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CUST-3656</t>
  </si>
  <si>
    <t>Neha Gupta</t>
  </si>
  <si>
    <t>Copiers</t>
  </si>
  <si>
    <t>Eco Copiers 790</t>
  </si>
  <si>
    <t>2025-02-23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</si>
  <si>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</si>
  <si>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</si>
  <si>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</si>
  <si>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</si>
  <si>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</si>
  <si>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</si>
  <si>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</si>
  <si>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</si>
  <si>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</si>
  <si>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</si>
  <si>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CUST-2483</t>
  </si>
  <si>
    <t>Home Office</t>
  </si>
  <si>
    <t>Pro Paper 622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</si>
  <si>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</si>
  <si>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</si>
  <si>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</si>
  <si>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</si>
  <si>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</si>
  <si>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</si>
  <si>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</si>
  <si>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</si>
  <si>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</si>
  <si>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</si>
  <si>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</si>
  <si>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</si>
  <si>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</si>
  <si>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</si>
  <si>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</si>
  <si>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2025-10-12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</si>
  <si>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</si>
  <si>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</si>
  <si>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</si>
  <si>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</si>
  <si>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</si>
  <si>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</si>
  <si>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</si>
  <si>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</si>
  <si>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</si>
  <si>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</si>
  <si>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</si>
  <si>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</si>
  <si>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</si>
  <si>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</si>
  <si>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</si>
  <si>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</si>
  <si>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</si>
  <si>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</si>
  <si>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2024-01-08</t>
  </si>
  <si>
    <t>CUST-1626</t>
  </si>
  <si>
    <t>Sneha Kapoor</t>
  </si>
  <si>
    <t>Basic Furnishings 434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</si>
  <si>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</si>
  <si>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</si>
  <si>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</si>
  <si>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</si>
  <si>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</si>
  <si>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</si>
  <si>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</si>
  <si>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</si>
  <si>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CUST-3190</t>
  </si>
  <si>
    <t>Bihar</t>
  </si>
  <si>
    <t>Patna</t>
  </si>
  <si>
    <t>Elite Copiers 233</t>
  </si>
  <si>
    <t>CUST-3036</t>
  </si>
  <si>
    <t>Eco Furnishings 897</t>
  </si>
  <si>
    <t>2025-01-21</t>
  </si>
  <si>
    <t>CUST-3588</t>
  </si>
  <si>
    <t>Binders</t>
  </si>
  <si>
    <t>Max Binders 355</t>
  </si>
  <si>
    <t>Failed</t>
  </si>
  <si>
    <t>CUST-7098</t>
  </si>
  <si>
    <t>Bookcases</t>
  </si>
  <si>
    <t>Pro Bookcases 394</t>
  </si>
  <si>
    <t>ORD-2024-10025</t>
  </si>
  <si>
    <t>2024-03-04</t>
  </si>
  <si>
    <t>CUST-1747</t>
  </si>
  <si>
    <t>Diya Patel</t>
  </si>
  <si>
    <t>Max Art 215</t>
  </si>
  <si>
    <t>ORD-2024-10026</t>
  </si>
  <si>
    <t>2024-10-19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</si>
  <si>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</si>
  <si>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</si>
  <si>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</si>
  <si>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</si>
  <si>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</si>
  <si>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</si>
  <si>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</si>
  <si>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</si>
  <si>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</si>
  <si>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</si>
  <si>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</si>
  <si>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</si>
  <si>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</si>
  <si>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</si>
  <si>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</si>
  <si>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</si>
  <si>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</si>
  <si>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</si>
  <si>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</si>
  <si>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</si>
  <si>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</si>
  <si>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</si>
  <si>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</si>
  <si>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</si>
  <si>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</si>
  <si>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</si>
  <si>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CUST-7867</t>
  </si>
  <si>
    <t>Pro Paper 959</t>
  </si>
  <si>
    <t>ORD-2024-10033</t>
  </si>
  <si>
    <t>2024-11-26</t>
  </si>
  <si>
    <t>CUST-6509</t>
  </si>
  <si>
    <t>Basic Phones 242</t>
  </si>
  <si>
    <t>ORD-2024-10034</t>
  </si>
  <si>
    <t>CUST-6660</t>
  </si>
  <si>
    <t>Max Tables 836</t>
  </si>
  <si>
    <t>2025-01-31</t>
  </si>
  <si>
    <t>2025-02-05</t>
  </si>
  <si>
    <t>CUST-2392</t>
  </si>
  <si>
    <t>Elite Chairs 862</t>
  </si>
  <si>
    <t>ORD-2024-10036</t>
  </si>
  <si>
    <t>CUST-1611</t>
  </si>
  <si>
    <t>Prime Bookcases 414</t>
  </si>
  <si>
    <t>ORD-2024-10037</t>
  </si>
  <si>
    <t>2024-10-25</t>
  </si>
  <si>
    <t>CUST-8296</t>
  </si>
  <si>
    <t>Eco Bookcases 220</t>
  </si>
  <si>
    <t>CUST-4646</t>
  </si>
  <si>
    <t>Pro Copiers 830</t>
  </si>
  <si>
    <t>ORD-2024-10039</t>
  </si>
  <si>
    <t>2024-06-17</t>
  </si>
  <si>
    <t>CUST-8235</t>
  </si>
  <si>
    <t>Prime Phones 507</t>
  </si>
  <si>
    <t>ORD-2024-10040</t>
  </si>
  <si>
    <t>2024-12-11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</si>
  <si>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</si>
  <si>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</si>
  <si>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</si>
  <si>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</si>
  <si>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</si>
  <si>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</si>
  <si>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</si>
  <si>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</si>
  <si>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2025-10-10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</si>
  <si>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</si>
  <si>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</si>
  <si>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</si>
  <si>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</si>
  <si>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</si>
  <si>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</si>
  <si>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</si>
  <si>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</si>
  <si>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</si>
  <si>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</si>
  <si>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</si>
  <si>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</si>
  <si>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</si>
  <si>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</si>
  <si>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</si>
  <si>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</si>
  <si>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</si>
  <si>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</si>
  <si>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</si>
  <si>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2024-08-12</t>
  </si>
  <si>
    <t>CUST-1987</t>
  </si>
  <si>
    <t>Tamil Nadu</t>
  </si>
  <si>
    <t>Chennai</t>
  </si>
  <si>
    <t>Max Storage 432</t>
  </si>
  <si>
    <t>CUST-8183</t>
  </si>
  <si>
    <t>Basic Chairs 837</t>
  </si>
  <si>
    <t>ORD-2024-10050</t>
  </si>
  <si>
    <t>2024-04-06</t>
  </si>
  <si>
    <t>CUST-2380</t>
  </si>
  <si>
    <t>Classic Copiers 295</t>
  </si>
  <si>
    <t>CUST-8787</t>
  </si>
  <si>
    <t>Pro Copiers 963</t>
  </si>
  <si>
    <t>ORD-2024-10052</t>
  </si>
  <si>
    <t>CUST-3557</t>
  </si>
  <si>
    <t>Pro Art 907</t>
  </si>
  <si>
    <t>ORD-2024-10053</t>
  </si>
  <si>
    <t>2024-10-28</t>
  </si>
  <si>
    <t>CUST-2778</t>
  </si>
  <si>
    <t>Kabir Singh</t>
  </si>
  <si>
    <t>Pro Chairs 526</t>
  </si>
  <si>
    <t>2025-03-31</t>
  </si>
  <si>
    <t>CUST-7195</t>
  </si>
  <si>
    <t>Elite Storage 924</t>
  </si>
  <si>
    <t>2025-06-02</t>
  </si>
  <si>
    <t>CUST-9039</t>
  </si>
  <si>
    <t>Pro Labels 957</t>
  </si>
  <si>
    <t>CUST-9821</t>
  </si>
  <si>
    <t>Machines</t>
  </si>
  <si>
    <t>Classic Machines 310</t>
  </si>
  <si>
    <t>2025-01-05</t>
  </si>
  <si>
    <t>CUST-8701</t>
  </si>
  <si>
    <t>Smart Binders 393</t>
  </si>
  <si>
    <t>ORD-2024-10058</t>
  </si>
  <si>
    <t>2024-02-07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</si>
  <si>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</si>
  <si>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</si>
  <si>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</si>
  <si>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</si>
  <si>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</si>
  <si>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</si>
  <si>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</si>
  <si>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</si>
  <si>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CUST-2418</t>
  </si>
  <si>
    <t>Smart Labels 655</t>
  </si>
  <si>
    <t>ORD-2024-10061</t>
  </si>
  <si>
    <t>2024-07-19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</si>
  <si>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</si>
  <si>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</si>
  <si>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</si>
  <si>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</si>
  <si>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</si>
  <si>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</si>
  <si>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</si>
  <si>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</si>
  <si>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</si>
  <si>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2024-01-25</t>
  </si>
  <si>
    <t>CUST-5382</t>
  </si>
  <si>
    <t>Pro Binders 690</t>
  </si>
  <si>
    <t>ORD-2024-10065</t>
  </si>
  <si>
    <t>2024-12-23</t>
  </si>
  <si>
    <t>CUST-2749</t>
  </si>
  <si>
    <t>Classic Paper 458</t>
  </si>
  <si>
    <t>ORD-2024-10066</t>
  </si>
  <si>
    <t>2024-04-27</t>
  </si>
  <si>
    <t>CUST-2463</t>
  </si>
  <si>
    <t>Pro Paper 552</t>
  </si>
  <si>
    <t>CUST-1504</t>
  </si>
  <si>
    <t>Elite Accessories 187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</si>
  <si>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</si>
  <si>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</si>
  <si>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</si>
  <si>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</si>
  <si>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</si>
  <si>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</si>
  <si>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</si>
  <si>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</si>
  <si>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2025-08-22</t>
  </si>
  <si>
    <t>CUST-5582</t>
  </si>
  <si>
    <t>Max Phones 661</t>
  </si>
  <si>
    <t>2025-04-23</t>
  </si>
  <si>
    <t>CUST-3308</t>
  </si>
  <si>
    <t>Elite Machines 836</t>
  </si>
  <si>
    <t>ORD-2024-10073</t>
  </si>
  <si>
    <t>2024-02-11</t>
  </si>
  <si>
    <t>CUST-5018</t>
  </si>
  <si>
    <t>Prime Tables 902</t>
  </si>
  <si>
    <t>CUST-2342</t>
  </si>
  <si>
    <t>Smart Bookcases 167</t>
  </si>
  <si>
    <t>2025-03-01</t>
  </si>
  <si>
    <t>CUST-6201</t>
  </si>
  <si>
    <t>Max Chairs 244</t>
  </si>
  <si>
    <t>CUST-5808</t>
  </si>
  <si>
    <t>Eco Labels 653</t>
  </si>
  <si>
    <t>ORD-2024-10077</t>
  </si>
  <si>
    <t>CUST-2642</t>
  </si>
  <si>
    <t>Max Labels 617</t>
  </si>
  <si>
    <t>CUST-4385</t>
  </si>
  <si>
    <t>Pro Furnishings 529</t>
  </si>
  <si>
    <t>CUST-8043</t>
  </si>
  <si>
    <t>Smart Tables 561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</si>
  <si>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</si>
  <si>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</si>
  <si>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</si>
  <si>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</si>
  <si>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</si>
  <si>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</si>
  <si>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</si>
  <si>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</si>
  <si>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</si>
  <si>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</si>
  <si>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</si>
  <si>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2025-03-16</t>
  </si>
  <si>
    <t>CUST-7907</t>
  </si>
  <si>
    <t>Eco Labels 662</t>
  </si>
  <si>
    <t>ORD-2024-10083</t>
  </si>
  <si>
    <t>2024-08-03</t>
  </si>
  <si>
    <t>CUST-6516</t>
  </si>
  <si>
    <t>Smart Copiers 702</t>
  </si>
  <si>
    <t>ORD-2024-10084</t>
  </si>
  <si>
    <t>CUST-4989</t>
  </si>
  <si>
    <t>Elite Tables 362</t>
  </si>
  <si>
    <t>ORD-2024-10085</t>
  </si>
  <si>
    <t>2024-10-03</t>
  </si>
  <si>
    <t>CUST-3758</t>
  </si>
  <si>
    <t>Elite Phones 781</t>
  </si>
  <si>
    <t>ORD-2024-10086</t>
  </si>
  <si>
    <t>2024-07-30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</si>
  <si>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</si>
  <si>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</si>
  <si>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</si>
  <si>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</si>
  <si>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</si>
  <si>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</si>
  <si>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</si>
  <si>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</si>
  <si>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</si>
  <si>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</si>
  <si>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</si>
  <si>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</si>
  <si>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</si>
  <si>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</si>
  <si>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CUST-5909</t>
  </si>
  <si>
    <t>Smart Copiers 556</t>
  </si>
  <si>
    <t>CUST-6409</t>
  </si>
  <si>
    <t>Prime Copiers 575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</si>
  <si>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</si>
  <si>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</si>
  <si>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</si>
  <si>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</si>
  <si>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</si>
  <si>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</si>
  <si>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</si>
  <si>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</si>
  <si>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CUST-2687</t>
  </si>
  <si>
    <t>Classic Bookcases 988</t>
  </si>
  <si>
    <t>ORD-2024-10097</t>
  </si>
  <si>
    <t>CUST-7283</t>
  </si>
  <si>
    <t>Smart Copiers 547</t>
  </si>
  <si>
    <t>2025-08-11</t>
  </si>
  <si>
    <t>CUST-8111</t>
  </si>
  <si>
    <t>Basic Storage 656</t>
  </si>
  <si>
    <t>ORD-2024-10099</t>
  </si>
  <si>
    <t>2024-01-26</t>
  </si>
  <si>
    <t>CUST-5434</t>
  </si>
  <si>
    <t>Elite Copiers 785</t>
  </si>
  <si>
    <t>CUST-3865</t>
  </si>
  <si>
    <t>Smart Accessories 542</t>
  </si>
  <si>
    <t>CUST-6015</t>
  </si>
  <si>
    <t>Eco Storage 936</t>
  </si>
  <si>
    <t>ORD-2024-10102</t>
  </si>
  <si>
    <t>CUST-7909</t>
  </si>
  <si>
    <t>Classic Furnishings 682</t>
  </si>
  <si>
    <t>2025-07-16</t>
  </si>
  <si>
    <t>CUST-9603</t>
  </si>
  <si>
    <t>Classic Chairs 604</t>
  </si>
  <si>
    <t>CUST-6263</t>
  </si>
  <si>
    <t>Prime Tables 377</t>
  </si>
  <si>
    <t>2025-02-01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</si>
  <si>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</si>
  <si>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</si>
  <si>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</si>
  <si>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</si>
  <si>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</si>
  <si>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</si>
  <si>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</si>
  <si>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</si>
  <si>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</si>
  <si>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2024-11-04</t>
  </si>
  <si>
    <t>CUST-6604</t>
  </si>
  <si>
    <t>Prime Furnishings 952</t>
  </si>
  <si>
    <t>ORD-2024-10109</t>
  </si>
  <si>
    <t>CUST-4337</t>
  </si>
  <si>
    <t>Prime Bookcases 631</t>
  </si>
  <si>
    <t>CUST-3740</t>
  </si>
  <si>
    <t>Classic Binders 660</t>
  </si>
  <si>
    <t>ORD-2024-10111</t>
  </si>
  <si>
    <t>2024-10-24</t>
  </si>
  <si>
    <t>CUST-7128</t>
  </si>
  <si>
    <t>Pro Labels 255</t>
  </si>
  <si>
    <t>2025-06-30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</si>
  <si>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</si>
  <si>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</si>
  <si>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</si>
  <si>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</si>
  <si>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</si>
  <si>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</si>
  <si>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</si>
  <si>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</si>
  <si>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2024-09-25</t>
  </si>
  <si>
    <t>CUST-2927</t>
  </si>
  <si>
    <t>Eco Accessories 452</t>
  </si>
  <si>
    <t>ORD-2024-10116</t>
  </si>
  <si>
    <t>2024-12-27</t>
  </si>
  <si>
    <t>CUST-7764</t>
  </si>
  <si>
    <t>Classic Binders 203</t>
  </si>
  <si>
    <t>2025-02-15</t>
  </si>
  <si>
    <t>CUST-3632</t>
  </si>
  <si>
    <t>Basic Binders 859</t>
  </si>
  <si>
    <t>ORD-2024-10118</t>
  </si>
  <si>
    <t>2024-02-15</t>
  </si>
  <si>
    <t>CUST-9608</t>
  </si>
  <si>
    <t>Elite Machines 705</t>
  </si>
  <si>
    <t>ORD-2024-10119</t>
  </si>
  <si>
    <t>2024-06-18</t>
  </si>
  <si>
    <t>CUST-9135</t>
  </si>
  <si>
    <t>Pro Copiers 208</t>
  </si>
  <si>
    <t>ORD-2024-10120</t>
  </si>
  <si>
    <t>CUST-7861</t>
  </si>
  <si>
    <t>Elite Chairs 921</t>
  </si>
  <si>
    <t>ORD-2024-10121</t>
  </si>
  <si>
    <t>2024-08-18</t>
  </si>
  <si>
    <t>CUST-6096</t>
  </si>
  <si>
    <t>Prime Phones 540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</si>
  <si>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</si>
  <si>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</si>
  <si>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</si>
  <si>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</si>
  <si>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</si>
  <si>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</si>
  <si>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</si>
  <si>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</si>
  <si>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</si>
  <si>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</si>
  <si>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</si>
  <si>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2025-07-17</t>
  </si>
  <si>
    <t>CUST-7924</t>
  </si>
  <si>
    <t>Basic Tables 753</t>
  </si>
  <si>
    <t>CUST-1715</t>
  </si>
  <si>
    <t>Prime Copiers 651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</si>
  <si>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</si>
  <si>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</si>
  <si>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</si>
  <si>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</si>
  <si>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</si>
  <si>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</si>
  <si>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</si>
  <si>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</si>
  <si>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</si>
  <si>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2024-01-27</t>
  </si>
  <si>
    <t>CUST-5435</t>
  </si>
  <si>
    <t>Smart Labels 878</t>
  </si>
  <si>
    <t>2025-10-04</t>
  </si>
  <si>
    <t>CUST-7637</t>
  </si>
  <si>
    <t>Pro Paper 934</t>
  </si>
  <si>
    <t>ORD-2024-10133</t>
  </si>
  <si>
    <t>CUST-3602</t>
  </si>
  <si>
    <t>Classic Machines 886</t>
  </si>
  <si>
    <t>ORD-2024-10134</t>
  </si>
  <si>
    <t>2024-12-13</t>
  </si>
  <si>
    <t>CUST-9441</t>
  </si>
  <si>
    <t>Prime Phones 419</t>
  </si>
  <si>
    <t>2025-07-14</t>
  </si>
  <si>
    <t>CUST-7361</t>
  </si>
  <si>
    <t>Elite Bookcases 266</t>
  </si>
  <si>
    <t>2025-08-24</t>
  </si>
  <si>
    <t>CUST-1148</t>
  </si>
  <si>
    <t>Prime Bookcases 954</t>
  </si>
  <si>
    <t>CUST-3350</t>
  </si>
  <si>
    <t>Max Binders 362</t>
  </si>
  <si>
    <t>2025-01-09</t>
  </si>
  <si>
    <t>CUST-7932</t>
  </si>
  <si>
    <t>Prime Chairs 261</t>
  </si>
  <si>
    <t>ORD-2024-10139</t>
  </si>
  <si>
    <t>2024-01-20</t>
  </si>
  <si>
    <t>CUST-7173</t>
  </si>
  <si>
    <t>Basic Machines 185</t>
  </si>
  <si>
    <t>CUST-4225</t>
  </si>
  <si>
    <t>Basic Labels 509</t>
  </si>
  <si>
    <t>ORD-2024-10141</t>
  </si>
  <si>
    <t>CUST-2149</t>
  </si>
  <si>
    <t>Elite Bookcases 696</t>
  </si>
  <si>
    <t>ORD-2024-10142</t>
  </si>
  <si>
    <t>2024-03-29</t>
  </si>
  <si>
    <t>CUST-3314</t>
  </si>
  <si>
    <t>Elite Bookcases 772</t>
  </si>
  <si>
    <t>ORD-2024-10143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</si>
  <si>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</si>
  <si>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</si>
  <si>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</si>
  <si>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</si>
  <si>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</si>
  <si>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</si>
  <si>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</si>
  <si>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</si>
  <si>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</si>
  <si>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</si>
  <si>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CUST-6161</t>
  </si>
  <si>
    <t>Smart Paper 899</t>
  </si>
  <si>
    <t>CUST-1460</t>
  </si>
  <si>
    <t>Classic Storage 423</t>
  </si>
  <si>
    <t>ORD-2024-10148</t>
  </si>
  <si>
    <t>2024-12-30</t>
  </si>
  <si>
    <t>CUST-2692</t>
  </si>
  <si>
    <t>Classic Furnishings 743</t>
  </si>
  <si>
    <t>CUST-2822</t>
  </si>
  <si>
    <t>Smart Phones 336</t>
  </si>
  <si>
    <t>ORD-2024-10150</t>
  </si>
  <si>
    <t>CUST-5876</t>
  </si>
  <si>
    <t>Eco Copiers 381</t>
  </si>
  <si>
    <t>ORD-2024-10151</t>
  </si>
  <si>
    <t>2024-03-12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</si>
  <si>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</si>
  <si>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</si>
  <si>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</si>
  <si>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</si>
  <si>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</si>
  <si>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</si>
  <si>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</si>
  <si>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</si>
  <si>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2025-09-25</t>
  </si>
  <si>
    <t>CUST-6971</t>
  </si>
  <si>
    <t>Prime Labels 559</t>
  </si>
  <si>
    <t>ORD-2024-10155</t>
  </si>
  <si>
    <t>Classic Bookcases 847</t>
  </si>
  <si>
    <t>CUST-8327</t>
  </si>
  <si>
    <t>Classic Furnishings 655</t>
  </si>
  <si>
    <t>CUST-4058</t>
  </si>
  <si>
    <t>Eco Machines 657</t>
  </si>
  <si>
    <t>ORD-2024-10158</t>
  </si>
  <si>
    <t>CUST-1142</t>
  </si>
  <si>
    <t>Pro Bookcases 430</t>
  </si>
  <si>
    <t>ORD-2024-10159</t>
  </si>
  <si>
    <t>2024-09-09</t>
  </si>
  <si>
    <t>CUST-2324</t>
  </si>
  <si>
    <t>Max Bookcases 881</t>
  </si>
  <si>
    <t>2025-01-30</t>
  </si>
  <si>
    <t>CUST-7717</t>
  </si>
  <si>
    <t>Elite Chairs 998</t>
  </si>
  <si>
    <t>CUST-4932</t>
  </si>
  <si>
    <t>Max Paper 113</t>
  </si>
  <si>
    <t>2025-07-24</t>
  </si>
  <si>
    <t>CUST-2367</t>
  </si>
  <si>
    <t>Smart Binders 267</t>
  </si>
  <si>
    <t>ORD-2024-10163</t>
  </si>
  <si>
    <t>2024-03-09</t>
  </si>
  <si>
    <t>CUST-4830</t>
  </si>
  <si>
    <t>Pro Furnishings 108</t>
  </si>
  <si>
    <t>CUST-2548</t>
  </si>
  <si>
    <t>Elite Tables 389</t>
  </si>
  <si>
    <t>CUST-3833</t>
  </si>
  <si>
    <t>Pro Bookcases 595</t>
  </si>
  <si>
    <t>ORD-2024-10166</t>
  </si>
  <si>
    <t>CUST-4598</t>
  </si>
  <si>
    <t>Max Chairs 148</t>
  </si>
  <si>
    <t>CUST-7215</t>
  </si>
  <si>
    <t>Basic Labels 671</t>
  </si>
  <si>
    <t>2025-08-18</t>
  </si>
  <si>
    <t>CUST-7770</t>
  </si>
  <si>
    <t>Elite Storage 628</t>
  </si>
  <si>
    <t>CUST-9756</t>
  </si>
  <si>
    <t>Eco Accessories 590</t>
  </si>
  <si>
    <t>2025-09-13</t>
  </si>
  <si>
    <t>CUST-2261</t>
  </si>
  <si>
    <t>Pro Art 734</t>
  </si>
  <si>
    <t>CUST-3734</t>
  </si>
  <si>
    <t>Eco Copiers 102</t>
  </si>
  <si>
    <t>CUST-3436</t>
  </si>
  <si>
    <t>Basic Labels 876</t>
  </si>
  <si>
    <t>CUST-4845</t>
  </si>
  <si>
    <t>Prime Furnishings 381</t>
  </si>
  <si>
    <t>ORD-2024-10174</t>
  </si>
  <si>
    <t>CUST-6153</t>
  </si>
  <si>
    <t>Prime Copiers 440</t>
  </si>
  <si>
    <t>CUST-5475</t>
  </si>
  <si>
    <t>Pro Bookcases 319</t>
  </si>
  <si>
    <t>ORD-2024-10176</t>
  </si>
  <si>
    <t>2024-02-03</t>
  </si>
  <si>
    <t>CUST-5580</t>
  </si>
  <si>
    <t>Basic Machines 584</t>
  </si>
  <si>
    <t>CUST-3027</t>
  </si>
  <si>
    <t>Pro Bookcases 612</t>
  </si>
  <si>
    <t>ORD-2024-10178</t>
  </si>
  <si>
    <t>CUST-4399</t>
  </si>
  <si>
    <t>Classic Art 573</t>
  </si>
  <si>
    <t>ORD-2024-10179</t>
  </si>
  <si>
    <t>2024-09-30</t>
  </si>
  <si>
    <t>CUST-3092</t>
  </si>
  <si>
    <t>Eco Art 854</t>
  </si>
  <si>
    <t>ORD-2024-10180</t>
  </si>
  <si>
    <t>2024-03-15</t>
  </si>
  <si>
    <t>CUST-1778</t>
  </si>
  <si>
    <t>Classic Furnishings 996</t>
  </si>
  <si>
    <t>ORD-2024-10181</t>
  </si>
  <si>
    <t>2024-08-26</t>
  </si>
  <si>
    <t>CUST-3787</t>
  </si>
  <si>
    <t>Prime Binders 735</t>
  </si>
  <si>
    <t>CUST-5119</t>
  </si>
  <si>
    <t>Pro Art 587</t>
  </si>
  <si>
    <t>ORD-2024-10183</t>
  </si>
  <si>
    <t>CUST-4121</t>
  </si>
  <si>
    <t>Basic Machines 575</t>
  </si>
  <si>
    <t>2025-06-24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</si>
  <si>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</si>
  <si>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</si>
  <si>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</si>
  <si>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</si>
  <si>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</si>
  <si>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</si>
  <si>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</si>
  <si>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</si>
  <si>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</si>
  <si>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</si>
  <si>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</si>
  <si>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Basic Tables 417</t>
  </si>
  <si>
    <t>2025-05-01</t>
  </si>
  <si>
    <t>CUST-3109</t>
  </si>
  <si>
    <t>Pro Chairs 844</t>
  </si>
  <si>
    <t>2025-05-21</t>
  </si>
  <si>
    <t>CUST-3422</t>
  </si>
  <si>
    <t>Elite Bookcases 883</t>
  </si>
  <si>
    <t>2025-05-06</t>
  </si>
  <si>
    <t>CUST-3375</t>
  </si>
  <si>
    <t>Basic Bookcases 754</t>
  </si>
  <si>
    <t>CUST-5138</t>
  </si>
  <si>
    <t>Eco Storage 158</t>
  </si>
  <si>
    <t>ORD-2024-10192</t>
  </si>
  <si>
    <t>CUST-7410</t>
  </si>
  <si>
    <t>Prime Bookcases 602</t>
  </si>
  <si>
    <t>ORD-2024-10193</t>
  </si>
  <si>
    <t>2024-12-09</t>
  </si>
  <si>
    <t>CUST-7115</t>
  </si>
  <si>
    <t>Eco Chairs 438</t>
  </si>
  <si>
    <t>ORD-2024-10194</t>
  </si>
  <si>
    <t>2024-06-23</t>
  </si>
  <si>
    <t>CUST-9853</t>
  </si>
  <si>
    <t>Prime Copiers 142</t>
  </si>
  <si>
    <t>2025-01-28</t>
  </si>
  <si>
    <t>CUST-3637</t>
  </si>
  <si>
    <t>Prime Furnishings 433</t>
  </si>
  <si>
    <t>CUST-4328</t>
  </si>
  <si>
    <t>Smart Furnishings 685</t>
  </si>
  <si>
    <t>ORD-2024-10197</t>
  </si>
  <si>
    <t>CUST-8028</t>
  </si>
  <si>
    <t>Elite Storage 915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</si>
  <si>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</si>
  <si>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</si>
  <si>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</si>
  <si>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</si>
  <si>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</si>
  <si>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</si>
  <si>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</si>
  <si>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CUST-7047</t>
  </si>
  <si>
    <t>Classic Copiers 479</t>
  </si>
  <si>
    <t>CUST-8005</t>
  </si>
  <si>
    <t>Basic Labels 511</t>
  </si>
  <si>
    <t>2025-03-28</t>
  </si>
  <si>
    <t>CUST-9378</t>
  </si>
  <si>
    <t>Prime Accessories 733</t>
  </si>
  <si>
    <t>ORD-2024-10204</t>
  </si>
  <si>
    <t>2024-03-30</t>
  </si>
  <si>
    <t>CUST-3384</t>
  </si>
  <si>
    <t>Max Accessories 186</t>
  </si>
  <si>
    <t>2025-07-23</t>
  </si>
  <si>
    <t>CUST-1986</t>
  </si>
  <si>
    <t>Elite Tables 318</t>
  </si>
  <si>
    <t>CUST-3338</t>
  </si>
  <si>
    <t>Smart Labels 354</t>
  </si>
  <si>
    <t>CUST-2343</t>
  </si>
  <si>
    <t>Pro Furnishings 981</t>
  </si>
  <si>
    <t>ORD-2024-10208</t>
  </si>
  <si>
    <t>2024-07-16</t>
  </si>
  <si>
    <t>CUST-3362</t>
  </si>
  <si>
    <t>Eco Bookcases 671</t>
  </si>
  <si>
    <t>CUST-3662</t>
  </si>
  <si>
    <t>Max Chairs 151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</si>
  <si>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</si>
  <si>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</si>
  <si>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</si>
  <si>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</si>
  <si>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</si>
  <si>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</si>
  <si>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</si>
  <si>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</si>
  <si>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</si>
  <si>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2024-09-21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</si>
  <si>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</si>
  <si>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</si>
  <si>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</si>
  <si>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</si>
  <si>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</si>
  <si>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</si>
  <si>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</si>
  <si>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</si>
  <si>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</si>
  <si>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</si>
  <si>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</si>
  <si>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CUST-4330</t>
  </si>
  <si>
    <t>Basic Tables 400</t>
  </si>
  <si>
    <t>CUST-4533</t>
  </si>
  <si>
    <t>Basic Bookcases 405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</si>
  <si>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</si>
  <si>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</si>
  <si>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</si>
  <si>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</si>
  <si>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</si>
  <si>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</si>
  <si>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</si>
  <si>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</si>
  <si>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2025-01-15</t>
  </si>
  <si>
    <t>CUST-2495</t>
  </si>
  <si>
    <t>Classic Chairs 231</t>
  </si>
  <si>
    <t>CUST-4583</t>
  </si>
  <si>
    <t>Prime Storage 818</t>
  </si>
  <si>
    <t>CUST-5319</t>
  </si>
  <si>
    <t>Elite Furnishings 449</t>
  </si>
  <si>
    <t>CUST-9871</t>
  </si>
  <si>
    <t>Classic Furnishings 109</t>
  </si>
  <si>
    <t>ORD-2024-10226</t>
  </si>
  <si>
    <t>2024-09-10</t>
  </si>
  <si>
    <t>CUST-1266</t>
  </si>
  <si>
    <t>Classic Phones 548</t>
  </si>
  <si>
    <t>CUST-2545</t>
  </si>
  <si>
    <t>Max Copiers 363</t>
  </si>
  <si>
    <t>ORD-2024-10228</t>
  </si>
  <si>
    <t>2024-07-05</t>
  </si>
  <si>
    <t>CUST-2819</t>
  </si>
  <si>
    <t>Prime Binders 507</t>
  </si>
  <si>
    <t>ORD-2024-10229</t>
  </si>
  <si>
    <t>CUST-1076</t>
  </si>
  <si>
    <t>Smart Labels 914</t>
  </si>
  <si>
    <t>2025-06-28</t>
  </si>
  <si>
    <t>CUST-1943</t>
  </si>
  <si>
    <t>Smart Bookcases 662</t>
  </si>
  <si>
    <t>ORD-2024-10231</t>
  </si>
  <si>
    <t>CUST-3434</t>
  </si>
  <si>
    <t>Eco Paper 937</t>
  </si>
  <si>
    <t>ORD-2024-10232</t>
  </si>
  <si>
    <t>2024-05-02</t>
  </si>
  <si>
    <t>CUST-9139</t>
  </si>
  <si>
    <t>Max Labels 370</t>
  </si>
  <si>
    <t>2025-06-04</t>
  </si>
  <si>
    <t>2025-06-10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</si>
  <si>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</si>
  <si>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</si>
  <si>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</si>
  <si>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</si>
  <si>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</si>
  <si>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</si>
  <si>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</si>
  <si>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</si>
  <si>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</si>
  <si>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</si>
  <si>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</si>
  <si>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</si>
  <si>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</si>
  <si>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</si>
  <si>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</si>
  <si>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</si>
  <si>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</si>
  <si>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</si>
  <si>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</si>
  <si>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</si>
  <si>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</si>
  <si>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</si>
  <si>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</si>
  <si>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</si>
  <si>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</si>
  <si>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</si>
  <si>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</si>
  <si>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CUST-6949</t>
  </si>
  <si>
    <t>Basic Storage 737</t>
  </si>
  <si>
    <t>2025-02-07</t>
  </si>
  <si>
    <t>CUST-3430</t>
  </si>
  <si>
    <t>Classic Art 126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</si>
  <si>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</si>
  <si>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</si>
  <si>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</si>
  <si>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</si>
  <si>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</si>
  <si>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</si>
  <si>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</si>
  <si>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</si>
  <si>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</si>
  <si>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</si>
  <si>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</si>
  <si>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</si>
  <si>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</si>
  <si>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</si>
  <si>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</si>
  <si>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</si>
  <si>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</si>
  <si>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</si>
  <si>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CUST-2305</t>
  </si>
  <si>
    <t>Classic Furnishings 378</t>
  </si>
  <si>
    <t>ORD-2024-10251</t>
  </si>
  <si>
    <t>CUST-5351</t>
  </si>
  <si>
    <t>Prime Furnishings 781</t>
  </si>
  <si>
    <t>2025-04-06</t>
  </si>
  <si>
    <t>CUST-6268</t>
  </si>
  <si>
    <t>Prime Tables 263</t>
  </si>
  <si>
    <t>CUST-2103</t>
  </si>
  <si>
    <t>Basic Storage 269</t>
  </si>
  <si>
    <t>ORD-2024-10254</t>
  </si>
  <si>
    <t>2024-09-12</t>
  </si>
  <si>
    <t>CUST-5394</t>
  </si>
  <si>
    <t>Classic Phones 442</t>
  </si>
  <si>
    <t>CUST-6853</t>
  </si>
  <si>
    <t>Elite Accessories 978</t>
  </si>
  <si>
    <t>2025-02-04</t>
  </si>
  <si>
    <t>CUST-1549</t>
  </si>
  <si>
    <t>Eco Phones 132</t>
  </si>
  <si>
    <t>ORD-2024-10257</t>
  </si>
  <si>
    <t>2024-11-05</t>
  </si>
  <si>
    <t>CUST-8411</t>
  </si>
  <si>
    <t>Prime Tables 481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</si>
  <si>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</si>
  <si>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</si>
  <si>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</si>
  <si>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</si>
  <si>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</si>
  <si>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</si>
  <si>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</si>
  <si>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</si>
  <si>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</si>
  <si>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CUST-5174</t>
  </si>
  <si>
    <t>Prime Machines 793</t>
  </si>
  <si>
    <t>2025-09-23</t>
  </si>
  <si>
    <t>CUST-3543</t>
  </si>
  <si>
    <t>Elite Binders 827</t>
  </si>
  <si>
    <t>CUST-7623</t>
  </si>
  <si>
    <t>Prime Labels 326</t>
  </si>
  <si>
    <t>2025-05-26</t>
  </si>
  <si>
    <t>Eco Phones 245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</si>
  <si>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</si>
  <si>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</si>
  <si>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</si>
  <si>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</si>
  <si>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</si>
  <si>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</si>
  <si>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</si>
  <si>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</si>
  <si>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2025-05-03</t>
  </si>
  <si>
    <t>2025-05-10</t>
  </si>
  <si>
    <t>CUST-7114</t>
  </si>
  <si>
    <t>Classic Storage 926</t>
  </si>
  <si>
    <t>CUST-4431</t>
  </si>
  <si>
    <t>Basic Furnishings 372</t>
  </si>
  <si>
    <t>CUST-1488</t>
  </si>
  <si>
    <t>Prime Accessories 367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</si>
  <si>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</si>
  <si>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</si>
  <si>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</si>
  <si>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</si>
  <si>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</si>
  <si>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</si>
  <si>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</si>
  <si>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</si>
  <si>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</si>
  <si>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</si>
  <si>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</si>
  <si>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</si>
  <si>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</si>
  <si>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</si>
  <si>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</si>
  <si>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</si>
  <si>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</si>
  <si>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</si>
  <si>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</si>
  <si>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</si>
  <si>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</si>
  <si>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</si>
  <si>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Elite Accessories 291</t>
  </si>
  <si>
    <t>2025-03-14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</si>
  <si>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</si>
  <si>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</si>
  <si>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</si>
  <si>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</si>
  <si>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</si>
  <si>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</si>
  <si>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</si>
  <si>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</si>
  <si>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CUST-2052</t>
  </si>
  <si>
    <t>Basic Binders 637</t>
  </si>
  <si>
    <t>ORD-2024-10283</t>
  </si>
  <si>
    <t>2024-10-01</t>
  </si>
  <si>
    <t>CUST-9445</t>
  </si>
  <si>
    <t>Classic Tables 811</t>
  </si>
  <si>
    <t>CUST-6568</t>
  </si>
  <si>
    <t>Classic Furnishings 819</t>
  </si>
  <si>
    <t>ORD-2024-10285</t>
  </si>
  <si>
    <t>CUST-2076</t>
  </si>
  <si>
    <t>Prime Tables 542</t>
  </si>
  <si>
    <t>2025-08-15</t>
  </si>
  <si>
    <t>2025-08-20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</si>
  <si>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</si>
  <si>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</si>
  <si>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</si>
  <si>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</si>
  <si>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</si>
  <si>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</si>
  <si>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</si>
  <si>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</si>
  <si>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</si>
  <si>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2024-06-24</t>
  </si>
  <si>
    <t>CUST-4805</t>
  </si>
  <si>
    <t>Classic Binders 721</t>
  </si>
  <si>
    <t>CUST-9114</t>
  </si>
  <si>
    <t>Basic Bookcases 823</t>
  </si>
  <si>
    <t>2025-08-26</t>
  </si>
  <si>
    <t>CUST-8557</t>
  </si>
  <si>
    <t>Classic Tables 178</t>
  </si>
  <si>
    <t>ORD-2024-10292</t>
  </si>
  <si>
    <t>2024-04-10</t>
  </si>
  <si>
    <t>CUST-2860</t>
  </si>
  <si>
    <t>Eco Binders 153</t>
  </si>
  <si>
    <t>CUST-7837</t>
  </si>
  <si>
    <t>Classic Art 183</t>
  </si>
  <si>
    <t>ORD-2024-10294</t>
  </si>
  <si>
    <t>CUST-7010</t>
  </si>
  <si>
    <t>Pro Phones 455</t>
  </si>
  <si>
    <t>CUST-4755</t>
  </si>
  <si>
    <t>Basic Phones 326</t>
  </si>
  <si>
    <t>CUST-6778</t>
  </si>
  <si>
    <t>Max Binders 587</t>
  </si>
  <si>
    <t>CUST-7629</t>
  </si>
  <si>
    <t>Basic Furnishings 617</t>
  </si>
  <si>
    <t>ORD-2024-10298</t>
  </si>
  <si>
    <t>2024-10-29</t>
  </si>
  <si>
    <t>CUST-6724</t>
  </si>
  <si>
    <t>Prime Copiers 669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</si>
  <si>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</si>
  <si>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</si>
  <si>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</si>
  <si>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</si>
  <si>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</si>
  <si>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</si>
  <si>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</si>
  <si>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</si>
  <si>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CUST-2668</t>
  </si>
  <si>
    <t>Classic Accessories 126</t>
  </si>
  <si>
    <t>CUST-5599</t>
  </si>
  <si>
    <t>Elite Phones 202</t>
  </si>
  <si>
    <t>2025-06-12</t>
  </si>
  <si>
    <t>CUST-1623</t>
  </si>
  <si>
    <t>Elite Storage 535</t>
  </si>
  <si>
    <t>ORD-2024-10304</t>
  </si>
  <si>
    <t>CUST-9035</t>
  </si>
  <si>
    <t>Elite Chairs 107</t>
  </si>
  <si>
    <t>ORD-2024-10305</t>
  </si>
  <si>
    <t>2024-03-13</t>
  </si>
  <si>
    <t>CUST-6286</t>
  </si>
  <si>
    <t>Pro Furnishings 991</t>
  </si>
  <si>
    <t>ORD-2024-10306</t>
  </si>
  <si>
    <t>CUST-7246</t>
  </si>
  <si>
    <t>Eco Chairs 105</t>
  </si>
  <si>
    <t>CUST-2589</t>
  </si>
  <si>
    <t>Pro Phones 530</t>
  </si>
  <si>
    <t>2025-07-12</t>
  </si>
  <si>
    <t>CUST-4153</t>
  </si>
  <si>
    <t>Basic Tables 911</t>
  </si>
  <si>
    <t>2025-06-13</t>
  </si>
  <si>
    <t>2025-06-19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</si>
  <si>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</si>
  <si>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</si>
  <si>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</si>
  <si>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</si>
  <si>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</si>
  <si>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</si>
  <si>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</si>
  <si>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</si>
  <si>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</si>
  <si>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</si>
  <si>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</si>
  <si>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</si>
  <si>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</si>
  <si>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</si>
  <si>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2025-05-30</t>
  </si>
  <si>
    <t>CUST-4770</t>
  </si>
  <si>
    <t>Pro Phones 764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</si>
  <si>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</si>
  <si>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</si>
  <si>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</si>
  <si>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</si>
  <si>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</si>
  <si>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</si>
  <si>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</si>
  <si>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</si>
  <si>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CUST-9913</t>
  </si>
  <si>
    <t>Classic Labels 466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</si>
  <si>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</si>
  <si>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</si>
  <si>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</si>
  <si>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</si>
  <si>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</si>
  <si>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</si>
  <si>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</si>
  <si>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</si>
  <si>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</si>
  <si>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</si>
  <si>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</si>
  <si>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</si>
  <si>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</si>
  <si>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</si>
  <si>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</si>
  <si>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</si>
  <si>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</si>
  <si>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</si>
  <si>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</si>
  <si>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CUST-7212</t>
  </si>
  <si>
    <t>Basic Labels 102</t>
  </si>
  <si>
    <t>2025-09-22</t>
  </si>
  <si>
    <t>CUST-7980</t>
  </si>
  <si>
    <t>Prime Copiers 170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</si>
  <si>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</si>
  <si>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</si>
  <si>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</si>
  <si>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</si>
  <si>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</si>
  <si>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</si>
  <si>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</si>
  <si>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2025-05-29</t>
  </si>
  <si>
    <t>CUST-7239</t>
  </si>
  <si>
    <t>Smart Storage 439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</si>
  <si>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</si>
  <si>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</si>
  <si>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</si>
  <si>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</si>
  <si>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</si>
  <si>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</si>
  <si>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</si>
  <si>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</si>
  <si>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</si>
  <si>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</si>
  <si>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2025-05-28</t>
  </si>
  <si>
    <t>CUST-5332</t>
  </si>
  <si>
    <t>Basic Machines 601</t>
  </si>
  <si>
    <t>2025-06-27</t>
  </si>
  <si>
    <t>CUST-8081</t>
  </si>
  <si>
    <t>Pro Phones 968</t>
  </si>
  <si>
    <t>ORD-2024-10335</t>
  </si>
  <si>
    <t>CUST-3062</t>
  </si>
  <si>
    <t>Pro Storage 563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</si>
  <si>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</si>
  <si>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</si>
  <si>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</si>
  <si>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</si>
  <si>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</si>
  <si>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</si>
  <si>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</si>
  <si>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</si>
  <si>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</si>
  <si>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</si>
  <si>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CUST-2752</t>
  </si>
  <si>
    <t>Elite Bookcases 988</t>
  </si>
  <si>
    <t>ORD-2024-10341</t>
  </si>
  <si>
    <t>CUST-6291</t>
  </si>
  <si>
    <t>Smart Binders 414</t>
  </si>
  <si>
    <t>2025-09-09</t>
  </si>
  <si>
    <t>CUST-9969</t>
  </si>
  <si>
    <t>Eco Chairs 552</t>
  </si>
  <si>
    <t>CUST-3335</t>
  </si>
  <si>
    <t>Smart Binders 574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</si>
  <si>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</si>
  <si>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</si>
  <si>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</si>
  <si>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</si>
  <si>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</si>
  <si>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</si>
  <si>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</si>
  <si>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</si>
  <si>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</si>
  <si>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</si>
  <si>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</si>
  <si>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</si>
  <si>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</si>
  <si>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</si>
  <si>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</si>
  <si>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</si>
  <si>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</si>
  <si>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</si>
  <si>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CUST-6697</t>
  </si>
  <si>
    <t>Max Furnishings 628</t>
  </si>
  <si>
    <t>ORD-2024-10351</t>
  </si>
  <si>
    <t>CUST-7644</t>
  </si>
  <si>
    <t>Elite Furnishings 279</t>
  </si>
  <si>
    <t>CUST-9963</t>
  </si>
  <si>
    <t>Pro Storage 847</t>
  </si>
  <si>
    <t>CUST-6382</t>
  </si>
  <si>
    <t>Elite Copiers 706</t>
  </si>
  <si>
    <t>CUST-3253</t>
  </si>
  <si>
    <t>Prime Art 978</t>
  </si>
  <si>
    <t>ORD-2024-10355</t>
  </si>
  <si>
    <t>2024-12-31</t>
  </si>
  <si>
    <t>CUST-1058</t>
  </si>
  <si>
    <t>Classic Furnishings 498</t>
  </si>
  <si>
    <t>ORD-2024-10356</t>
  </si>
  <si>
    <t>2024-05-09</t>
  </si>
  <si>
    <t>CUST-6414</t>
  </si>
  <si>
    <t>Max Tables 829</t>
  </si>
  <si>
    <t>CUST-9268</t>
  </si>
  <si>
    <t>Eco Chairs 346</t>
  </si>
  <si>
    <t>CUST-1363</t>
  </si>
  <si>
    <t>Max Machines 770</t>
  </si>
  <si>
    <t>2025-08-07</t>
  </si>
  <si>
    <t>CUST-2477</t>
  </si>
  <si>
    <t>Smart Bookcases 134</t>
  </si>
  <si>
    <t>ORD-2024-10360</t>
  </si>
  <si>
    <t>CUST-9571</t>
  </si>
  <si>
    <t>Classic Phones 586</t>
  </si>
  <si>
    <t>ORD-2024-10361</t>
  </si>
  <si>
    <t>2024-06-20</t>
  </si>
  <si>
    <t>CUST-3690</t>
  </si>
  <si>
    <t>Elite Furnishings 634</t>
  </si>
  <si>
    <t>2025-04-02</t>
  </si>
  <si>
    <t>CUST-2909</t>
  </si>
  <si>
    <t>Basic Chairs 113</t>
  </si>
  <si>
    <t>ORD-2024-10363</t>
  </si>
  <si>
    <t>CUST-6755</t>
  </si>
  <si>
    <t>Elite Machines 216</t>
  </si>
  <si>
    <t>CUST-1832</t>
  </si>
  <si>
    <t>Smart Tables 943</t>
  </si>
  <si>
    <t>2025-03-24</t>
  </si>
  <si>
    <t>CUST-4452</t>
  </si>
  <si>
    <t>Prime Chairs 101</t>
  </si>
  <si>
    <t>ORD-2024-10366</t>
  </si>
  <si>
    <t>CUST-2203</t>
  </si>
  <si>
    <t>Basic Accessories 774</t>
  </si>
  <si>
    <t>2025-01-16</t>
  </si>
  <si>
    <t>2025-01-22</t>
  </si>
  <si>
    <t>CUST-5397</t>
  </si>
  <si>
    <t>Max Tables 478</t>
  </si>
  <si>
    <t>ORD-2024-10368</t>
  </si>
  <si>
    <t>CUST-4696</t>
  </si>
  <si>
    <t>Eco Art 646</t>
  </si>
  <si>
    <t>CUST-8246</t>
  </si>
  <si>
    <t>Prime Accessories 962</t>
  </si>
  <si>
    <t>CUST-5672</t>
  </si>
  <si>
    <t>Eco Labels 646</t>
  </si>
  <si>
    <t>ORD-2024-10371</t>
  </si>
  <si>
    <t>CUST-8521</t>
  </si>
  <si>
    <t>Classic Copiers 505</t>
  </si>
  <si>
    <t>ORD-2024-10372</t>
  </si>
  <si>
    <t>2024-01-24</t>
  </si>
  <si>
    <t>CUST-2204</t>
  </si>
  <si>
    <t>Pro Art 906</t>
  </si>
  <si>
    <t>2025-08-16</t>
  </si>
  <si>
    <t>Max Chairs 181</t>
  </si>
  <si>
    <t>2025-04-13</t>
  </si>
  <si>
    <t>CUST-8566</t>
  </si>
  <si>
    <t>Prime Storage 951</t>
  </si>
  <si>
    <t>2025-02-27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</si>
  <si>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</si>
  <si>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</si>
  <si>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</si>
  <si>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</si>
  <si>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</si>
  <si>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</si>
  <si>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</si>
  <si>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</si>
  <si>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CUST-4875</t>
  </si>
  <si>
    <t>Basic Storage 360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</si>
  <si>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</si>
  <si>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</si>
  <si>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</si>
  <si>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</si>
  <si>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</si>
  <si>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</si>
  <si>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</si>
  <si>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</si>
  <si>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2025-09-19</t>
  </si>
  <si>
    <t>CUST-9943</t>
  </si>
  <si>
    <t>Prime Binders 523</t>
  </si>
  <si>
    <t>Pro Phones 538</t>
  </si>
  <si>
    <t>CUST-7438</t>
  </si>
  <si>
    <t>Basic Art 608</t>
  </si>
  <si>
    <t>ORD-2024-10385</t>
  </si>
  <si>
    <t>2024-03-20</t>
  </si>
  <si>
    <t>CUST-8432</t>
  </si>
  <si>
    <t>Prime Copiers 820</t>
  </si>
  <si>
    <t>CUST-2834</t>
  </si>
  <si>
    <t>Classic Labels 670</t>
  </si>
  <si>
    <t>CUST-4222</t>
  </si>
  <si>
    <t>Prime Furnishings 597</t>
  </si>
  <si>
    <t>CUST-1053</t>
  </si>
  <si>
    <t>Prime Chairs 196</t>
  </si>
  <si>
    <t>ORD-2024-10389</t>
  </si>
  <si>
    <t>2024-05-13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</si>
  <si>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</si>
  <si>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</si>
  <si>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</si>
  <si>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</si>
  <si>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</si>
  <si>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</si>
  <si>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</si>
  <si>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</si>
  <si>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CUST-2267</t>
  </si>
  <si>
    <t>Eco Storage 285</t>
  </si>
  <si>
    <t>ORD-2024-10393</t>
  </si>
  <si>
    <t>CUST-6866</t>
  </si>
  <si>
    <t>Classic Furnishings 746</t>
  </si>
  <si>
    <t>ORD-2024-10394</t>
  </si>
  <si>
    <t>2024-08-23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</si>
  <si>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</si>
  <si>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</si>
  <si>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</si>
  <si>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</si>
  <si>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</si>
  <si>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</si>
  <si>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</si>
  <si>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</si>
  <si>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2025-04-14</t>
  </si>
  <si>
    <t>CUST-2280</t>
  </si>
  <si>
    <t>Prime Machines 267</t>
  </si>
  <si>
    <t>CUST-3177</t>
  </si>
  <si>
    <t>Eco Tables 378</t>
  </si>
  <si>
    <t>ORD-2024-10399</t>
  </si>
  <si>
    <t>2024-07-26</t>
  </si>
  <si>
    <t>CUST-4718</t>
  </si>
  <si>
    <t>Elite Machines 523</t>
  </si>
  <si>
    <t>2025-04-29</t>
  </si>
  <si>
    <t>CUST-5647</t>
  </si>
  <si>
    <t>Elite Paper 308</t>
  </si>
  <si>
    <t>2025-06-11</t>
  </si>
  <si>
    <t>CUST-7150</t>
  </si>
  <si>
    <t>Prime Paper 851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</si>
  <si>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</si>
  <si>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</si>
  <si>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</si>
  <si>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</si>
  <si>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</si>
  <si>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</si>
  <si>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</si>
  <si>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</si>
  <si>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</si>
  <si>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</si>
  <si>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</si>
  <si>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</si>
  <si>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</si>
  <si>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</si>
  <si>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CUST-9909</t>
  </si>
  <si>
    <t>Basic Furnishings 164</t>
  </si>
  <si>
    <t>ORD-2024-10408</t>
  </si>
  <si>
    <t>CUST-8520</t>
  </si>
  <si>
    <t>Smart Labels 261</t>
  </si>
  <si>
    <t>CUST-5036</t>
  </si>
  <si>
    <t>Max Chairs 765</t>
  </si>
  <si>
    <t>CUST-7721</t>
  </si>
  <si>
    <t>Pro Accessories 686</t>
  </si>
  <si>
    <t>ORD-2024-10411</t>
  </si>
  <si>
    <t>2024-04-12</t>
  </si>
  <si>
    <t>CUST-9495</t>
  </si>
  <si>
    <t>Smart Tables 100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</si>
  <si>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</si>
  <si>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</si>
  <si>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</si>
  <si>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</si>
  <si>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</si>
  <si>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</si>
  <si>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</si>
  <si>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</si>
  <si>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CUST-5094</t>
  </si>
  <si>
    <t>Smart Accessories 226</t>
  </si>
  <si>
    <t>ORD-2024-10415</t>
  </si>
  <si>
    <t>2024-08-29</t>
  </si>
  <si>
    <t>CUST-4194</t>
  </si>
  <si>
    <t>Max Storage 692</t>
  </si>
  <si>
    <t>ORD-2024-10416</t>
  </si>
  <si>
    <t>CUST-7087</t>
  </si>
  <si>
    <t>Basic Storage 684</t>
  </si>
  <si>
    <t>2025-01-08</t>
  </si>
  <si>
    <t>CUST-7608</t>
  </si>
  <si>
    <t>Smart Furnishings 152</t>
  </si>
  <si>
    <t>CUST-5269</t>
  </si>
  <si>
    <t>Max Art 736</t>
  </si>
  <si>
    <t>ORD-2024-10419</t>
  </si>
  <si>
    <t>CUST-7925</t>
  </si>
  <si>
    <t>Elite Copiers 971</t>
  </si>
  <si>
    <t>CUST-6552</t>
  </si>
  <si>
    <t>Classic Phones 940</t>
  </si>
  <si>
    <t>2025-03-19</t>
  </si>
  <si>
    <t>CUST-7131</t>
  </si>
  <si>
    <t>Pro Machines 579</t>
  </si>
  <si>
    <t>CUST-2779</t>
  </si>
  <si>
    <t>Elite Binders 943</t>
  </si>
  <si>
    <t>CUST-6077</t>
  </si>
  <si>
    <t>Elite Copiers 474</t>
  </si>
  <si>
    <t>ORD-2024-10424</t>
  </si>
  <si>
    <t>2024-02-20</t>
  </si>
  <si>
    <t>CUST-6169</t>
  </si>
  <si>
    <t>Prime Accessories 236</t>
  </si>
  <si>
    <t>ORD-2024-10425</t>
  </si>
  <si>
    <t>2024-06-29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</si>
  <si>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</si>
  <si>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</si>
  <si>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</si>
  <si>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</si>
  <si>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</si>
  <si>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</si>
  <si>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</si>
  <si>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</si>
  <si>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2025-04-22</t>
  </si>
  <si>
    <t>CUST-8843</t>
  </si>
  <si>
    <t>Prime Accessories 419</t>
  </si>
  <si>
    <t>2025-03-15</t>
  </si>
  <si>
    <t>CUST-7626</t>
  </si>
  <si>
    <t>Elite Phones 488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</si>
  <si>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</si>
  <si>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</si>
  <si>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</si>
  <si>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</si>
  <si>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</si>
  <si>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</si>
  <si>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</si>
  <si>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</si>
  <si>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</si>
  <si>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</si>
  <si>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</si>
  <si>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</si>
  <si>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</si>
  <si>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</si>
  <si>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2025-04-15</t>
  </si>
  <si>
    <t>CUST-2351</t>
  </si>
  <si>
    <t>Eco Accessories 705</t>
  </si>
  <si>
    <t>2025-04-12</t>
  </si>
  <si>
    <t>CUST-7291</t>
  </si>
  <si>
    <t>Max Machines 151</t>
  </si>
  <si>
    <t>ORD-2024-10437</t>
  </si>
  <si>
    <t>CUST-4492</t>
  </si>
  <si>
    <t>Max Furnishings 803</t>
  </si>
  <si>
    <t>ORD-2024-10438</t>
  </si>
  <si>
    <t>2024-02-18</t>
  </si>
  <si>
    <t>CUST-5029</t>
  </si>
  <si>
    <t>Max Accessories 423</t>
  </si>
  <si>
    <t>CUST-7252</t>
  </si>
  <si>
    <t>Elite Phones 276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</si>
  <si>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</si>
  <si>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</si>
  <si>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</si>
  <si>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</si>
  <si>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</si>
  <si>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</si>
  <si>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</si>
  <si>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2025-01-19</t>
  </si>
  <si>
    <t>CUST-6588</t>
  </si>
  <si>
    <t>Prime Tables 242</t>
  </si>
  <si>
    <t>ORD-2024-10444</t>
  </si>
  <si>
    <t>CUST-2207</t>
  </si>
  <si>
    <t>Basic Furnishings 563</t>
  </si>
  <si>
    <t>CUST-4475</t>
  </si>
  <si>
    <t>Prime Accessories 482</t>
  </si>
  <si>
    <t>ORD-2024-10446</t>
  </si>
  <si>
    <t>CUST-1351</t>
  </si>
  <si>
    <t>Eco Bookcases 215</t>
  </si>
  <si>
    <t>CUST-9295</t>
  </si>
  <si>
    <t>Eco Storage 793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</si>
  <si>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</si>
  <si>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</si>
  <si>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</si>
  <si>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</si>
  <si>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</si>
  <si>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</si>
  <si>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</si>
  <si>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</si>
  <si>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</si>
  <si>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</si>
  <si>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</si>
  <si>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</si>
  <si>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</si>
  <si>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</si>
  <si>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</si>
  <si>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2025-05-11</t>
  </si>
  <si>
    <t>CUST-2317</t>
  </si>
  <si>
    <t>Elite Labels 322</t>
  </si>
  <si>
    <t>2025-03-23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</si>
  <si>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</si>
  <si>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</si>
  <si>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</si>
  <si>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</si>
  <si>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</si>
  <si>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</si>
  <si>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</si>
  <si>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</si>
  <si>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</si>
  <si>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</si>
  <si>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</si>
  <si>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</si>
  <si>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</si>
  <si>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</si>
  <si>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</si>
  <si>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</si>
  <si>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</si>
  <si>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CUST-4745</t>
  </si>
  <si>
    <t>Basic Paper 233</t>
  </si>
  <si>
    <t>CUST-5551</t>
  </si>
  <si>
    <t>Eco Copiers 603</t>
  </si>
  <si>
    <t>CUST-3659</t>
  </si>
  <si>
    <t>Max Paper 700</t>
  </si>
  <si>
    <t>ORD-2024-10463</t>
  </si>
  <si>
    <t>CUST-6594</t>
  </si>
  <si>
    <t>Pro Binders 404</t>
  </si>
  <si>
    <t>2025-02-08</t>
  </si>
  <si>
    <t>CUST-2626</t>
  </si>
  <si>
    <t>Eco Phones 208</t>
  </si>
  <si>
    <t>CUST-7362</t>
  </si>
  <si>
    <t>Elite Paper 106</t>
  </si>
  <si>
    <t>ORD-2024-10466</t>
  </si>
  <si>
    <t>2024-02-06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</si>
  <si>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</si>
  <si>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</si>
  <si>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</si>
  <si>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</si>
  <si>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</si>
  <si>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</si>
  <si>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</si>
  <si>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</si>
  <si>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</si>
  <si>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</si>
  <si>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</si>
  <si>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</si>
  <si>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</si>
  <si>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</si>
  <si>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</si>
  <si>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</si>
  <si>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</si>
  <si>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</si>
  <si>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</si>
  <si>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</si>
  <si>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</si>
  <si>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</si>
  <si>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</si>
  <si>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</si>
  <si>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</si>
  <si>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</si>
  <si>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</si>
  <si>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2024-06-10</t>
  </si>
  <si>
    <t>CUST-6249</t>
  </si>
  <si>
    <t>Prime Furnishings 827</t>
  </si>
  <si>
    <t>CUST-5712</t>
  </si>
  <si>
    <t>Eco Chairs 365</t>
  </si>
  <si>
    <t>ORD-2024-10477</t>
  </si>
  <si>
    <t>CUST-3004</t>
  </si>
  <si>
    <t>Classic Storage 545</t>
  </si>
  <si>
    <t>CUST-6920</t>
  </si>
  <si>
    <t>Pro Chairs 186</t>
  </si>
  <si>
    <t>ORD-2024-10479</t>
  </si>
  <si>
    <t>2024-06-13</t>
  </si>
  <si>
    <t>CUST-4838</t>
  </si>
  <si>
    <t>Classic Machines 561</t>
  </si>
  <si>
    <t>ORD-2024-10480</t>
  </si>
  <si>
    <t>CUST-7520</t>
  </si>
  <si>
    <t>Max Chairs 594</t>
  </si>
  <si>
    <t>CUST-9947</t>
  </si>
  <si>
    <t>Eco Storage 923</t>
  </si>
  <si>
    <t>2025-06-05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</si>
  <si>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</si>
  <si>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</si>
  <si>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</si>
  <si>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</si>
  <si>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</si>
  <si>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</si>
  <si>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</si>
  <si>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</si>
  <si>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</si>
  <si>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2024-12-28</t>
  </si>
  <si>
    <t>CUST-1801</t>
  </si>
  <si>
    <t>Max Furnishings 297</t>
  </si>
  <si>
    <t>CUST-1594</t>
  </si>
  <si>
    <t>Elite Bookcases 802</t>
  </si>
  <si>
    <t>CUST-8132</t>
  </si>
  <si>
    <t>Pro Tables 257</t>
  </si>
  <si>
    <t>CUST-7685</t>
  </si>
  <si>
    <t>Prime Furnishings 299</t>
  </si>
  <si>
    <t>ORD-2024-10489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</si>
  <si>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</si>
  <si>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</si>
  <si>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</si>
  <si>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</si>
  <si>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</si>
  <si>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</si>
  <si>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</si>
  <si>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</si>
  <si>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</si>
  <si>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</si>
  <si>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</si>
  <si>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CUST-4101</t>
  </si>
  <si>
    <t>Prime Accessories 118</t>
  </si>
  <si>
    <t>CUST-4679</t>
  </si>
  <si>
    <t>Elite Storage 331</t>
  </si>
  <si>
    <t>2025-02-13</t>
  </si>
  <si>
    <t>CUST-3765</t>
  </si>
  <si>
    <t>Prime Paper 996</t>
  </si>
  <si>
    <t>ORD-2024-10495</t>
  </si>
  <si>
    <t>2024-11-14</t>
  </si>
  <si>
    <t>2024-11-22</t>
  </si>
  <si>
    <t>CUST-9056</t>
  </si>
  <si>
    <t>Smart Phones 125</t>
  </si>
  <si>
    <t>ORD-2024-10496</t>
  </si>
  <si>
    <t>CUST-9801</t>
  </si>
  <si>
    <t>Eco Phones 220</t>
  </si>
  <si>
    <t>2025-07-04</t>
  </si>
  <si>
    <t>2025-07-06</t>
  </si>
  <si>
    <t>CUST-2038</t>
  </si>
  <si>
    <t>Eco Chairs 795</t>
  </si>
  <si>
    <t>ORD-2024-10498</t>
  </si>
  <si>
    <t>CUST-1567</t>
  </si>
  <si>
    <t>Smart Accessories 896</t>
  </si>
  <si>
    <t>2025-09-07</t>
  </si>
  <si>
    <t>CUST-1190</t>
  </si>
  <si>
    <t>Basic Chairs 255</t>
  </si>
  <si>
    <t>ORD-2024-10500</t>
  </si>
  <si>
    <t>2024-12-22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</si>
  <si>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</si>
  <si>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</si>
  <si>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</si>
  <si>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</si>
  <si>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</si>
  <si>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</si>
  <si>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</si>
  <si>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</si>
  <si>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</si>
  <si>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</si>
  <si>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</si>
  <si>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</si>
  <si>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</si>
  <si>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</si>
  <si>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</si>
  <si>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</si>
  <si>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</si>
  <si>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</si>
  <si>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</si>
  <si>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</si>
  <si>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</si>
  <si>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</si>
  <si>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</si>
  <si>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</si>
  <si>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</si>
  <si>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2024-12-15</t>
  </si>
  <si>
    <t>CUST-3011</t>
  </si>
  <si>
    <t>Smart Furnishings 352</t>
  </si>
  <si>
    <t>CUST-1826</t>
  </si>
  <si>
    <t>Classic Binders 602</t>
  </si>
  <si>
    <t>ORD-2024-10509</t>
  </si>
  <si>
    <t>CUST-3333</t>
  </si>
  <si>
    <t>Smart Machines 853</t>
  </si>
  <si>
    <t>2025-05-12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</si>
  <si>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</si>
  <si>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</si>
  <si>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</si>
  <si>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</si>
  <si>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</si>
  <si>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</si>
  <si>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</si>
  <si>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</si>
  <si>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2025-03-03</t>
  </si>
  <si>
    <t>Pro Labels 849</t>
  </si>
  <si>
    <t>CUST-8993</t>
  </si>
  <si>
    <t>Prime Accessories 849</t>
  </si>
  <si>
    <t>ORD-2024-10515</t>
  </si>
  <si>
    <t>CUST-7729</t>
  </si>
  <si>
    <t>Smart Accessories 388</t>
  </si>
  <si>
    <t>2025-04-11</t>
  </si>
  <si>
    <t>CUST-9986</t>
  </si>
  <si>
    <t>Classic Paper 752</t>
  </si>
  <si>
    <t>ORD-2024-10517</t>
  </si>
  <si>
    <t>CUST-2731</t>
  </si>
  <si>
    <t>Classic Copiers 143</t>
  </si>
  <si>
    <t>2025-05-25</t>
  </si>
  <si>
    <t>CUST-4235</t>
  </si>
  <si>
    <t>Basic Furnishings 386</t>
  </si>
  <si>
    <t>CUST-3377</t>
  </si>
  <si>
    <t>Classic Tables 592</t>
  </si>
  <si>
    <t>2025-07-07</t>
  </si>
  <si>
    <t>CUST-3258</t>
  </si>
  <si>
    <t>Pro Tables 412</t>
  </si>
  <si>
    <t>ORD-2024-10521</t>
  </si>
  <si>
    <t>CUST-2155</t>
  </si>
  <si>
    <t>Prime Machines 393</t>
  </si>
  <si>
    <t>2025-03-25</t>
  </si>
  <si>
    <t>2025-04-01</t>
  </si>
  <si>
    <t>CUST-8012</t>
  </si>
  <si>
    <t>Classic Labels 776</t>
  </si>
  <si>
    <t>CUST-2917</t>
  </si>
  <si>
    <t>Max Phones 612</t>
  </si>
  <si>
    <t>ORD-2024-10524</t>
  </si>
  <si>
    <t>2024-04-03</t>
  </si>
  <si>
    <t>CUST-4653</t>
  </si>
  <si>
    <t>Basic Paper 315</t>
  </si>
  <si>
    <t>ORD-2024-10525</t>
  </si>
  <si>
    <t>CUST-3311</t>
  </si>
  <si>
    <t>Basic Chairs 333</t>
  </si>
  <si>
    <t>ORD-2024-10526</t>
  </si>
  <si>
    <t>2024-10-17</t>
  </si>
  <si>
    <t>CUST-2924</t>
  </si>
  <si>
    <t>Prime Chairs 215</t>
  </si>
  <si>
    <t>2025-07-18</t>
  </si>
  <si>
    <t>CUST-7198</t>
  </si>
  <si>
    <t>Elite Tables 815</t>
  </si>
  <si>
    <t>2025-10-05</t>
  </si>
  <si>
    <t>CUST-3419</t>
  </si>
  <si>
    <t>Basic Paper 388</t>
  </si>
  <si>
    <t>ORD-2024-10529</t>
  </si>
  <si>
    <t>2024-10-07</t>
  </si>
  <si>
    <t>CUST-2390</t>
  </si>
  <si>
    <t>Eco Binders 855</t>
  </si>
  <si>
    <t>ORD-2024-10530</t>
  </si>
  <si>
    <t>2024-02-08</t>
  </si>
  <si>
    <t>Classic Bookcases 947</t>
  </si>
  <si>
    <t>2025-06-01</t>
  </si>
  <si>
    <t>CUST-8177</t>
  </si>
  <si>
    <t>Eco Binders 352</t>
  </si>
  <si>
    <t>ORD-2024-10532</t>
  </si>
  <si>
    <t>CUST-6357</t>
  </si>
  <si>
    <t>Pro Storage 364</t>
  </si>
  <si>
    <t>CUST-7690</t>
  </si>
  <si>
    <t>Classic Tables 213</t>
  </si>
  <si>
    <t>ORD-2024-10534</t>
  </si>
  <si>
    <t>CUST-4487</t>
  </si>
  <si>
    <t>Smart Tables 659</t>
  </si>
  <si>
    <t>2025-05-05</t>
  </si>
  <si>
    <t>CUST-8204</t>
  </si>
  <si>
    <t>Classic Accessories 325</t>
  </si>
  <si>
    <t>ORD-2024-10536</t>
  </si>
  <si>
    <t>CUST-1729</t>
  </si>
  <si>
    <t>Eco Copiers 243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</si>
  <si>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</si>
  <si>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</si>
  <si>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</si>
  <si>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</si>
  <si>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</si>
  <si>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</si>
  <si>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</si>
  <si>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</si>
  <si>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</si>
  <si>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CUST-5381</t>
  </si>
  <si>
    <t>Elite Tables 888</t>
  </si>
  <si>
    <t>CUST-3694</t>
  </si>
  <si>
    <t>Classic Chairs 666</t>
  </si>
  <si>
    <t>ORD-2024-10541</t>
  </si>
  <si>
    <t>CUST-7563</t>
  </si>
  <si>
    <t>Basic Furnishings 350</t>
  </si>
  <si>
    <t>2025-07-09</t>
  </si>
  <si>
    <t>CUST-4188</t>
  </si>
  <si>
    <t>Elite Copiers 831</t>
  </si>
  <si>
    <t>ORD-2024-10543</t>
  </si>
  <si>
    <t>2024-09-23</t>
  </si>
  <si>
    <t>CUST-9376</t>
  </si>
  <si>
    <t>Eco Bookcases 759</t>
  </si>
  <si>
    <t>ORD-2024-10544</t>
  </si>
  <si>
    <t>2024-07-14</t>
  </si>
  <si>
    <t>CUST-9094</t>
  </si>
  <si>
    <t>Max Copiers 440</t>
  </si>
  <si>
    <t>2025-01-29</t>
  </si>
  <si>
    <t>CUST-2366</t>
  </si>
  <si>
    <t>Smart Art 201</t>
  </si>
  <si>
    <t>ORD-2024-10546</t>
  </si>
  <si>
    <t>CUST-7168</t>
  </si>
  <si>
    <t>Classic Storage 755</t>
  </si>
  <si>
    <t>2025-08-14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</si>
  <si>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</si>
  <si>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</si>
  <si>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</si>
  <si>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</si>
  <si>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</si>
  <si>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</si>
  <si>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</si>
  <si>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</si>
  <si>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CUST-6028</t>
  </si>
  <si>
    <t>Pro Art 287</t>
  </si>
  <si>
    <t>ORD-2024-10551</t>
  </si>
  <si>
    <t>CUST-8687</t>
  </si>
  <si>
    <t>Max Accessories 591</t>
  </si>
  <si>
    <t>ORD-2024-10552</t>
  </si>
  <si>
    <t>2024-02-27</t>
  </si>
  <si>
    <t>CUST-8172</t>
  </si>
  <si>
    <t>Elite Chairs 314</t>
  </si>
  <si>
    <t>CUST-8861</t>
  </si>
  <si>
    <t>Pro Copiers 246</t>
  </si>
  <si>
    <t>2025-04-28</t>
  </si>
  <si>
    <t>CUST-9241</t>
  </si>
  <si>
    <t>Pro Storage 128</t>
  </si>
  <si>
    <t>ORD-2024-10555</t>
  </si>
  <si>
    <t>2024-10-12</t>
  </si>
  <si>
    <t>CUST-2126</t>
  </si>
  <si>
    <t>Prime Furnishings 892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</si>
  <si>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</si>
  <si>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</si>
  <si>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</si>
  <si>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</si>
  <si>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</si>
  <si>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</si>
  <si>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</si>
  <si>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CUST-8848</t>
  </si>
  <si>
    <t>Prime Phones 503</t>
  </si>
  <si>
    <t>2025-09-04</t>
  </si>
  <si>
    <t>CUST-9368</t>
  </si>
  <si>
    <t>Basic Machines 136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</si>
  <si>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</si>
  <si>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</si>
  <si>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</si>
  <si>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</si>
  <si>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</si>
  <si>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</si>
  <si>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</si>
  <si>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</si>
  <si>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</si>
  <si>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</si>
  <si>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</si>
  <si>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</si>
  <si>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</si>
  <si>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</si>
  <si>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</si>
  <si>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</si>
  <si>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</si>
  <si>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</si>
  <si>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</si>
  <si>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</si>
  <si>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</si>
  <si>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</si>
  <si>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</si>
  <si>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</si>
  <si>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</si>
  <si>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</si>
  <si>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</si>
  <si>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</si>
  <si>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</si>
  <si>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2025-09-10</t>
  </si>
  <si>
    <t>CUST-2586</t>
  </si>
  <si>
    <t>Elite Furnishings 822</t>
  </si>
  <si>
    <t>CUST-6585</t>
  </si>
  <si>
    <t>Max Furnishings 647</t>
  </si>
  <si>
    <t>2025-02-14</t>
  </si>
  <si>
    <t>CUST-3425</t>
  </si>
  <si>
    <t>Prime Phones 895</t>
  </si>
  <si>
    <t>ORD-2024-10573</t>
  </si>
  <si>
    <t>CUST-8633</t>
  </si>
  <si>
    <t>Eco Phones 368</t>
  </si>
  <si>
    <t>CUST-8243</t>
  </si>
  <si>
    <t>Pro Phones 644</t>
  </si>
  <si>
    <t>ORD-2024-10575</t>
  </si>
  <si>
    <t>Smart Machines 566</t>
  </si>
  <si>
    <t>CUST-5496</t>
  </si>
  <si>
    <t>Elite Furnishings 173</t>
  </si>
  <si>
    <t>ORD-2024-10577</t>
  </si>
  <si>
    <t>CUST-2228</t>
  </si>
  <si>
    <t>Smart Binders 417</t>
  </si>
  <si>
    <t>2025-09-03</t>
  </si>
  <si>
    <t>CUST-4151</t>
  </si>
  <si>
    <t>Smart Furnishings 714</t>
  </si>
  <si>
    <t>ORD-2024-10579</t>
  </si>
  <si>
    <t>2024-02-21</t>
  </si>
  <si>
    <t>Elite Copiers 682</t>
  </si>
  <si>
    <t>ORD-2024-10580</t>
  </si>
  <si>
    <t>CUST-9617</t>
  </si>
  <si>
    <t>Pro Storage 482</t>
  </si>
  <si>
    <t>CUST-7958</t>
  </si>
  <si>
    <t>Pro Chairs 888</t>
  </si>
  <si>
    <t>CUST-9931</t>
  </si>
  <si>
    <t>Classic Art 611</t>
  </si>
  <si>
    <t>ORD-2024-10583</t>
  </si>
  <si>
    <t>2024-10-15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</si>
  <si>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</si>
  <si>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</si>
  <si>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</si>
  <si>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</si>
  <si>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</si>
  <si>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</si>
  <si>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</si>
  <si>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</si>
  <si>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2025-06-25</t>
  </si>
  <si>
    <t>CUST-5201</t>
  </si>
  <si>
    <t>Prime Phones 744</t>
  </si>
  <si>
    <t>CUST-8626</t>
  </si>
  <si>
    <t>Prime Binders 249</t>
  </si>
  <si>
    <t>2025-07-31</t>
  </si>
  <si>
    <t>CUST-1013</t>
  </si>
  <si>
    <t>Eco Accessories 948</t>
  </si>
  <si>
    <t>2025-03-11</t>
  </si>
  <si>
    <t>CUST-3601</t>
  </si>
  <si>
    <t>Classic Accessories 458</t>
  </si>
  <si>
    <t>ORD-2024-10590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</si>
  <si>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</si>
  <si>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</si>
  <si>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</si>
  <si>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</si>
  <si>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</si>
  <si>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</si>
  <si>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</si>
  <si>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</si>
  <si>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CUST-2423</t>
  </si>
  <si>
    <t>Eco Copiers 324</t>
  </si>
  <si>
    <t>ORD-2024-10593</t>
  </si>
  <si>
    <t>CUST-3559</t>
  </si>
  <si>
    <t>Classic Accessories 131</t>
  </si>
  <si>
    <t>2025-09-29</t>
  </si>
  <si>
    <t>Eco Tables 550</t>
  </si>
  <si>
    <t>ORD-2024-10595</t>
  </si>
  <si>
    <t>2024-09-19</t>
  </si>
  <si>
    <t>CUST-6850</t>
  </si>
  <si>
    <t>Basic Chairs 932</t>
  </si>
  <si>
    <t>CUST-5566</t>
  </si>
  <si>
    <t>Classic Phones 294</t>
  </si>
  <si>
    <t>ORD-2024-10597</t>
  </si>
  <si>
    <t>CUST-2593</t>
  </si>
  <si>
    <t>Elite Chairs 700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</si>
  <si>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</si>
  <si>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</si>
  <si>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</si>
  <si>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</si>
  <si>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</si>
  <si>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</si>
  <si>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</si>
  <si>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</si>
  <si>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2025-03-12</t>
  </si>
  <si>
    <t>CUST-6013</t>
  </si>
  <si>
    <t>Prime Storage 432</t>
  </si>
  <si>
    <t>ORD-2024-10602</t>
  </si>
  <si>
    <t>CUST-8289</t>
  </si>
  <si>
    <t>Basic Paper 452</t>
  </si>
  <si>
    <t>ORD-2024-10603</t>
  </si>
  <si>
    <t>2024-10-30</t>
  </si>
  <si>
    <t>CUST-5668</t>
  </si>
  <si>
    <t>Max Copiers 477</t>
  </si>
  <si>
    <t>Prime Accessories 300</t>
  </si>
  <si>
    <t>CUST-4526</t>
  </si>
  <si>
    <t>Max Binders 547</t>
  </si>
  <si>
    <t>CUST-4447</t>
  </si>
  <si>
    <t>Pro Furnishings 267</t>
  </si>
  <si>
    <t>CUST-2698</t>
  </si>
  <si>
    <t>Max Copiers 520</t>
  </si>
  <si>
    <t>CUST-6297</t>
  </si>
  <si>
    <t>Max Storage 424</t>
  </si>
  <si>
    <t>ORD-2024-10609</t>
  </si>
  <si>
    <t>Elite Furnishings 706</t>
  </si>
  <si>
    <t>CUST-4380</t>
  </si>
  <si>
    <t>Pro Chairs 908</t>
  </si>
  <si>
    <t>ORD-2024-10611</t>
  </si>
  <si>
    <t>Pro Chairs 712</t>
  </si>
  <si>
    <t>CUST-6108</t>
  </si>
  <si>
    <t>Max Binders 785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</si>
  <si>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</si>
  <si>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</si>
  <si>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</si>
  <si>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</si>
  <si>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</si>
  <si>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</si>
  <si>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</si>
  <si>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</si>
  <si>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</si>
  <si>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2024-10-04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</si>
  <si>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</si>
  <si>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</si>
  <si>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</si>
  <si>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</si>
  <si>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</si>
  <si>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</si>
  <si>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</si>
  <si>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</si>
  <si>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</si>
  <si>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</si>
  <si>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</si>
  <si>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</si>
  <si>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</si>
  <si>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</si>
  <si>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</si>
  <si>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</si>
  <si>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</si>
  <si>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</si>
  <si>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</si>
  <si>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</si>
  <si>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</si>
  <si>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CUST-1127</t>
  </si>
  <si>
    <t>Basic Storage 934</t>
  </si>
  <si>
    <t>ORD-2024-10624</t>
  </si>
  <si>
    <t>CUST-6262</t>
  </si>
  <si>
    <t>Pro Storage 509</t>
  </si>
  <si>
    <t>ORD-2024-10625</t>
  </si>
  <si>
    <t>2024-02-01</t>
  </si>
  <si>
    <t>CUST-5070</t>
  </si>
  <si>
    <t>Prime Chairs 765</t>
  </si>
  <si>
    <t>ORD-2024-10626</t>
  </si>
  <si>
    <t>CUST-7946</t>
  </si>
  <si>
    <t>Elite Chairs 358</t>
  </si>
  <si>
    <t>CUST-1793</t>
  </si>
  <si>
    <t>Elite Machines 971</t>
  </si>
  <si>
    <t>CUST-8839</t>
  </si>
  <si>
    <t>Max Phones 825</t>
  </si>
  <si>
    <t>CUST-6725</t>
  </si>
  <si>
    <t>Eco Accessories 933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</si>
  <si>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</si>
  <si>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</si>
  <si>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</si>
  <si>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</si>
  <si>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</si>
  <si>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</si>
  <si>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</si>
  <si>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</si>
  <si>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CUST-4593</t>
  </si>
  <si>
    <t>Smart Furnishings 721</t>
  </si>
  <si>
    <t>CUST-5043</t>
  </si>
  <si>
    <t>Basic Accessories 729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</si>
  <si>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</si>
  <si>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</si>
  <si>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</si>
  <si>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</si>
  <si>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</si>
  <si>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</si>
  <si>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</si>
  <si>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CUST-7221</t>
  </si>
  <si>
    <t>Smart Paper 872</t>
  </si>
  <si>
    <t>ORD-2024-10638</t>
  </si>
  <si>
    <t>2024-05-26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</si>
  <si>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</si>
  <si>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</si>
  <si>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</si>
  <si>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</si>
  <si>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</si>
  <si>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</si>
  <si>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</si>
  <si>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</si>
  <si>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CUST-5061</t>
  </si>
  <si>
    <t>Basic Storage 973</t>
  </si>
  <si>
    <t>2025-04-09</t>
  </si>
  <si>
    <t>CUST-7915</t>
  </si>
  <si>
    <t>Smart Furnishings 783</t>
  </si>
  <si>
    <t>ORD-2024-10643</t>
  </si>
  <si>
    <t>CUST-1940</t>
  </si>
  <si>
    <t>Prime Binders 287</t>
  </si>
  <si>
    <t>ORD-2024-10644</t>
  </si>
  <si>
    <t>2024-02-13</t>
  </si>
  <si>
    <t>Elite Labels 654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</si>
  <si>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</si>
  <si>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</si>
  <si>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</si>
  <si>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</si>
  <si>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</si>
  <si>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</si>
  <si>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</si>
  <si>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CUST-6360</t>
  </si>
  <si>
    <t>Elite Machines 955</t>
  </si>
  <si>
    <t>CUST-9942</t>
  </si>
  <si>
    <t>Prime Art 461</t>
  </si>
  <si>
    <t>ORD-2024-10649</t>
  </si>
  <si>
    <t>CUST-1808</t>
  </si>
  <si>
    <t>Prime Art 301</t>
  </si>
  <si>
    <t>CUST-7277</t>
  </si>
  <si>
    <t>Classic Accessories 354</t>
  </si>
  <si>
    <t>ORD-2024-10651</t>
  </si>
  <si>
    <t>Basic Accessories 210</t>
  </si>
  <si>
    <t>CUST-2660</t>
  </si>
  <si>
    <t>Smart Paper 364</t>
  </si>
  <si>
    <t>2025-03-21</t>
  </si>
  <si>
    <t>Smart Binders 999</t>
  </si>
  <si>
    <t>CUST-3970</t>
  </si>
  <si>
    <t>Max Copiers 356</t>
  </si>
  <si>
    <t>Classic Machines 639</t>
  </si>
  <si>
    <t>CUST-8039</t>
  </si>
  <si>
    <t>Smart Furnishings 748</t>
  </si>
  <si>
    <t>ORD-2024-10657</t>
  </si>
  <si>
    <t>CUST-4446</t>
  </si>
  <si>
    <t>Pro Machines 589</t>
  </si>
  <si>
    <t>2025-08-10</t>
  </si>
  <si>
    <t>CUST-7787</t>
  </si>
  <si>
    <t>Eco Storage 316</t>
  </si>
  <si>
    <t>2025-06-09</t>
  </si>
  <si>
    <t>CUST-9074</t>
  </si>
  <si>
    <t>Eco Art 763</t>
  </si>
  <si>
    <t>CUST-8330</t>
  </si>
  <si>
    <t>Pro Phones 356</t>
  </si>
  <si>
    <t>CUST-5638</t>
  </si>
  <si>
    <t>Basic Phones 865</t>
  </si>
  <si>
    <t>ORD-2024-10662</t>
  </si>
  <si>
    <t>2024-05-22</t>
  </si>
  <si>
    <t>CUST-4537</t>
  </si>
  <si>
    <t>Max Machines 595</t>
  </si>
  <si>
    <t>ORD-2024-10663</t>
  </si>
  <si>
    <t>2024-01-14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</si>
  <si>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</si>
  <si>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</si>
  <si>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</si>
  <si>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</si>
  <si>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</si>
  <si>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</si>
  <si>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</si>
  <si>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</si>
  <si>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2025-01-13</t>
  </si>
  <si>
    <t>CUST-1197</t>
  </si>
  <si>
    <t>Max Art 660</t>
  </si>
  <si>
    <t>ORD-2024-10667</t>
  </si>
  <si>
    <t>CUST-7758</t>
  </si>
  <si>
    <t>Classic Copiers 908</t>
  </si>
  <si>
    <t>CUST-3912</t>
  </si>
  <si>
    <t>Pro Machines 706</t>
  </si>
  <si>
    <t>ORD-2024-10669</t>
  </si>
  <si>
    <t>CUST-4190</t>
  </si>
  <si>
    <t>Pro Paper 187</t>
  </si>
  <si>
    <t>ORD-2024-10670</t>
  </si>
  <si>
    <t>2024-03-24</t>
  </si>
  <si>
    <t>CUST-7568</t>
  </si>
  <si>
    <t>Classic Tables 606</t>
  </si>
  <si>
    <t>Smart Tables 835</t>
  </si>
  <si>
    <t>ORD-2024-10672</t>
  </si>
  <si>
    <t>2024-03-22</t>
  </si>
  <si>
    <t>CUST-3293</t>
  </si>
  <si>
    <t>Classic Copiers 583</t>
  </si>
  <si>
    <t>ORD-2024-10673</t>
  </si>
  <si>
    <t>2024-09-04</t>
  </si>
  <si>
    <t>2024-09-05</t>
  </si>
  <si>
    <t>CUST-8180</t>
  </si>
  <si>
    <t>Classic Chairs 460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</si>
  <si>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</si>
  <si>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</si>
  <si>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</si>
  <si>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</si>
  <si>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</si>
  <si>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</si>
  <si>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</si>
  <si>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Eco Furnishings 217</t>
  </si>
  <si>
    <t>CUST-9212</t>
  </si>
  <si>
    <t>Smart Phones 967</t>
  </si>
  <si>
    <t>ORD-2024-10678</t>
  </si>
  <si>
    <t>2024-06-22</t>
  </si>
  <si>
    <t>Smart Chairs 610</t>
  </si>
  <si>
    <t>ORD-2024-10679</t>
  </si>
  <si>
    <t>CUST-1674</t>
  </si>
  <si>
    <t>Prime Tables 123</t>
  </si>
  <si>
    <t>CUST-2897</t>
  </si>
  <si>
    <t>Smart Copiers 579</t>
  </si>
  <si>
    <t>ORD-2024-10681</t>
  </si>
  <si>
    <t>CUST-1136</t>
  </si>
  <si>
    <t>Eco Accessories 658</t>
  </si>
  <si>
    <t>ORD-2024-10682</t>
  </si>
  <si>
    <t>2024-07-10</t>
  </si>
  <si>
    <t>CUST-1376</t>
  </si>
  <si>
    <t>Smart Tables 777</t>
  </si>
  <si>
    <t>CUST-1553</t>
  </si>
  <si>
    <t>Eco Storage 861</t>
  </si>
  <si>
    <t>2025-07-20</t>
  </si>
  <si>
    <t>CUST-5704</t>
  </si>
  <si>
    <t>Eco Furnishings 875</t>
  </si>
  <si>
    <t>2025-07-21</t>
  </si>
  <si>
    <t>CUST-6738</t>
  </si>
  <si>
    <t>Prime Bookcases 784</t>
  </si>
  <si>
    <t>Classic Art 380</t>
  </si>
  <si>
    <t>ORD-2024-10687</t>
  </si>
  <si>
    <t>CUST-3127</t>
  </si>
  <si>
    <t>Pro Copiers 502</t>
  </si>
  <si>
    <t>CUST-9347</t>
  </si>
  <si>
    <t>Prime Tables 604</t>
  </si>
  <si>
    <t>CUST-8575</t>
  </si>
  <si>
    <t>Basic Art 798</t>
  </si>
  <si>
    <t>ORD-2024-10690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</si>
  <si>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</si>
  <si>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</si>
  <si>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</si>
  <si>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</si>
  <si>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</si>
  <si>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</si>
  <si>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</si>
  <si>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CUST-7309</t>
  </si>
  <si>
    <t>Smart Copiers 456</t>
  </si>
  <si>
    <t>CUST-9531</t>
  </si>
  <si>
    <t>Prime Furnishings 883</t>
  </si>
  <si>
    <t>CUST-6032</t>
  </si>
  <si>
    <t>Smart Bookcases 828</t>
  </si>
  <si>
    <t>Classic Storage 291</t>
  </si>
  <si>
    <t>ORD-2024-10696</t>
  </si>
  <si>
    <t>2024-07-01</t>
  </si>
  <si>
    <t>CUST-6257</t>
  </si>
  <si>
    <t>Prime Machines 102</t>
  </si>
  <si>
    <t>CUST-7812</t>
  </si>
  <si>
    <t>Classic Phones 842</t>
  </si>
  <si>
    <t>CUST-6205</t>
  </si>
  <si>
    <t>Max Labels 970</t>
  </si>
  <si>
    <t>ORD-2024-10699</t>
  </si>
  <si>
    <t>CUST-5357</t>
  </si>
  <si>
    <t>Classic Machines 648</t>
  </si>
  <si>
    <t>ORD-2024-10700</t>
  </si>
  <si>
    <t>2024-06-11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</si>
  <si>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</si>
  <si>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</si>
  <si>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</si>
  <si>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</si>
  <si>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</si>
  <si>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</si>
  <si>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</si>
  <si>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</si>
  <si>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2025-02-02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</si>
  <si>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</si>
  <si>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</si>
  <si>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</si>
  <si>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</si>
  <si>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</si>
  <si>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</si>
  <si>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</si>
  <si>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</si>
  <si>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</si>
  <si>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</si>
  <si>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</si>
  <si>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</si>
  <si>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</si>
  <si>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</si>
  <si>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CUST-4902</t>
  </si>
  <si>
    <t>Pro Accessories 485</t>
  </si>
  <si>
    <t>2025-03-26</t>
  </si>
  <si>
    <t>CUST-6504</t>
  </si>
  <si>
    <t>Elite Bookcases 113</t>
  </si>
  <si>
    <t>CUST-8036</t>
  </si>
  <si>
    <t>Eco Phones 787</t>
  </si>
  <si>
    <t>ORD-2024-10711</t>
  </si>
  <si>
    <t>CUST-7199</t>
  </si>
  <si>
    <t>Smart Art 279</t>
  </si>
  <si>
    <t>CUST-6176</t>
  </si>
  <si>
    <t>Basic Machines 172</t>
  </si>
  <si>
    <t>ORD-2024-10713</t>
  </si>
  <si>
    <t>CUST-5127</t>
  </si>
  <si>
    <t>Smart Chairs 259</t>
  </si>
  <si>
    <t>Pro Machines 987</t>
  </si>
  <si>
    <t>CUST-9902</t>
  </si>
  <si>
    <t>Pro Copiers 206</t>
  </si>
  <si>
    <t>CUST-7446</t>
  </si>
  <si>
    <t>Max Chairs 372</t>
  </si>
  <si>
    <t>CUST-7540</t>
  </si>
  <si>
    <t>Basic Phones 496</t>
  </si>
  <si>
    <t>CUST-8351</t>
  </si>
  <si>
    <t>Prime Machines 612</t>
  </si>
  <si>
    <t>ORD-2024-10719</t>
  </si>
  <si>
    <t>CUST-3918</t>
  </si>
  <si>
    <t>Smart Art 866</t>
  </si>
  <si>
    <t>Pro Art 447</t>
  </si>
  <si>
    <t>ORD-2024-10721</t>
  </si>
  <si>
    <t>CUST-1991</t>
  </si>
  <si>
    <t>Smart Copiers 196</t>
  </si>
  <si>
    <t>CUST-7606</t>
  </si>
  <si>
    <t>Pro Copiers 532</t>
  </si>
  <si>
    <t>ORD-2024-10723</t>
  </si>
  <si>
    <t>CUST-8844</t>
  </si>
  <si>
    <t>Eco Chairs 442</t>
  </si>
  <si>
    <t>2025-10-13</t>
  </si>
  <si>
    <t>CUST-4335</t>
  </si>
  <si>
    <t>Eco Accessories 364</t>
  </si>
  <si>
    <t>ORD-2024-10725</t>
  </si>
  <si>
    <t>CUST-5891</t>
  </si>
  <si>
    <t>Elite Furnishings 921</t>
  </si>
  <si>
    <t>CUST-6371</t>
  </si>
  <si>
    <t>Max Tables 309</t>
  </si>
  <si>
    <t>ORD-2024-10727</t>
  </si>
  <si>
    <t>2024-01-17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</si>
  <si>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</si>
  <si>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</si>
  <si>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</si>
  <si>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</si>
  <si>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</si>
  <si>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</si>
  <si>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</si>
  <si>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</si>
  <si>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CUST-8713</t>
  </si>
  <si>
    <t>Pro Machines 563</t>
  </si>
  <si>
    <t>CUST-6765</t>
  </si>
  <si>
    <t>Elite Art 696</t>
  </si>
  <si>
    <t>ORD-2024-10732</t>
  </si>
  <si>
    <t>2024-03-17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</si>
  <si>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</si>
  <si>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</si>
  <si>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</si>
  <si>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</si>
  <si>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</si>
  <si>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</si>
  <si>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</si>
  <si>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</si>
  <si>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</si>
  <si>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</si>
  <si>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</si>
  <si>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</si>
  <si>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</si>
  <si>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</si>
  <si>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</si>
  <si>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</si>
  <si>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</si>
  <si>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</si>
  <si>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</si>
  <si>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</si>
  <si>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</si>
  <si>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</si>
  <si>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</si>
  <si>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</si>
  <si>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</si>
  <si>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</si>
  <si>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</si>
  <si>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</si>
  <si>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</si>
  <si>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2025-04-25</t>
  </si>
  <si>
    <t>CUST-3285</t>
  </si>
  <si>
    <t>Max Chairs 706</t>
  </si>
  <si>
    <t>ORD-2024-10743</t>
  </si>
  <si>
    <t>CUST-6368</t>
  </si>
  <si>
    <t>Prime Paper 768</t>
  </si>
  <si>
    <t>CUST-6231</t>
  </si>
  <si>
    <t>Basic Art 764</t>
  </si>
  <si>
    <t>2025-08-17</t>
  </si>
  <si>
    <t>CUST-2021</t>
  </si>
  <si>
    <t>Prime Binders 181</t>
  </si>
  <si>
    <t>ORD-2024-10746</t>
  </si>
  <si>
    <t>CUST-1493</t>
  </si>
  <si>
    <t>Max Copiers 866</t>
  </si>
  <si>
    <t>Pro Paper 662</t>
  </si>
  <si>
    <t>ORD-2024-10748</t>
  </si>
  <si>
    <t>2024-05-01</t>
  </si>
  <si>
    <t>CUST-8416</t>
  </si>
  <si>
    <t>Classic Paper 388</t>
  </si>
  <si>
    <t>ORD-2024-10749</t>
  </si>
  <si>
    <t>CUST-3103</t>
  </si>
  <si>
    <t>Pro Phones 765</t>
  </si>
  <si>
    <t>ORD-2024-10750</t>
  </si>
  <si>
    <t>2024-03-25</t>
  </si>
  <si>
    <t>CUST-4457</t>
  </si>
  <si>
    <t>Classic Machines 543</t>
  </si>
  <si>
    <t>CUST-7036</t>
  </si>
  <si>
    <t>Max Accessories 291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</si>
  <si>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</si>
  <si>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</si>
  <si>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</si>
  <si>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</si>
  <si>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</si>
  <si>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</si>
  <si>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</si>
  <si>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</si>
  <si>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CUST-7960</t>
  </si>
  <si>
    <t>Elite Storage 857</t>
  </si>
  <si>
    <t>CUST-3365</t>
  </si>
  <si>
    <t>Prime Storage 183</t>
  </si>
  <si>
    <t>ORD-2024-10757</t>
  </si>
  <si>
    <t>CUST-1557</t>
  </si>
  <si>
    <t>Smart Accessories 362</t>
  </si>
  <si>
    <t>2025-08-03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</si>
  <si>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</si>
  <si>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</si>
  <si>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</si>
  <si>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</si>
  <si>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</si>
  <si>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</si>
  <si>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</si>
  <si>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</si>
  <si>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</si>
  <si>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</si>
  <si>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</si>
  <si>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CUST-8948</t>
  </si>
  <si>
    <t>Max Machines 364</t>
  </si>
  <si>
    <t>ORD-2024-10763</t>
  </si>
  <si>
    <t>CUST-6921</t>
  </si>
  <si>
    <t>Classic Machines 122</t>
  </si>
  <si>
    <t>2025-08-25</t>
  </si>
  <si>
    <t>CUST-4086</t>
  </si>
  <si>
    <t>Elite Furnishings 169</t>
  </si>
  <si>
    <t>Pro Bookcases 615</t>
  </si>
  <si>
    <t>2025-07-03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</si>
  <si>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</si>
  <si>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</si>
  <si>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</si>
  <si>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</si>
  <si>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</si>
  <si>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</si>
  <si>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</si>
  <si>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</si>
  <si>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2025-04-04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</si>
  <si>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</si>
  <si>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</si>
  <si>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</si>
  <si>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</si>
  <si>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</si>
  <si>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</si>
  <si>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</si>
  <si>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</si>
  <si>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</si>
  <si>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</si>
  <si>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</si>
  <si>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CUST-8422</t>
  </si>
  <si>
    <t>Basic Chairs 279</t>
  </si>
  <si>
    <t>2025-02-21</t>
  </si>
  <si>
    <t>CUST-4766</t>
  </si>
  <si>
    <t>Basic Phones 753</t>
  </si>
  <si>
    <t>CUST-1182</t>
  </si>
  <si>
    <t>Smart Machines 789</t>
  </si>
  <si>
    <t>ORD-2024-10776</t>
  </si>
  <si>
    <t>CUST-4461</t>
  </si>
  <si>
    <t>Elite Accessories 312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</si>
  <si>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</si>
  <si>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</si>
  <si>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</si>
  <si>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</si>
  <si>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</si>
  <si>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</si>
  <si>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</si>
  <si>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</si>
  <si>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</si>
  <si>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</si>
  <si>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</si>
  <si>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</si>
  <si>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</si>
  <si>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</si>
  <si>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</si>
  <si>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2024-02-02</t>
  </si>
  <si>
    <t>CUST-8597</t>
  </si>
  <si>
    <t>Classic Labels 204</t>
  </si>
  <si>
    <t>CUST-9085</t>
  </si>
  <si>
    <t>Basic Copiers 254</t>
  </si>
  <si>
    <t>ORD-2024-10784</t>
  </si>
  <si>
    <t>2024-06-07</t>
  </si>
  <si>
    <t>CUST-7746</t>
  </si>
  <si>
    <t>Basic Art 709</t>
  </si>
  <si>
    <t>CUST-3119</t>
  </si>
  <si>
    <t>Max Copiers 551</t>
  </si>
  <si>
    <t>ORD-2024-10786</t>
  </si>
  <si>
    <t>CUST-7518</t>
  </si>
  <si>
    <t>Eco Storage 183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</si>
  <si>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</si>
  <si>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</si>
  <si>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</si>
  <si>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</si>
  <si>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</si>
  <si>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</si>
  <si>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</si>
  <si>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</si>
  <si>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</si>
  <si>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CUST-1453</t>
  </si>
  <si>
    <t>Smart Copiers 408</t>
  </si>
  <si>
    <t>ORD-2024-10791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</si>
  <si>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</si>
  <si>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</si>
  <si>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</si>
  <si>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</si>
  <si>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</si>
  <si>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</si>
  <si>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</si>
  <si>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CUST-1417</t>
  </si>
  <si>
    <t>Elite Furnishings 852</t>
  </si>
  <si>
    <t>ORD-2024-10794</t>
  </si>
  <si>
    <t>CUST-5421</t>
  </si>
  <si>
    <t>Basic Copiers 238</t>
  </si>
  <si>
    <t>2025-06-22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</si>
  <si>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</si>
  <si>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</si>
  <si>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</si>
  <si>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</si>
  <si>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</si>
  <si>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</si>
  <si>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</si>
  <si>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</si>
  <si>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</si>
  <si>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</si>
  <si>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</si>
  <si>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2025-07-11</t>
  </si>
  <si>
    <t>CUST-7553</t>
  </si>
  <si>
    <t>Classic Furnishings 348</t>
  </si>
  <si>
    <t>ORD-2024-10800</t>
  </si>
  <si>
    <t>CUST-8527</t>
  </si>
  <si>
    <t>Smart Accessories 487</t>
  </si>
  <si>
    <t>ORD-2024-10801</t>
  </si>
  <si>
    <t>2024-03-07</t>
  </si>
  <si>
    <t>CUST-5015</t>
  </si>
  <si>
    <t>Elite Storage 825</t>
  </si>
  <si>
    <t>2025-10-08</t>
  </si>
  <si>
    <t>CUST-3344</t>
  </si>
  <si>
    <t>Pro Accessories 500</t>
  </si>
  <si>
    <t>2025-02-16</t>
  </si>
  <si>
    <t>CUST-5866</t>
  </si>
  <si>
    <t>Pro Furnishings 909</t>
  </si>
  <si>
    <t>ORD-2024-10804</t>
  </si>
  <si>
    <t>CUST-7180</t>
  </si>
  <si>
    <t>Basic Labels 359</t>
  </si>
  <si>
    <t>CUST-8745</t>
  </si>
  <si>
    <t>Eco Furnishings 541</t>
  </si>
  <si>
    <t>Classic Binders 103</t>
  </si>
  <si>
    <t>ORD-2024-10807</t>
  </si>
  <si>
    <t>CUST-3704</t>
  </si>
  <si>
    <t>Max Copiers 560</t>
  </si>
  <si>
    <t>CUST-5884</t>
  </si>
  <si>
    <t>Smart Labels 436</t>
  </si>
  <si>
    <t>2025-08-31</t>
  </si>
  <si>
    <t>CUST-7503</t>
  </si>
  <si>
    <t>Pro Furnishings 386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</si>
  <si>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</si>
  <si>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</si>
  <si>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</si>
  <si>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</si>
  <si>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</si>
  <si>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</si>
  <si>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</si>
  <si>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</si>
  <si>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</si>
  <si>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</si>
  <si>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CUST-7848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</si>
  <si>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</si>
  <si>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</si>
  <si>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</si>
  <si>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</si>
  <si>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</si>
  <si>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</si>
  <si>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</si>
  <si>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2024-11-30</t>
  </si>
  <si>
    <t>CUST-3072</t>
  </si>
  <si>
    <t>Basic Furnishings 306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</si>
  <si>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</si>
  <si>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</si>
  <si>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</si>
  <si>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</si>
  <si>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</si>
  <si>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</si>
  <si>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</si>
  <si>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</si>
  <si>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CUST-2041</t>
  </si>
  <si>
    <t>Classic Bookcases 882</t>
  </si>
  <si>
    <t>ORD-2024-10822</t>
  </si>
  <si>
    <t>2024-07-03</t>
  </si>
  <si>
    <t>CUST-4466</t>
  </si>
  <si>
    <t>Classic Accessories 471</t>
  </si>
  <si>
    <t>ORD-2024-10823</t>
  </si>
  <si>
    <t>CUST-3188</t>
  </si>
  <si>
    <t>Smart Furnishings 175</t>
  </si>
  <si>
    <t>2025-01-06</t>
  </si>
  <si>
    <t>CUST-6638</t>
  </si>
  <si>
    <t>Basic Paper 899</t>
  </si>
  <si>
    <t>CUST-3540</t>
  </si>
  <si>
    <t>Pro Paper 267</t>
  </si>
  <si>
    <t>CUST-3351</t>
  </si>
  <si>
    <t>Basic Machines 832</t>
  </si>
  <si>
    <t>CUST-4375</t>
  </si>
  <si>
    <t>Elite Accessories 790</t>
  </si>
  <si>
    <t>ORD-2024-10828</t>
  </si>
  <si>
    <t>CUST-5125</t>
  </si>
  <si>
    <t>Basic Paper 707</t>
  </si>
  <si>
    <t>CUST-6010</t>
  </si>
  <si>
    <t>Elite Chairs 979</t>
  </si>
  <si>
    <t>ORD-2024-10830</t>
  </si>
  <si>
    <t>CUST-9036</t>
  </si>
  <si>
    <t>Pro Furnishings 192</t>
  </si>
  <si>
    <t>CUST-7929</t>
  </si>
  <si>
    <t>Smart Machines 951</t>
  </si>
  <si>
    <t>CUST-1106</t>
  </si>
  <si>
    <t>Smart Chairs 794</t>
  </si>
  <si>
    <t>CUST-9557</t>
  </si>
  <si>
    <t>Max Phones 919</t>
  </si>
  <si>
    <t>ORD-2024-10834</t>
  </si>
  <si>
    <t>2024-06-04</t>
  </si>
  <si>
    <t>CUST-2689</t>
  </si>
  <si>
    <t>Basic Bookcases 499</t>
  </si>
  <si>
    <t>ORD-2024-10835</t>
  </si>
  <si>
    <t>2024-10-22</t>
  </si>
  <si>
    <t>CUST-2879</t>
  </si>
  <si>
    <t>Basic Art 143</t>
  </si>
  <si>
    <t>CUST-5150</t>
  </si>
  <si>
    <t>Prime Phones 338</t>
  </si>
  <si>
    <t>ORD-2024-10837</t>
  </si>
  <si>
    <t>2024-12-18</t>
  </si>
  <si>
    <t>CUST-9776</t>
  </si>
  <si>
    <t>Smart Labels 814</t>
  </si>
  <si>
    <t>CUST-2551</t>
  </si>
  <si>
    <t>Prime Paper 812</t>
  </si>
  <si>
    <t>CUST-4708</t>
  </si>
  <si>
    <t>Pro Paper 355</t>
  </si>
  <si>
    <t>ORD-2024-10840</t>
  </si>
  <si>
    <t>CUST-8206</t>
  </si>
  <si>
    <t>Basic Phones 398</t>
  </si>
  <si>
    <t>CUST-1297</t>
  </si>
  <si>
    <t>Classic Chairs 204</t>
  </si>
  <si>
    <t>2025-02-06</t>
  </si>
  <si>
    <t>CUST-7558</t>
  </si>
  <si>
    <t>Max Art 339</t>
  </si>
  <si>
    <t>ORD-2024-10843</t>
  </si>
  <si>
    <t>CUST-1798</t>
  </si>
  <si>
    <t>Smart Machines 581</t>
  </si>
  <si>
    <t>CUST-7333</t>
  </si>
  <si>
    <t>Prime Phones 482</t>
  </si>
  <si>
    <t>CUST-2086</t>
  </si>
  <si>
    <t>Pro Art 588</t>
  </si>
  <si>
    <t>ORD-2024-10846</t>
  </si>
  <si>
    <t>Eco Tables 792</t>
  </si>
  <si>
    <t>ORD-2024-10847</t>
  </si>
  <si>
    <t>2024-04-14</t>
  </si>
  <si>
    <t>2024-04-22</t>
  </si>
  <si>
    <t>CUST-6522</t>
  </si>
  <si>
    <t>Prime Bookcases 177</t>
  </si>
  <si>
    <t>2025-05-20</t>
  </si>
  <si>
    <t>CUST-8329</t>
  </si>
  <si>
    <t>Pro Tables 828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</si>
  <si>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</si>
  <si>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</si>
  <si>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</si>
  <si>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</si>
  <si>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</si>
  <si>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</si>
  <si>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</si>
  <si>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</si>
  <si>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</si>
  <si>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</si>
  <si>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</si>
  <si>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</si>
  <si>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</si>
  <si>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</si>
  <si>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</si>
  <si>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2025-05-16</t>
  </si>
  <si>
    <t>CUST-8274</t>
  </si>
  <si>
    <t>Elite Accessories 708</t>
  </si>
  <si>
    <t>CUST-2514</t>
  </si>
  <si>
    <t>Max Bookcases 381</t>
  </si>
  <si>
    <t>ORD-2024-10856</t>
  </si>
  <si>
    <t>Classic Labels 215</t>
  </si>
  <si>
    <t>ORD-2024-10857</t>
  </si>
  <si>
    <t>2024-06-12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</si>
  <si>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</si>
  <si>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</si>
  <si>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</si>
  <si>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</si>
  <si>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</si>
  <si>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</si>
  <si>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</si>
  <si>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</si>
  <si>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</si>
  <si>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</si>
  <si>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</si>
  <si>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CUST-8941</t>
  </si>
  <si>
    <t>Classic Storage 194</t>
  </si>
  <si>
    <t>2025-03-08</t>
  </si>
  <si>
    <t>2025-03-09</t>
  </si>
  <si>
    <t>CUST-9448</t>
  </si>
  <si>
    <t>Smart Furnishings 892</t>
  </si>
  <si>
    <t>CUST-8354</t>
  </si>
  <si>
    <t>Pro Binders 488</t>
  </si>
  <si>
    <t>CUST-2200</t>
  </si>
  <si>
    <t>Prime Furnishings 679</t>
  </si>
  <si>
    <t>CUST-1178</t>
  </si>
  <si>
    <t>Smart Phones 158</t>
  </si>
  <si>
    <t>CUST-8099</t>
  </si>
  <si>
    <t>Classic Labels 218</t>
  </si>
  <si>
    <t>2025-03-06</t>
  </si>
  <si>
    <t>CUST-7596</t>
  </si>
  <si>
    <t>Smart Bookcases 552</t>
  </si>
  <si>
    <t>ORD-2024-10868</t>
  </si>
  <si>
    <t>CUST-2328</t>
  </si>
  <si>
    <t>Eco Accessories 389</t>
  </si>
  <si>
    <t>CUST-8483</t>
  </si>
  <si>
    <t>Elite Storage 187</t>
  </si>
  <si>
    <t>CUST-2388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</si>
  <si>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</si>
  <si>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</si>
  <si>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</si>
  <si>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</si>
  <si>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</si>
  <si>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</si>
  <si>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CUST-8160</t>
  </si>
  <si>
    <t>Elite Storage 144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</si>
  <si>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</si>
  <si>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</si>
  <si>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</si>
  <si>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</si>
  <si>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</si>
  <si>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</si>
  <si>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</si>
  <si>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CUST-7146</t>
  </si>
  <si>
    <t>Max Storage 438</t>
  </si>
  <si>
    <t>ORD-2024-10879</t>
  </si>
  <si>
    <t>CUST-8534</t>
  </si>
  <si>
    <t>Basic Paper 904</t>
  </si>
  <si>
    <t>2025-08-27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</si>
  <si>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</si>
  <si>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</si>
  <si>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</si>
  <si>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</si>
  <si>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</si>
  <si>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</si>
  <si>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</si>
  <si>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</si>
  <si>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CUST-4983</t>
  </si>
  <si>
    <t>Basic Accessories 607</t>
  </si>
  <si>
    <t>CUST-2597</t>
  </si>
  <si>
    <t>Classic Storage 211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</si>
  <si>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</si>
  <si>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</si>
  <si>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</si>
  <si>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</si>
  <si>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</si>
  <si>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</si>
  <si>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</si>
  <si>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CUST-3549</t>
  </si>
  <si>
    <t>Max Accessories 541</t>
  </si>
  <si>
    <t>ORD-2024-10888</t>
  </si>
  <si>
    <t>CUST-2795</t>
  </si>
  <si>
    <t>Prime Art 596</t>
  </si>
  <si>
    <t>CUST-1081</t>
  </si>
  <si>
    <t>Pro Art 620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</si>
  <si>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</si>
  <si>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</si>
  <si>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</si>
  <si>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</si>
  <si>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</si>
  <si>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</si>
  <si>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</si>
  <si>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</si>
  <si>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</si>
  <si>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</si>
  <si>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</si>
  <si>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</si>
  <si>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</si>
  <si>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</si>
  <si>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</si>
  <si>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</si>
  <si>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</si>
  <si>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</si>
  <si>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</si>
  <si>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</si>
  <si>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</si>
  <si>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Eco Paper 747</t>
  </si>
  <si>
    <t>ORD-2024-10899</t>
  </si>
  <si>
    <t>CUST-6046</t>
  </si>
  <si>
    <t>Classic Tables 535</t>
  </si>
  <si>
    <t>CUST-3789</t>
  </si>
  <si>
    <t>Elite Chairs 971</t>
  </si>
  <si>
    <t>2024-07-21</t>
  </si>
  <si>
    <t>2024-08-31</t>
  </si>
  <si>
    <t>2024-06-08</t>
  </si>
  <si>
    <t>2025-08-29</t>
  </si>
  <si>
    <t>2024-12-20</t>
  </si>
  <si>
    <t>2024-07-09</t>
  </si>
  <si>
    <t>2024-01-07</t>
  </si>
  <si>
    <t>2025-07-15</t>
  </si>
  <si>
    <t>2024-07-27</t>
  </si>
  <si>
    <t>2025-01-24</t>
  </si>
  <si>
    <t>2024-11-10</t>
  </si>
  <si>
    <t>2024-11-23</t>
  </si>
  <si>
    <t>2025-08-13</t>
  </si>
  <si>
    <t>2024-02-09</t>
  </si>
  <si>
    <t>2025-06-15</t>
  </si>
  <si>
    <t>2025-07-29</t>
  </si>
  <si>
    <t>2024-10-10</t>
  </si>
  <si>
    <t>2024-01-18</t>
  </si>
  <si>
    <t>2024-12-08</t>
  </si>
  <si>
    <t>2024-04-24</t>
  </si>
  <si>
    <t>2024-10-26</t>
  </si>
  <si>
    <t>2025-01-07</t>
  </si>
  <si>
    <t>2024-07-20</t>
  </si>
  <si>
    <t>2024-07-13</t>
  </si>
  <si>
    <t>2024-04-16</t>
  </si>
  <si>
    <t>2025-02-03</t>
  </si>
  <si>
    <t>2025-04-16</t>
  </si>
  <si>
    <t>2025-03-29</t>
  </si>
  <si>
    <t>2024-11-03</t>
  </si>
  <si>
    <t>2025-07-08</t>
  </si>
  <si>
    <t>2025-01-23</t>
  </si>
  <si>
    <t>2024-09-06</t>
  </si>
  <si>
    <t>2025-05-09</t>
  </si>
  <si>
    <t>2024-06-05</t>
  </si>
  <si>
    <t>2025-08-08</t>
  </si>
  <si>
    <t>2025-11-01</t>
  </si>
  <si>
    <t>2025-09-12</t>
  </si>
  <si>
    <t>2025-05-02</t>
  </si>
  <si>
    <t>2024-08-15</t>
  </si>
  <si>
    <t>2024-10-18</t>
  </si>
  <si>
    <t>2024-01-10</t>
  </si>
  <si>
    <t>2024-12-02</t>
  </si>
  <si>
    <t>2025-09-24</t>
  </si>
  <si>
    <t>2025-09-02</t>
  </si>
  <si>
    <t>2025-03-02</t>
  </si>
  <si>
    <t>2024-05-31</t>
  </si>
  <si>
    <t>2024-03-23</t>
  </si>
  <si>
    <t>2024-07-06</t>
  </si>
  <si>
    <t>2025-11-04</t>
  </si>
  <si>
    <t>2025-07-30</t>
  </si>
  <si>
    <t>2025-02-09</t>
  </si>
  <si>
    <t>2024-06-27</t>
  </si>
  <si>
    <t>2024-06-14</t>
  </si>
  <si>
    <t>2025-03-27</t>
  </si>
  <si>
    <t>2025-09-21</t>
  </si>
  <si>
    <t>2025-02-20</t>
  </si>
  <si>
    <t>2025-01-20</t>
  </si>
  <si>
    <t>2024-02-05</t>
  </si>
  <si>
    <t>2025-09-28</t>
  </si>
  <si>
    <t>2025-03-18</t>
  </si>
  <si>
    <t>2024-01-06</t>
  </si>
  <si>
    <t>2024-10-16</t>
  </si>
  <si>
    <t>2025-04-20</t>
  </si>
  <si>
    <t>2024-05-06</t>
  </si>
  <si>
    <t>2025-07-26</t>
  </si>
  <si>
    <t>2024-03-28</t>
  </si>
  <si>
    <t>2025-04-21</t>
  </si>
  <si>
    <t>2025-06-29</t>
  </si>
  <si>
    <t>2024-05-16</t>
  </si>
  <si>
    <t>2024-05-15</t>
  </si>
  <si>
    <t>2024-01-03</t>
  </si>
  <si>
    <t>2025-02-26</t>
  </si>
  <si>
    <t>2024-09-03</t>
  </si>
  <si>
    <t>2025-12-01</t>
  </si>
  <si>
    <t>2025-02-19</t>
  </si>
  <si>
    <t>2025-10-02</t>
  </si>
  <si>
    <t>2024-09-02</t>
  </si>
  <si>
    <t>2024-05-28</t>
  </si>
  <si>
    <t>2024-10-14</t>
  </si>
  <si>
    <t>2024-11-02</t>
  </si>
  <si>
    <t>2024-01-12</t>
  </si>
  <si>
    <t>2024-12-17</t>
  </si>
  <si>
    <t>2024-07-25</t>
  </si>
  <si>
    <t>2025-08-01</t>
  </si>
  <si>
    <t>2025-01-01</t>
  </si>
  <si>
    <t>2024-06-21</t>
  </si>
  <si>
    <t>2025-06-18</t>
  </si>
  <si>
    <t>2025-08-06</t>
  </si>
  <si>
    <t>2025-02-10</t>
  </si>
  <si>
    <t>2024-12-21</t>
  </si>
  <si>
    <t>2024-07-04</t>
  </si>
  <si>
    <t>2025-07-25</t>
  </si>
  <si>
    <t>2025-03-13</t>
  </si>
  <si>
    <t>2024-02-28</t>
  </si>
  <si>
    <t>2024-04-05</t>
  </si>
  <si>
    <t>2025-02-28</t>
  </si>
  <si>
    <t>2025-05-24</t>
  </si>
  <si>
    <t>2024-04-15</t>
  </si>
  <si>
    <t>2024-04-07</t>
  </si>
  <si>
    <t>2024-07-31</t>
  </si>
  <si>
    <t>2024-02-16</t>
  </si>
  <si>
    <t>2024-04-25</t>
  </si>
  <si>
    <t>2024-08-21</t>
  </si>
  <si>
    <t>2024-12-04</t>
  </si>
  <si>
    <t>2024-02-25</t>
  </si>
  <si>
    <t>2025-09-16</t>
  </si>
  <si>
    <t>2025-05-27</t>
  </si>
  <si>
    <t>2025-06-16</t>
  </si>
  <si>
    <t>2024-01-21</t>
  </si>
  <si>
    <t>2025-09-08</t>
  </si>
  <si>
    <t>2025-05-23</t>
  </si>
  <si>
    <t>2024-12-05</t>
  </si>
  <si>
    <t>2025-06-07</t>
  </si>
  <si>
    <t>2024-12-29</t>
  </si>
  <si>
    <t>2025-05-22</t>
  </si>
  <si>
    <t>2025-03-04</t>
  </si>
  <si>
    <t>2024-11-06</t>
  </si>
  <si>
    <t>2024-02-19</t>
  </si>
  <si>
    <t>2024-06-06</t>
  </si>
  <si>
    <t>2025-04-24</t>
  </si>
  <si>
    <t>2025-06-06</t>
  </si>
  <si>
    <t>2025-02-25</t>
  </si>
  <si>
    <t>2024-05-12</t>
  </si>
  <si>
    <t>2025-09-26</t>
  </si>
  <si>
    <t>2025-06-14</t>
  </si>
  <si>
    <t>2024-06-26</t>
  </si>
  <si>
    <t>2024-09-26</t>
  </si>
  <si>
    <t>2024-06-30</t>
  </si>
  <si>
    <t>2024-08-30</t>
  </si>
  <si>
    <t>2024-04-19</t>
  </si>
  <si>
    <t>2024-06-16</t>
  </si>
  <si>
    <t>2025-05-07</t>
  </si>
  <si>
    <t>2024-03-10</t>
  </si>
  <si>
    <t>2025-01-12</t>
  </si>
  <si>
    <t>2024-04-04</t>
  </si>
  <si>
    <t>2025-09-18</t>
  </si>
  <si>
    <t>2024-01-15</t>
  </si>
  <si>
    <t>2024-07-18</t>
  </si>
  <si>
    <t>2025-09-30</t>
  </si>
  <si>
    <t>2025-07-02</t>
  </si>
  <si>
    <t>2025-11-03</t>
  </si>
  <si>
    <t>2024-01-29</t>
  </si>
  <si>
    <t>2024-04-01</t>
  </si>
  <si>
    <t>2024-08-20</t>
  </si>
  <si>
    <t>2024-07-28</t>
  </si>
  <si>
    <t>2024-05-07</t>
  </si>
  <si>
    <t>2024-06-09</t>
  </si>
  <si>
    <t>2024-02-23</t>
  </si>
  <si>
    <t>2024-12-25</t>
  </si>
  <si>
    <t>2024-05-17</t>
  </si>
  <si>
    <t>2024-03-31</t>
  </si>
  <si>
    <t>2024-10-23</t>
  </si>
  <si>
    <t>2024-11-18</t>
  </si>
  <si>
    <t>2025-04-30</t>
  </si>
  <si>
    <t>2025-03-07</t>
  </si>
  <si>
    <t>2024-02-04</t>
  </si>
  <si>
    <t>2025-01-10</t>
  </si>
  <si>
    <t>2024-08-01</t>
  </si>
  <si>
    <t>2024-08-25</t>
  </si>
  <si>
    <t>2025-04-27</t>
  </si>
  <si>
    <t>2024-05-19</t>
  </si>
  <si>
    <t>2024-02-26</t>
  </si>
  <si>
    <t>2024-09-17</t>
  </si>
  <si>
    <t>2024-05-27</t>
  </si>
  <si>
    <t>2025-10-11</t>
  </si>
  <si>
    <t>2024-05-10</t>
  </si>
  <si>
    <t>2024-01-02</t>
  </si>
  <si>
    <t>2024-02-17</t>
  </si>
  <si>
    <t>2024-06-19</t>
  </si>
  <si>
    <t>2025-06-03</t>
  </si>
  <si>
    <t>2024-08-04</t>
  </si>
  <si>
    <t>2025-12-04</t>
  </si>
  <si>
    <t>2025-02-11</t>
  </si>
  <si>
    <t>2024-08-17</t>
  </si>
  <si>
    <t>2025-01-03</t>
  </si>
  <si>
    <t>2025-02-22</t>
  </si>
  <si>
    <t>2024-05-20</t>
  </si>
  <si>
    <t>2024-08-16</t>
  </si>
  <si>
    <t>2024-09-29</t>
  </si>
  <si>
    <t>2024-08-08</t>
  </si>
  <si>
    <t>2025-04-18</t>
  </si>
  <si>
    <t>2025-01-11</t>
  </si>
  <si>
    <t>2024-10-02</t>
  </si>
  <si>
    <t>2025-01-14</t>
  </si>
  <si>
    <t>2024-04-21</t>
  </si>
  <si>
    <t>2024-04-13</t>
  </si>
  <si>
    <t>2025-03-17</t>
  </si>
  <si>
    <t>2024-12-07</t>
  </si>
  <si>
    <t>2024-11-21</t>
  </si>
  <si>
    <t>2025-09-11</t>
  </si>
  <si>
    <t>2024-11-24</t>
  </si>
  <si>
    <t>2025-10-01</t>
  </si>
  <si>
    <t>2024-09-11</t>
  </si>
  <si>
    <t>2024-04-30</t>
  </si>
  <si>
    <t>2024-09-08</t>
  </si>
  <si>
    <t>2025-03-20</t>
  </si>
  <si>
    <t>2025-03-22</t>
  </si>
  <si>
    <t>2025-12-10</t>
  </si>
  <si>
    <t>2025-10-06</t>
  </si>
  <si>
    <t>2024-10-13</t>
  </si>
  <si>
    <t>2025-05-17</t>
  </si>
  <si>
    <t>2024-12-03</t>
  </si>
  <si>
    <t>2024-05-30</t>
  </si>
  <si>
    <t>2024-03-21</t>
  </si>
  <si>
    <t>2024-10-27</t>
  </si>
  <si>
    <t>2024-08-28</t>
  </si>
  <si>
    <t>2024-01-01</t>
  </si>
  <si>
    <t>2024-05-03</t>
  </si>
  <si>
    <t>2024-05-11</t>
  </si>
  <si>
    <t>2024-05-23</t>
  </si>
  <si>
    <t>2024-04-18</t>
  </si>
  <si>
    <t>2024-03-01</t>
  </si>
  <si>
    <t>2025-10-09</t>
  </si>
  <si>
    <t>2024-12-12</t>
  </si>
  <si>
    <t>2024-11-27</t>
  </si>
  <si>
    <t>2025-04-05</t>
  </si>
  <si>
    <t>2025-04-03</t>
  </si>
  <si>
    <t>2024-09-20</t>
  </si>
  <si>
    <t>2025-09-06</t>
  </si>
  <si>
    <t>2024-12-01</t>
  </si>
  <si>
    <t>2025-01-18</t>
  </si>
  <si>
    <t>2025-04-26</t>
  </si>
  <si>
    <t>2025-06-08</t>
  </si>
  <si>
    <t>2025-03-10</t>
  </si>
  <si>
    <t>2024-10-08</t>
  </si>
  <si>
    <t>2024-12-24</t>
  </si>
  <si>
    <t>2024-11-29</t>
  </si>
  <si>
    <t>2025-10-16</t>
  </si>
  <si>
    <t>2025-10-15</t>
  </si>
  <si>
    <t>2024-06-25</t>
  </si>
  <si>
    <t>2025-05-19</t>
  </si>
  <si>
    <t>2024-04-29</t>
  </si>
  <si>
    <t>2024-11-11</t>
  </si>
  <si>
    <t>2025-12-07</t>
  </si>
  <si>
    <t>2024-08-05</t>
  </si>
  <si>
    <t>2024-03-27</t>
  </si>
  <si>
    <t>2024-01-13</t>
  </si>
  <si>
    <t>2024-12-16</t>
  </si>
  <si>
    <t>2024-06-01</t>
  </si>
  <si>
    <t>2024-03-14</t>
  </si>
  <si>
    <t>2025-09-14</t>
  </si>
  <si>
    <t>2025-09-15</t>
  </si>
  <si>
    <t>2024-06-03</t>
  </si>
  <si>
    <t>2024-03-19</t>
  </si>
  <si>
    <t>2024-06-28</t>
  </si>
  <si>
    <t>2025-07-05</t>
  </si>
  <si>
    <t>2024-03-18</t>
  </si>
  <si>
    <t>2025-04-08</t>
  </si>
  <si>
    <t>2024-04-28</t>
  </si>
  <si>
    <t>2024-10-21</t>
  </si>
  <si>
    <t>2025-08-02</t>
  </si>
  <si>
    <t>2024-09-13</t>
  </si>
  <si>
    <t>2024-01-23</t>
  </si>
  <si>
    <t>2024-12-26</t>
  </si>
  <si>
    <t>2025-07-27</t>
  </si>
  <si>
    <t>2024-12-14</t>
  </si>
  <si>
    <t>2024-03-02</t>
  </si>
  <si>
    <t>2024-04-23</t>
  </si>
  <si>
    <t>2025-07-19</t>
  </si>
  <si>
    <t>2024-08-07</t>
  </si>
  <si>
    <t>2025-05-31</t>
  </si>
  <si>
    <t>2024-02-29</t>
  </si>
  <si>
    <t>2025-07-28</t>
  </si>
  <si>
    <t>2024-08-22</t>
  </si>
  <si>
    <t>2024-03-16</t>
  </si>
  <si>
    <t>2024-09-24</t>
  </si>
  <si>
    <t>2024-04-20</t>
  </si>
  <si>
    <t>2024-11-17</t>
  </si>
  <si>
    <t>2024-09-27</t>
  </si>
  <si>
    <t>2024-05-05</t>
  </si>
  <si>
    <t>2024-05-14</t>
  </si>
  <si>
    <t>2025-06-26</t>
  </si>
  <si>
    <t>2025-06-17</t>
  </si>
  <si>
    <t>2025-05-14</t>
  </si>
  <si>
    <t>2024-02-24</t>
  </si>
  <si>
    <t>2024-01-31</t>
  </si>
  <si>
    <t>2025-07-13</t>
  </si>
  <si>
    <t>2024-10-09</t>
  </si>
  <si>
    <t>2025-01-17</t>
  </si>
  <si>
    <t>2025-08-19</t>
  </si>
  <si>
    <t>2025-04-07</t>
  </si>
  <si>
    <t>2024-12-10</t>
  </si>
  <si>
    <t>2025-06-23</t>
  </si>
  <si>
    <t>2024-11-15</t>
  </si>
  <si>
    <t>2024-12-19</t>
  </si>
  <si>
    <t>2025-11-10</t>
  </si>
  <si>
    <t>2024-08-02</t>
  </si>
  <si>
    <t>2024-11-20</t>
  </si>
  <si>
    <t>2025-03-05</t>
  </si>
  <si>
    <t>shipping_delay_days</t>
  </si>
  <si>
    <t>date_issue_flag</t>
  </si>
  <si>
    <t>order_month</t>
  </si>
  <si>
    <t>order_year</t>
  </si>
  <si>
    <t>calculated_sales</t>
  </si>
  <si>
    <t>cleaned_discount</t>
  </si>
  <si>
    <t>calculated_profit</t>
  </si>
  <si>
    <t>profit_margin</t>
  </si>
  <si>
    <t>discount_flag</t>
  </si>
  <si>
    <t>data quality_flag</t>
  </si>
  <si>
    <t>Unknown</t>
  </si>
  <si>
    <t>exact_duplicate</t>
  </si>
  <si>
    <t>row_fingerprint</t>
  </si>
  <si>
    <t>ORD-2025-10005</t>
  </si>
  <si>
    <t>ORD-2025-10007</t>
  </si>
  <si>
    <t>ORD-2025-10008</t>
  </si>
  <si>
    <t>ORD-2025-10010</t>
  </si>
  <si>
    <t>ORD-2025-10011</t>
  </si>
  <si>
    <t>ORD-2025-10014</t>
  </si>
  <si>
    <t>ORD-2025-10019</t>
  </si>
  <si>
    <t>ORD-2025-10021</t>
  </si>
  <si>
    <t>ORD-2025-10022</t>
  </si>
  <si>
    <t>ORD-2025-10023</t>
  </si>
  <si>
    <t>ORD-2025-10024</t>
  </si>
  <si>
    <t>ORD-2025-10028</t>
  </si>
  <si>
    <t>ORD-2025-10030</t>
  </si>
  <si>
    <t>ORD-2025-10032</t>
  </si>
  <si>
    <t>ORD-2025-10035</t>
  </si>
  <si>
    <t>ORD-2025-10038</t>
  </si>
  <si>
    <t>ORD-2025-10043</t>
  </si>
  <si>
    <t>ORD-2025-10049</t>
  </si>
  <si>
    <t>ORD-2025-10051</t>
  </si>
  <si>
    <t>ORD-2025-10054</t>
  </si>
  <si>
    <t>ORD-2025-10055</t>
  </si>
  <si>
    <t>ORD-2025-10056</t>
  </si>
  <si>
    <t>ORD-2025-10057</t>
  </si>
  <si>
    <t>ORD-2025-10067</t>
  </si>
  <si>
    <t>ORD-2025-10068</t>
  </si>
  <si>
    <t>ORD-2025-10071</t>
  </si>
  <si>
    <t>ORD-2025-10072</t>
  </si>
  <si>
    <t>ORD-2025-10074</t>
  </si>
  <si>
    <t>ORD-2025-10075</t>
  </si>
  <si>
    <t>ORD-2025-10076</t>
  </si>
  <si>
    <t>ORD-2025-10078</t>
  </si>
  <si>
    <t>ORD-2025-10079</t>
  </si>
  <si>
    <t>ORD-2025-10080</t>
  </si>
  <si>
    <t>ORD-2025-10082</t>
  </si>
  <si>
    <t>ORD-2025-10091</t>
  </si>
  <si>
    <t>ORD-2025-10092</t>
  </si>
  <si>
    <t>ORD-2025-10093</t>
  </si>
  <si>
    <t>ORD-2025-10096</t>
  </si>
  <si>
    <t>ORD-2025-10098</t>
  </si>
  <si>
    <t>ORD-2025-10100</t>
  </si>
  <si>
    <t>ORD-2025-10101</t>
  </si>
  <si>
    <t>ORD-2025-10103</t>
  </si>
  <si>
    <t>ORD-2025-10104</t>
  </si>
  <si>
    <t>ORD-2025-10105</t>
  </si>
  <si>
    <t>ORD-2025-10110</t>
  </si>
  <si>
    <t>ORD-2025-10112</t>
  </si>
  <si>
    <t>ORD-2025-10117</t>
  </si>
  <si>
    <t>ORD-2025-10122</t>
  </si>
  <si>
    <t>ORD-2025-10126</t>
  </si>
  <si>
    <t>ORD-2025-10127</t>
  </si>
  <si>
    <t>ORD-2025-10128</t>
  </si>
  <si>
    <t>ORD-2025-10132</t>
  </si>
  <si>
    <t>ORD-2025-10135</t>
  </si>
  <si>
    <t>ORD-2025-10136</t>
  </si>
  <si>
    <t>ORD-2025-10137</t>
  </si>
  <si>
    <t>ORD-2025-10138</t>
  </si>
  <si>
    <t>ORD-2025-10140</t>
  </si>
  <si>
    <t>ORD-2025-10146</t>
  </si>
  <si>
    <t>ORD-2025-10147</t>
  </si>
  <si>
    <t>ORD-2025-10149</t>
  </si>
  <si>
    <t>ORD-2025-10154</t>
  </si>
  <si>
    <t>ORD-2025-10156</t>
  </si>
  <si>
    <t>ORD-2025-10157</t>
  </si>
  <si>
    <t>ORD-2025-10160</t>
  </si>
  <si>
    <t>ORD-2025-10161</t>
  </si>
  <si>
    <t>ORD-2025-10162</t>
  </si>
  <si>
    <t>ORD-2025-10164</t>
  </si>
  <si>
    <t>ORD-2025-10165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</si>
  <si>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</si>
  <si>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</si>
  <si>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</si>
  <si>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</si>
  <si>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</si>
  <si>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</si>
  <si>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</si>
  <si>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ORD-2025-10175</t>
  </si>
  <si>
    <t>ORD-2025-10177</t>
  </si>
  <si>
    <t>ORD-2025-10182</t>
  </si>
  <si>
    <t>ORD-2025-10184</t>
  </si>
  <si>
    <t>ORD-2025-10188</t>
  </si>
  <si>
    <t>ORD-2025-10189</t>
  </si>
  <si>
    <t>ORD-2025-10190</t>
  </si>
  <si>
    <t>ORD-2025-10191</t>
  </si>
  <si>
    <t>ORD-2025-10195</t>
  </si>
  <si>
    <t>ORD-2025-10196</t>
  </si>
  <si>
    <t>ORD-2025-10198</t>
  </si>
  <si>
    <t>ORD-2025-10201</t>
  </si>
  <si>
    <t>ORD-2025-10202</t>
  </si>
  <si>
    <t>ORD-2025-10203</t>
  </si>
  <si>
    <t>ORD-2025-10205</t>
  </si>
  <si>
    <t>ORD-2025-10206</t>
  </si>
  <si>
    <t>ORD-2025-10207</t>
  </si>
  <si>
    <t>ORD-2025-10209</t>
  </si>
  <si>
    <t>ORD-2025-10210</t>
  </si>
  <si>
    <t>ORD-2025-10217</t>
  </si>
  <si>
    <t>ORD-2025-10218</t>
  </si>
  <si>
    <t>ORD-2025-10219</t>
  </si>
  <si>
    <t>ORD-2025-10222</t>
  </si>
  <si>
    <t>ORD-2025-10223</t>
  </si>
  <si>
    <t>ORD-2025-10224</t>
  </si>
  <si>
    <t>ORD-2025-10225</t>
  </si>
  <si>
    <t>ORD-2025-10227</t>
  </si>
  <si>
    <t>ORD-2025-10230</t>
  </si>
  <si>
    <t>ORD-2025-10233</t>
  </si>
  <si>
    <t>ORD-2025-10242</t>
  </si>
  <si>
    <t>ORD-2025-10243</t>
  </si>
  <si>
    <t>ORD-2025-10244</t>
  </si>
  <si>
    <t>ORD-2025-10250</t>
  </si>
  <si>
    <t>ORD-2025-10252</t>
  </si>
  <si>
    <t>ORD-2025-10253</t>
  </si>
  <si>
    <t>ORD-2025-10255</t>
  </si>
  <si>
    <t>ORD-2025-10256</t>
  </si>
  <si>
    <t>ORD-2025-10258</t>
  </si>
  <si>
    <t>ORD-2025-10261</t>
  </si>
  <si>
    <t>ORD-2025-10262</t>
  </si>
  <si>
    <t>ORD-2025-10263</t>
  </si>
  <si>
    <t>ORD-2025-10264</t>
  </si>
  <si>
    <t>ORD-2025-10267</t>
  </si>
  <si>
    <t>ORD-2025-10268</t>
  </si>
  <si>
    <t>ORD-2025-10269</t>
  </si>
  <si>
    <t>ORD-2025-10270</t>
  </si>
  <si>
    <t>ORD-2025-10274</t>
  </si>
  <si>
    <t>ORD-2025-10278</t>
  </si>
  <si>
    <t>ORD-2025-10279</t>
  </si>
  <si>
    <t>ORD-2025-10282</t>
  </si>
  <si>
    <t>ORD-2025-10284</t>
  </si>
  <si>
    <t>ORD-2025-10286</t>
  </si>
  <si>
    <t>ORD-2025-10290</t>
  </si>
  <si>
    <t>ORD-2025-10291</t>
  </si>
  <si>
    <t>ORD-2025-10293</t>
  </si>
  <si>
    <t>ORD-2025-10295</t>
  </si>
  <si>
    <t>ORD-2025-10296</t>
  </si>
  <si>
    <t>ORD-2025-10297</t>
  </si>
  <si>
    <t>ORD-2025-10299</t>
  </si>
  <si>
    <t>ORD-2025-10302</t>
  </si>
  <si>
    <t>ORD-2025-10303</t>
  </si>
  <si>
    <t>ORD-2025-10307</t>
  </si>
  <si>
    <t>ORD-2025-10308</t>
  </si>
  <si>
    <t>ORD-2025-10309</t>
  </si>
  <si>
    <t>ORD-2025-10314</t>
  </si>
  <si>
    <t>ORD-2025-10315</t>
  </si>
  <si>
    <t>ORD-2025-10318</t>
  </si>
  <si>
    <t>ORD-2025-10325</t>
  </si>
  <si>
    <t>ORD-2025-10326</t>
  </si>
  <si>
    <t>ORD-2025-10327</t>
  </si>
  <si>
    <t>ORD-2025-10329</t>
  </si>
  <si>
    <t>ORD-2025-10330</t>
  </si>
  <si>
    <t>ORD-2025-10333</t>
  </si>
  <si>
    <t>ORD-2025-10334</t>
  </si>
  <si>
    <t>ORD-2025-10336</t>
  </si>
  <si>
    <t>ORD-2025-10340</t>
  </si>
  <si>
    <t>ORD-2025-10342</t>
  </si>
  <si>
    <t>ORD-2025-10343</t>
  </si>
  <si>
    <t>ORD-2025-10344</t>
  </si>
  <si>
    <t>ORD-2025-10347</t>
  </si>
  <si>
    <t>ORD-2025-10350</t>
  </si>
  <si>
    <t>ORD-2025-10352</t>
  </si>
  <si>
    <t>ORD-2025-10353</t>
  </si>
  <si>
    <t>ORD-2025-10354</t>
  </si>
  <si>
    <t>ORD-2025-10357</t>
  </si>
  <si>
    <t>ORD-2025-10358</t>
  </si>
  <si>
    <t>ORD-2025-10359</t>
  </si>
  <si>
    <t>ORD-2025-10362</t>
  </si>
  <si>
    <t>ORD-2025-10364</t>
  </si>
  <si>
    <t>ORD-2025-10365</t>
  </si>
  <si>
    <t>ORD-2025-10367</t>
  </si>
  <si>
    <t>ORD-2025-10369</t>
  </si>
  <si>
    <t>ORD-2025-10370</t>
  </si>
  <si>
    <t>ORD-2025-10373</t>
  </si>
  <si>
    <t>ORD-2025-10374</t>
  </si>
  <si>
    <t>ORD-2025-10375</t>
  </si>
  <si>
    <t>ORD-2025-10378</t>
  </si>
  <si>
    <t>ORD-2025-10379</t>
  </si>
  <si>
    <t>ORD-2025-10382</t>
  </si>
  <si>
    <t>ORD-2025-10383</t>
  </si>
  <si>
    <t>ORD-2025-10384</t>
  </si>
  <si>
    <t>ORD-2025-10386</t>
  </si>
  <si>
    <t>ORD-2025-10387</t>
  </si>
  <si>
    <t>ORD-2025-10388</t>
  </si>
  <si>
    <t>ORD-2025-10392</t>
  </si>
  <si>
    <t>ORD-2025-10397</t>
  </si>
  <si>
    <t>ORD-2025-10398</t>
  </si>
  <si>
    <t>ORD-2025-10400</t>
  </si>
  <si>
    <t>ORD-2025-10401</t>
  </si>
  <si>
    <t>ORD-2025-10402</t>
  </si>
  <si>
    <t>ORD-2025-10407</t>
  </si>
  <si>
    <t>ORD-2025-10409</t>
  </si>
  <si>
    <t>ORD-2025-10410</t>
  </si>
  <si>
    <t>ORD-2025-10412</t>
  </si>
  <si>
    <t>ORD-2025-10414</t>
  </si>
  <si>
    <t>ORD-2025-10417</t>
  </si>
  <si>
    <t>ORD-2025-10418</t>
  </si>
  <si>
    <t>ORD-2025-10420</t>
  </si>
  <si>
    <t>ORD-2025-10421</t>
  </si>
  <si>
    <t>ORD-2025-10422</t>
  </si>
  <si>
    <t>ORD-2025-10423</t>
  </si>
  <si>
    <t>ORD-2025-10428</t>
  </si>
  <si>
    <t>ORD-2025-10429</t>
  </si>
  <si>
    <t>ORD-2025-10430</t>
  </si>
  <si>
    <t>ORD-2025-10435</t>
  </si>
  <si>
    <t>ORD-2025-10436</t>
  </si>
  <si>
    <t>ORD-2025-10439</t>
  </si>
  <si>
    <t>ORD-2025-10440</t>
  </si>
  <si>
    <t>ORD-2025-10443</t>
  </si>
  <si>
    <t>ORD-2025-10445</t>
  </si>
  <si>
    <t>ORD-2025-10447</t>
  </si>
  <si>
    <t>ORD-2025-10448</t>
  </si>
  <si>
    <t>ORD-2025-10451</t>
  </si>
  <si>
    <t>ORD-2025-10454</t>
  </si>
  <si>
    <t>ORD-2025-10455</t>
  </si>
  <si>
    <t>ORD-2025-10461</t>
  </si>
  <si>
    <t>ORD-2025-10462</t>
  </si>
  <si>
    <t>ORD-2025-10464</t>
  </si>
  <si>
    <t>ORD-2025-10465</t>
  </si>
  <si>
    <t>ORD-2025-10469</t>
  </si>
  <si>
    <t>ORD-2025-10476</t>
  </si>
  <si>
    <t>ORD-2025-10478</t>
  </si>
  <si>
    <t>ORD-2025-10481</t>
  </si>
  <si>
    <t>ORD-2025-10482</t>
  </si>
  <si>
    <t>ORD-2025-10486</t>
  </si>
  <si>
    <t>ORD-2025-10487</t>
  </si>
  <si>
    <t>ORD-2025-10488</t>
  </si>
  <si>
    <t>ORD-2025-10492</t>
  </si>
  <si>
    <t>ORD-2025-10493</t>
  </si>
  <si>
    <t>ORD-2025-10494</t>
  </si>
  <si>
    <t>ORD-2025-10497</t>
  </si>
  <si>
    <t>ORD-2025-10499</t>
  </si>
  <si>
    <t>ORD-2025-10505</t>
  </si>
  <si>
    <t>ORD-2025-10508</t>
  </si>
  <si>
    <t>ORD-2025-10510</t>
  </si>
  <si>
    <t>ORD-2025-10513</t>
  </si>
  <si>
    <t>ORD-2025-10514</t>
  </si>
  <si>
    <t>ORD-2025-10516</t>
  </si>
  <si>
    <t>ORD-2025-10518</t>
  </si>
  <si>
    <t>ORD-2025-10519</t>
  </si>
  <si>
    <t>ORD-2025-10520</t>
  </si>
  <si>
    <t>ORD-2025-10522</t>
  </si>
  <si>
    <t>ORD-2025-10523</t>
  </si>
  <si>
    <t>ORD-2025-10527</t>
  </si>
  <si>
    <t>ORD-2025-10528</t>
  </si>
  <si>
    <t>ORD-2025-10531</t>
  </si>
  <si>
    <t>ORD-2025-10533</t>
  </si>
  <si>
    <t>ORD-2025-10535</t>
  </si>
  <si>
    <t>ORD-2025-10537</t>
  </si>
  <si>
    <t>ORD-2025-10540</t>
  </si>
  <si>
    <t>ORD-2025-10542</t>
  </si>
  <si>
    <t>ORD-2025-10545</t>
  </si>
  <si>
    <t>ORD-2025-10547</t>
  </si>
  <si>
    <t>ORD-2025-10550</t>
  </si>
  <si>
    <t>ORD-2025-10553</t>
  </si>
  <si>
    <t>ORD-2025-10554</t>
  </si>
  <si>
    <t>ORD-2025-10556</t>
  </si>
  <si>
    <t>ORD-2025-10559</t>
  </si>
  <si>
    <t>ORD-2025-10560</t>
  </si>
  <si>
    <t>ORD-2025-10562</t>
  </si>
  <si>
    <t>ORD-2025-10566</t>
  </si>
  <si>
    <t>ORD-2025-10570</t>
  </si>
  <si>
    <t>ORD-2025-10571</t>
  </si>
  <si>
    <t>ORD-2025-10572</t>
  </si>
  <si>
    <t>ORD-2025-10574</t>
  </si>
  <si>
    <t>ORD-2025-10576</t>
  </si>
  <si>
    <t>ORD-2025-10578</t>
  </si>
  <si>
    <t>ORD-2025-10581</t>
  </si>
  <si>
    <t>ORD-2025-10582</t>
  </si>
  <si>
    <t>ORD-2025-10586</t>
  </si>
  <si>
    <t>ORD-2025-10587</t>
  </si>
  <si>
    <t>ORD-2025-10588</t>
  </si>
  <si>
    <t>ORD-2025-10589</t>
  </si>
  <si>
    <t>ORD-2025-10594</t>
  </si>
  <si>
    <t>ORD-2025-10596</t>
  </si>
  <si>
    <t>ORD-2025-10598</t>
  </si>
  <si>
    <t>ORD-2025-10601</t>
  </si>
  <si>
    <t>ORD-2025-10604</t>
  </si>
  <si>
    <t>ORD-2025-10605</t>
  </si>
  <si>
    <t>ORD-2025-10606</t>
  </si>
  <si>
    <t>ORD-2025-10607</t>
  </si>
  <si>
    <t>ORD-2025-10608</t>
  </si>
  <si>
    <t>ORD-2025-10610</t>
  </si>
  <si>
    <t>ORD-2025-10612</t>
  </si>
  <si>
    <t>ORD-2025-10613</t>
  </si>
  <si>
    <t>ORD-2025-10623</t>
  </si>
  <si>
    <t>ORD-2025-10627</t>
  </si>
  <si>
    <t>ORD-2025-10628</t>
  </si>
  <si>
    <t>ORD-2025-10629</t>
  </si>
  <si>
    <t>ORD-2025-10630</t>
  </si>
  <si>
    <t>ORD-2025-10633</t>
  </si>
  <si>
    <t>ORD-2025-10634</t>
  </si>
  <si>
    <t>ORD-2025-10635</t>
  </si>
  <si>
    <t>ORD-2025-10641</t>
  </si>
  <si>
    <t>ORD-2025-10642</t>
  </si>
  <si>
    <t>ORD-2025-10645</t>
  </si>
  <si>
    <t>ORD-2025-10648</t>
  </si>
  <si>
    <t>ORD-2025-10650</t>
  </si>
  <si>
    <t>ORD-2025-10652</t>
  </si>
  <si>
    <t>ORD-2025-10653</t>
  </si>
  <si>
    <t>ORD-2025-10654</t>
  </si>
  <si>
    <t>ORD-2025-10655</t>
  </si>
  <si>
    <t>ORD-2025-10656</t>
  </si>
  <si>
    <t>ORD-2025-10658</t>
  </si>
  <si>
    <t>ORD-2025-10659</t>
  </si>
  <si>
    <t>ORD-2025-10660</t>
  </si>
  <si>
    <t>ORD-2025-10661</t>
  </si>
  <si>
    <t>ORD-2025-10666</t>
  </si>
  <si>
    <t>ORD-2025-10668</t>
  </si>
  <si>
    <t>ORD-2025-10671</t>
  </si>
  <si>
    <t>ORD-2025-10674</t>
  </si>
  <si>
    <t>ORD-2025-10676</t>
  </si>
  <si>
    <t>ORD-2025-10677</t>
  </si>
  <si>
    <t>ORD-2025-10680</t>
  </si>
  <si>
    <t>ORD-2025-10683</t>
  </si>
  <si>
    <t>ORD-2025-10684</t>
  </si>
  <si>
    <t>ORD-2025-10685</t>
  </si>
  <si>
    <t>ORD-2025-10686</t>
  </si>
  <si>
    <t>ORD-2025-10688</t>
  </si>
  <si>
    <t>ORD-2025-10689</t>
  </si>
  <si>
    <t>ORD-2025-10693</t>
  </si>
  <si>
    <t>ORD-2025-10694</t>
  </si>
  <si>
    <t>ORD-2025-10695</t>
  </si>
  <si>
    <t>ORD-2025-10697</t>
  </si>
  <si>
    <t>ORD-2025-10698</t>
  </si>
  <si>
    <t>ORD-2025-10703</t>
  </si>
  <si>
    <t>ORD-2025-10708</t>
  </si>
  <si>
    <t>ORD-2025-10709</t>
  </si>
  <si>
    <t>ORD-2025-10710</t>
  </si>
  <si>
    <t>ORD-2025-10712</t>
  </si>
  <si>
    <t>ORD-2025-10714</t>
  </si>
  <si>
    <t>ORD-2025-10715</t>
  </si>
  <si>
    <t>ORD-2025-10716</t>
  </si>
  <si>
    <t>ORD-2025-10717</t>
  </si>
  <si>
    <t>ORD-2025-10718</t>
  </si>
  <si>
    <t>ORD-2025-10720</t>
  </si>
  <si>
    <t>ORD-2025-10722</t>
  </si>
  <si>
    <t>ORD-2025-10724</t>
  </si>
  <si>
    <t>ORD-2025-10726</t>
  </si>
  <si>
    <t>ORD-2025-10730</t>
  </si>
  <si>
    <t>ORD-2025-10731</t>
  </si>
  <si>
    <t>ORD-2025-10739</t>
  </si>
  <si>
    <t>ORD-2025-10742</t>
  </si>
  <si>
    <t>ORD-2025-10744</t>
  </si>
  <si>
    <t>ORD-2025-10745</t>
  </si>
  <si>
    <t>ORD-2025-10747</t>
  </si>
  <si>
    <t>ORD-2025-10751</t>
  </si>
  <si>
    <t>ORD-2025-10752</t>
  </si>
  <si>
    <t>ORD-2025-10755</t>
  </si>
  <si>
    <t>ORD-2025-10756</t>
  </si>
  <si>
    <t>ORD-2025-10758</t>
  </si>
  <si>
    <t>ORD-2025-10762</t>
  </si>
  <si>
    <t>ORD-2025-10764</t>
  </si>
  <si>
    <t>ORD-2025-10765</t>
  </si>
  <si>
    <t>ORD-2025-10766</t>
  </si>
  <si>
    <t>ORD-2025-10769</t>
  </si>
  <si>
    <t>ORD-2025-10773</t>
  </si>
  <si>
    <t>ORD-2025-10774</t>
  </si>
  <si>
    <t>ORD-2025-10775</t>
  </si>
  <si>
    <t>ORD-2025-10777</t>
  </si>
  <si>
    <t>ORD-2025-10783</t>
  </si>
  <si>
    <t>ORD-2025-10785</t>
  </si>
  <si>
    <t>ORD-2025-10787</t>
  </si>
  <si>
    <t>ORD-2025-10790</t>
  </si>
  <si>
    <t>ORD-2025-10793</t>
  </si>
  <si>
    <t>ORD-2025-10795</t>
  </si>
  <si>
    <t>ORD-2025-10799</t>
  </si>
  <si>
    <t>ORD-2025-10802</t>
  </si>
  <si>
    <t>ORD-2025-10803</t>
  </si>
  <si>
    <t>ORD-2025-10805</t>
  </si>
  <si>
    <t>ORD-2025-10806</t>
  </si>
  <si>
    <t>ORD-2025-10808</t>
  </si>
  <si>
    <t>ORD-2025-10809</t>
  </si>
  <si>
    <t>ORD-2025-10810</t>
  </si>
  <si>
    <t>ORD-2025-10814</t>
  </si>
  <si>
    <t>ORD-2025-10815</t>
  </si>
  <si>
    <t>ORD-2025-10818</t>
  </si>
  <si>
    <t>ORD-2025-10821</t>
  </si>
  <si>
    <t>ORD-2025-10824</t>
  </si>
  <si>
    <t>ORD-2025-10825</t>
  </si>
  <si>
    <t>ORD-2025-10826</t>
  </si>
  <si>
    <t>ORD-2025-10827</t>
  </si>
  <si>
    <t>ORD-2025-10829</t>
  </si>
  <si>
    <t>ORD-2025-10831</t>
  </si>
  <si>
    <t>ORD-2025-10832</t>
  </si>
  <si>
    <t>ORD-2025-10833</t>
  </si>
  <si>
    <t>ORD-2025-10836</t>
  </si>
  <si>
    <t>ORD-2025-10838</t>
  </si>
  <si>
    <t>ORD-2025-10839</t>
  </si>
  <si>
    <t>ORD-2025-10841</t>
  </si>
  <si>
    <t>ORD-2025-10842</t>
  </si>
  <si>
    <t>ORD-2025-10844</t>
  </si>
  <si>
    <t>ORD-2025-10845</t>
  </si>
  <si>
    <t>ORD-2025-10848</t>
  </si>
  <si>
    <t>ORD-2025-10849</t>
  </si>
  <si>
    <t>ORD-2025-10854</t>
  </si>
  <si>
    <t>ORD-2025-10855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</si>
  <si>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</si>
  <si>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</si>
  <si>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</si>
  <si>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</si>
  <si>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</si>
  <si>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</si>
  <si>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ORD-2025-10869</t>
  </si>
  <si>
    <t>ORD-2025-10870</t>
  </si>
  <si>
    <t>ORD-2025-10871</t>
  </si>
  <si>
    <t>ORD-2025-10874</t>
  </si>
  <si>
    <t>ORD-2025-10875</t>
  </si>
  <si>
    <t>ORD-2025-10878</t>
  </si>
  <si>
    <t>ORD-2025-10880</t>
  </si>
  <si>
    <t>ORD-2025-10883</t>
  </si>
  <si>
    <t>ORD-2025-10884</t>
  </si>
  <si>
    <t>ORD-2025-10885</t>
  </si>
  <si>
    <t>ORD-2025-10887</t>
  </si>
  <si>
    <t>ORD-2025-10889</t>
  </si>
  <si>
    <t>ORD-2025-10890</t>
  </si>
  <si>
    <t>ORD-2025-10893</t>
  </si>
  <si>
    <t>ORD-2025-10898</t>
  </si>
  <si>
    <t>ORD-2025-10900</t>
  </si>
  <si>
    <t>duplicate_conflict_flag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</si>
</sst>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₹&quot;* #,##0.00_);_(&quot;₹&quot;* \(#,##0.00\);_(&quot;₹&quot;* &quot;-&quot;??_);_(@_)"/>
    <numFmt numFmtId="164" formatCode="yyyy\-mm\-dd;@"/>
    <numFmt numFmtId="172" formatCode="&quot;₹&quot;#,##0.00"/>
  </numFmts>
  <fonts count="8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Carlito"/>
    </font>
    <font>
      <sz val="12"/>
      <color rgb="FF9C0006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FFFF"/>
      <name val="Calibri"/>
      <family val="2"/>
    </font>
    <font>
      <sz val="11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C7CE"/>
      </patternFill>
    </fill>
    <fill>
      <patternFill patternType="solid">
        <fgColor theme="8"/>
      </patternFill>
    </fill>
    <fill>
      <patternFill patternType="solid">
        <fgColor rgb="FF244062"/>
        <bgColor rgb="FF000000"/>
      </patternFill>
    </fill>
    <fill>
      <patternFill patternType="solid">
        <fgColor rgb="FFA02B93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9" fontId="0" fillId="0" borderId="0" xfId="1" applyFont="1"/>
    <xf numFmtId="10" fontId="0" fillId="0" borderId="0" xfId="1" applyNumberFormat="1" applyFont="1"/>
    <xf numFmtId="10" fontId="1" fillId="2" borderId="0" xfId="1" applyNumberFormat="1" applyFont="1" applyFill="1" applyAlignment="1">
      <alignment horizontal="center" vertical="center" wrapText="1"/>
    </xf>
    <xf numFmtId="0" fontId="4" fillId="3" borderId="0" xfId="2"/>
    <xf numFmtId="0" fontId="5" fillId="4" borderId="0" xfId="3"/>
    <xf numFmtId="0" fontId="1" fillId="5" borderId="0" xfId="0" applyFont="1" applyFill="1" applyAlignment="1">
      <alignment horizontal="center" vertical="center" wrapText="1"/>
    </xf>
    <xf numFmtId="0" fontId="6" fillId="6" borderId="0" xfId="0" applyFont="1" applyFill="1"/>
    <xf numFmtId="44" fontId="1" fillId="2" borderId="0" xfId="0" applyNumberFormat="1" applyFont="1" applyFill="1" applyAlignment="1">
      <alignment horizontal="center" vertical="center" wrapText="1"/>
    </xf>
    <xf numFmtId="44" fontId="0" fillId="0" borderId="0" xfId="0" applyNumberFormat="1"/>
    <xf numFmtId="44" fontId="0" fillId="0" borderId="0" xfId="1" applyNumberFormat="1" applyFont="1"/>
    <xf numFmtId="44" fontId="7" fillId="0" borderId="0" xfId="0" applyNumberFormat="1" applyFont="1" applyFill="1"/>
    <xf numFmtId="172" fontId="1" fillId="2" borderId="0" xfId="0" applyNumberFormat="1" applyFont="1" applyFill="1" applyAlignment="1">
      <alignment horizontal="center" vertical="center" wrapText="1"/>
    </xf>
    <xf numFmtId="172" fontId="0" fillId="0" borderId="0" xfId="0" applyNumberFormat="1"/>
  </cellXfs>
  <cellStyles count="4">
    <cellStyle name="Accent5" xfId="3" builtinId="45"/>
    <cellStyle name="Bad" xfId="2" builtinId="27"/>
    <cellStyle name="Normal" xfId="0" builtinId="0"/>
    <cellStyle name="Per 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476263</xdr:colOff>
      <xdr:row>5</xdr:row>
      <xdr:rowOff>10414</xdr:rowOff>
    </xdr:from>
    <xdr:to>
      <xdr:col>11</xdr:col>
      <xdr:colOff>476623</xdr:colOff>
      <xdr:row>5</xdr:row>
      <xdr:rowOff>10414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B765823-1C93-551F-B07F-E7390103C660}"/>
                </a:ext>
              </a:extLst>
            </xdr14:cNvPr>
            <xdr14:cNvContentPartPr/>
          </xdr14:nvContentPartPr>
          <xdr14:nvPr macro=""/>
          <xdr14:xfrm>
            <a:off x="16499880" y="11858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B765823-1C93-551F-B07F-E7390103C66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490880" y="1177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02:19:12.4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76"/>
  <sheetViews>
    <sheetView tabSelected="1" topLeftCell="P1" zoomScale="94" workbookViewId="0">
      <selection activeCell="Z1" sqref="Z1:Z1048576"/>
    </sheetView>
  </sheetViews>
  <sheetFormatPr baseColWidth="10" defaultColWidth="8.83203125" defaultRowHeight="14"/>
  <cols>
    <col min="1" max="4" width="16" customWidth="1"/>
    <col min="5" max="5" width="32" customWidth="1"/>
    <col min="6" max="7" width="17.33203125" customWidth="1"/>
    <col min="8" max="18" width="16" customWidth="1"/>
    <col min="19" max="19" width="16" style="15" customWidth="1"/>
    <col min="20" max="20" width="16.83203125" style="4" customWidth="1"/>
    <col min="21" max="21" width="16.83203125" customWidth="1"/>
    <col min="22" max="26" width="16" style="11" customWidth="1"/>
    <col min="27" max="28" width="16" customWidth="1"/>
    <col min="29" max="29" width="17.5" customWidth="1"/>
    <col min="30" max="30" width="29.33203125" customWidth="1"/>
    <col min="31" max="31" width="17" customWidth="1"/>
    <col min="32" max="32" width="58.33203125" customWidth="1"/>
    <col min="33" max="33" width="20.33203125" customWidth="1"/>
  </cols>
  <sheetData>
    <row r="1" spans="1:33" ht="37.25" customHeight="1">
      <c r="A1" s="1" t="s">
        <v>0</v>
      </c>
      <c r="B1" s="2" t="s">
        <v>1</v>
      </c>
      <c r="C1" s="1" t="s">
        <v>2</v>
      </c>
      <c r="D1" s="1" t="s">
        <v>2960</v>
      </c>
      <c r="E1" s="1" t="s">
        <v>2961</v>
      </c>
      <c r="F1" s="1" t="s">
        <v>2962</v>
      </c>
      <c r="G1" s="1" t="s">
        <v>2963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4" t="s">
        <v>14</v>
      </c>
      <c r="T1" s="5" t="s">
        <v>2965</v>
      </c>
      <c r="U1" s="1" t="s">
        <v>2968</v>
      </c>
      <c r="V1" s="10" t="s">
        <v>15</v>
      </c>
      <c r="W1" s="10" t="s">
        <v>2964</v>
      </c>
      <c r="X1" s="10" t="s">
        <v>16</v>
      </c>
      <c r="Y1" s="10" t="s">
        <v>17</v>
      </c>
      <c r="Z1" s="10" t="s">
        <v>2966</v>
      </c>
      <c r="AA1" s="1" t="s">
        <v>2967</v>
      </c>
      <c r="AB1" s="1" t="s">
        <v>18</v>
      </c>
      <c r="AC1" s="1" t="s">
        <v>19</v>
      </c>
      <c r="AD1" s="1" t="s">
        <v>2969</v>
      </c>
      <c r="AE1" s="1" t="s">
        <v>2971</v>
      </c>
      <c r="AF1" s="1" t="s">
        <v>2972</v>
      </c>
      <c r="AG1" s="1" t="s">
        <v>3387</v>
      </c>
    </row>
    <row r="2" spans="1:33">
      <c r="A2" t="s">
        <v>20</v>
      </c>
      <c r="B2" t="s">
        <v>2671</v>
      </c>
      <c r="C2" t="s">
        <v>2679</v>
      </c>
      <c r="D2">
        <f>IF(OR(B2="", C2=""), "", (C2 - B2))</f>
        <v>6</v>
      </c>
      <c r="E2" t="str">
        <f>IF(C2&lt;B2, "INVALID: Ship date before order date", "")</f>
        <v/>
      </c>
      <c r="F2" t="str">
        <f>IF(B2="", "", TEXT(B2, "mmmm"))</f>
        <v>July</v>
      </c>
      <c r="G2">
        <f>IF(B2="", "", YEAR(B2))</f>
        <v>2024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8</v>
      </c>
      <c r="S2" s="15">
        <v>2976.45</v>
      </c>
      <c r="T2" s="4">
        <v>0.2</v>
      </c>
      <c r="U2" s="3" t="str">
        <f>IF(T2&lt;0, "negative_discount", IF(AND(T2&gt;0.5, T2&lt;=1), "high_discount", ""))</f>
        <v/>
      </c>
      <c r="V2" s="11">
        <v>19049.28</v>
      </c>
      <c r="W2" s="12">
        <v>19049.28</v>
      </c>
      <c r="X2" s="11">
        <v>15841.89</v>
      </c>
      <c r="Y2" s="11">
        <v>3207.39</v>
      </c>
      <c r="Z2" s="11">
        <f>ROUND(W2-X2,2)</f>
        <v>3207.39</v>
      </c>
      <c r="AA2" s="4">
        <f>IF(W2=0,0,Z2/W2)</f>
        <v>0.16837329284886357</v>
      </c>
      <c r="AB2" t="s">
        <v>31</v>
      </c>
      <c r="AC2" t="s">
        <v>32</v>
      </c>
      <c r="AD2" t="str">
        <f>IF(AND(E2="", T2&gt;=0, T2&lt;=0.5, K2&lt;&gt;"Unknown", Q2&lt;&gt;"Unknown"), "CLEAN", _xlfn.CONCAT("WARNING: ", IF(E2&lt;&gt;"","invalid_date",""), IF(T2&lt;0,"negative_discount",""), IF(AND(T2&gt;0.5,T2&lt;=1),"high_discount",""), IF(K2="Unknown","missing_region",""), IF(Q2="Unknown","missing_ship_mode","")))</f>
        <v>CLEAN</v>
      </c>
      <c r="AE2" t="str">
        <f>IF(COUNTIF($AF$2:$AF$926,AF2)&gt;1,"DUPLICATE","UNIQUE")</f>
        <v>UNIQUE</v>
      </c>
      <c r="AF2" t="str">
        <f>A2&amp;"|"&amp;B2&amp;"|"&amp;H2&amp;"|"&amp;I2&amp;"|"&amp;R2&amp;"|"&amp;S2&amp;"|"&amp;V2</f>
        <v>ORD-2024-10001|2024-07-21|CUST-4655|Karan Malhotra|8|2976.45|19049.28</v>
      </c>
      <c r="AG2" t="str">
        <f>IF(COUNTIF($A$2:$A$913,A2)&gt;1,"TRUE","FALSE")</f>
        <v>FALSE</v>
      </c>
    </row>
    <row r="3" spans="1:33">
      <c r="A3" t="s">
        <v>33</v>
      </c>
      <c r="B3" t="s">
        <v>2672</v>
      </c>
      <c r="C3" t="s">
        <v>2061</v>
      </c>
      <c r="D3">
        <f>IF(OR(B3="", C3=""), "", (C3 - B3))</f>
        <v>5</v>
      </c>
      <c r="E3" t="str">
        <f>IF(C3&lt;B3, "INVALID: Ship date before order date", "")</f>
        <v/>
      </c>
      <c r="F3" t="str">
        <f>IF(B3="", "", TEXT(B3, "mmmm"))</f>
        <v>August</v>
      </c>
      <c r="G3">
        <f>IF(B3="", "", YEAR(B3))</f>
        <v>2024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>
        <v>3</v>
      </c>
      <c r="S3" s="15">
        <v>2437.5</v>
      </c>
      <c r="T3" s="4">
        <v>0</v>
      </c>
      <c r="U3" s="3" t="str">
        <f>IF(T3&lt;0, "negative_discount", IF(AND(T3&gt;0.5, T3&lt;=1), "high_discount", ""))</f>
        <v/>
      </c>
      <c r="V3" s="11">
        <v>7312.5</v>
      </c>
      <c r="W3" s="12">
        <v>7312.5</v>
      </c>
      <c r="X3" s="11">
        <v>4904.7299999999996</v>
      </c>
      <c r="Y3" s="11">
        <v>2407.77</v>
      </c>
      <c r="Z3" s="11">
        <f>ROUND(W3-X3,2)</f>
        <v>2407.77</v>
      </c>
      <c r="AA3" s="4">
        <f>IF(W3=0,0,Z3/W3)</f>
        <v>0.32926769230769232</v>
      </c>
      <c r="AB3" t="s">
        <v>31</v>
      </c>
      <c r="AC3" t="s">
        <v>32</v>
      </c>
      <c r="AD3" t="str">
        <f>IF(AND(E3="", T3&gt;=0, T3&lt;=0.5, K3&lt;&gt;"Unknown", Q3&lt;&gt;"Unknown"), "CLEAN", _xlfn.CONCAT("WARNING: ", IF(E3&lt;&gt;"","invalid_date",""), IF(T3&lt;0,"negative_discount",""), IF(AND(T3&gt;0.5,T3&lt;=1),"high_discount",""), IF(K3="Unknown","missing_region",""), IF(Q3="Unknown","missing_ship_mode","")))</f>
        <v>CLEAN</v>
      </c>
      <c r="AE3" t="str">
        <f>IF(COUNTIF($AF$2:$AF$926,AF3)&gt;1,"DUPLICATE","UNIQUE")</f>
        <v>UNIQUE</v>
      </c>
      <c r="AF3" t="str">
        <f>A3&amp;"|"&amp;B3&amp;"|"&amp;H3&amp;"|"&amp;I3&amp;"|"&amp;R3&amp;"|"&amp;S3&amp;"|"&amp;V3</f>
        <v>ORD-2024-10002|2024-08-31|CUST-2054|Mira Das|3|2437.5|7312.5</v>
      </c>
      <c r="AG3" t="str">
        <f>IF(COUNTIF($A$2:$A$913,A3)&gt;1,"TRUE","FALSE")</f>
        <v>FALSE</v>
      </c>
    </row>
    <row r="4" spans="1:33">
      <c r="A4" t="s">
        <v>44</v>
      </c>
      <c r="B4" t="s">
        <v>2673</v>
      </c>
      <c r="C4" t="s">
        <v>548</v>
      </c>
      <c r="D4">
        <f>IF(OR(B4="", C4=""), "", (C4 - B4))</f>
        <v>7</v>
      </c>
      <c r="E4" t="str">
        <f>IF(C4&lt;B4, "INVALID: Ship date before order date", "")</f>
        <v/>
      </c>
      <c r="F4" t="str">
        <f>IF(B4="", "", TEXT(B4, "mmmm"))</f>
        <v>June</v>
      </c>
      <c r="G4">
        <f>IF(B4="", "", YEAR(B4))</f>
        <v>2024</v>
      </c>
      <c r="H4" t="s">
        <v>45</v>
      </c>
      <c r="I4" t="s">
        <v>46</v>
      </c>
      <c r="J4" t="s">
        <v>23</v>
      </c>
      <c r="K4" t="s">
        <v>37</v>
      </c>
      <c r="L4" t="s">
        <v>38</v>
      </c>
      <c r="M4" t="s">
        <v>39</v>
      </c>
      <c r="N4" t="s">
        <v>27</v>
      </c>
      <c r="O4" t="s">
        <v>47</v>
      </c>
      <c r="P4" t="s">
        <v>48</v>
      </c>
      <c r="Q4" t="s">
        <v>49</v>
      </c>
      <c r="R4">
        <v>4</v>
      </c>
      <c r="S4" s="15">
        <v>1065.43</v>
      </c>
      <c r="T4" s="4">
        <v>0.55000000000000004</v>
      </c>
      <c r="U4" s="3" t="str">
        <f>IF(T4&lt;0, "negative_discount", IF(AND(T4&gt;0.5, T4&lt;=1), "high_discount", ""))</f>
        <v>high_discount</v>
      </c>
      <c r="V4" s="11">
        <v>4261.72</v>
      </c>
      <c r="W4" s="12">
        <v>1917.77</v>
      </c>
      <c r="X4" s="11">
        <v>2465.69</v>
      </c>
      <c r="Y4" s="11">
        <v>1796.03</v>
      </c>
      <c r="Z4" s="13">
        <f>ROUND(W4-X4,2)</f>
        <v>-547.91999999999996</v>
      </c>
      <c r="AA4" s="4">
        <f>IF(W4=0,0,Z4/W4)</f>
        <v>-0.28570683658624335</v>
      </c>
      <c r="AB4" t="s">
        <v>31</v>
      </c>
      <c r="AC4" t="s">
        <v>32</v>
      </c>
      <c r="AD4" t="str">
        <f>IF(AND(E4="", T4&gt;=0, T4&lt;=0.5, K4&lt;&gt;"Unknown", Q4&lt;&gt;"Unknown"), "CLEAN", _xlfn.CONCAT("WARNING: ", IF(E4&lt;&gt;"","invalid_date",""), IF(T4&lt;0,"negative_discount",""), IF(AND(T4&gt;0.5,T4&lt;=1),"high_discount",""), IF(K4="Unknown","missing_region",""), IF(Q4="Unknown","missing_ship_mode","")))</f>
        <v>WARNING: high_discount</v>
      </c>
      <c r="AE4" t="str">
        <f>IF(COUNTIF($AF$2:$AF$926,AF4)&gt;1,"DUPLICATE","UNIQUE")</f>
        <v>UNIQUE</v>
      </c>
      <c r="AF4" t="str">
        <f>A4&amp;"|"&amp;B4&amp;"|"&amp;H4&amp;"|"&amp;I4&amp;"|"&amp;R4&amp;"|"&amp;S4&amp;"|"&amp;V4</f>
        <v>ORD-2024-10003|2024-06-08|CUST-6843|Isha Nair|4|1065.43|4261.72</v>
      </c>
      <c r="AG4" t="str">
        <f>IF(COUNTIF($A$2:$A$913,A4)&gt;1,"TRUE","FALSE")</f>
        <v>FALSE</v>
      </c>
    </row>
    <row r="5" spans="1:33">
      <c r="A5" t="s">
        <v>50</v>
      </c>
      <c r="B5" t="s">
        <v>2219</v>
      </c>
      <c r="C5" t="s">
        <v>2897</v>
      </c>
      <c r="D5">
        <f>IF(OR(B5="", C5=""), "", (C5 - B5))</f>
        <v>1</v>
      </c>
      <c r="E5" t="str">
        <f>IF(C5&lt;B5, "INVALID: Ship date before order date", "")</f>
        <v/>
      </c>
      <c r="F5" t="str">
        <f>IF(B5="", "", TEXT(B5, "mmmm"))</f>
        <v>November</v>
      </c>
      <c r="G5">
        <f>IF(B5="", "", YEAR(B5))</f>
        <v>2024</v>
      </c>
      <c r="H5" t="s">
        <v>51</v>
      </c>
      <c r="I5" t="s">
        <v>52</v>
      </c>
      <c r="J5" t="s">
        <v>36</v>
      </c>
      <c r="K5" t="s">
        <v>53</v>
      </c>
      <c r="L5" t="s">
        <v>54</v>
      </c>
      <c r="M5" t="s">
        <v>55</v>
      </c>
      <c r="N5" t="s">
        <v>40</v>
      </c>
      <c r="O5" t="s">
        <v>56</v>
      </c>
      <c r="P5" t="s">
        <v>57</v>
      </c>
      <c r="Q5" t="s">
        <v>58</v>
      </c>
      <c r="R5">
        <v>6</v>
      </c>
      <c r="S5" s="15">
        <v>1848.43</v>
      </c>
      <c r="T5" s="4">
        <v>0.25</v>
      </c>
      <c r="U5" s="3" t="str">
        <f>IF(T5&lt;0, "negative_discount", IF(AND(T5&gt;0.5, T5&lt;=1), "high_discount", ""))</f>
        <v/>
      </c>
      <c r="V5" s="11">
        <v>8317.93</v>
      </c>
      <c r="W5" s="12">
        <v>8317.94</v>
      </c>
      <c r="X5" s="11">
        <v>6796.77</v>
      </c>
      <c r="Y5" s="11">
        <v>1521.16</v>
      </c>
      <c r="Z5" s="11">
        <f>ROUND(W5-X5,2)</f>
        <v>1521.17</v>
      </c>
      <c r="AA5" s="4">
        <f>IF(W5=0,0,Z5/W5)</f>
        <v>0.18287821263437823</v>
      </c>
      <c r="AB5" t="s">
        <v>31</v>
      </c>
      <c r="AC5" t="s">
        <v>32</v>
      </c>
      <c r="AD5" t="str">
        <f>IF(AND(E5="", T5&gt;=0, T5&lt;=0.5, K5&lt;&gt;"Unknown", Q5&lt;&gt;"Unknown"), "CLEAN", _xlfn.CONCAT("WARNING: ", IF(E5&lt;&gt;"","invalid_date",""), IF(T5&lt;0,"negative_discount",""), IF(AND(T5&gt;0.5,T5&lt;=1),"high_discount",""), IF(K5="Unknown","missing_region",""), IF(Q5="Unknown","missing_ship_mode","")))</f>
        <v>CLEAN</v>
      </c>
      <c r="AE5" t="str">
        <f>IF(COUNTIF($AF$2:$AF$926,AF5)&gt;1,"DUPLICATE","UNIQUE")</f>
        <v>UNIQUE</v>
      </c>
      <c r="AF5" t="str">
        <f>A5&amp;"|"&amp;B5&amp;"|"&amp;H5&amp;"|"&amp;I5&amp;"|"&amp;R5&amp;"|"&amp;S5&amp;"|"&amp;V5</f>
        <v>ORD-2024-10004|2024-11-28|CUST-3722|Arjun Bose|6|1848.43|8317.93</v>
      </c>
      <c r="AG5" t="str">
        <f>IF(COUNTIF($A$2:$A$913,A5)&gt;1,"TRUE","FALSE")</f>
        <v>FALSE</v>
      </c>
    </row>
    <row r="6" spans="1:33">
      <c r="A6" t="s">
        <v>2973</v>
      </c>
      <c r="B6" t="s">
        <v>2674</v>
      </c>
      <c r="C6" t="s">
        <v>59</v>
      </c>
      <c r="D6">
        <f>IF(OR(B6="", C6=""), "", (C6 - B6))</f>
        <v>3</v>
      </c>
      <c r="E6" t="str">
        <f>IF(C6&lt;B6, "INVALID: Ship date before order date", "")</f>
        <v/>
      </c>
      <c r="F6" t="str">
        <f>IF(B6="", "", TEXT(B6, "mmmm"))</f>
        <v>August</v>
      </c>
      <c r="G6">
        <f>IF(B6="", "", YEAR(B6))</f>
        <v>2025</v>
      </c>
      <c r="H6" t="s">
        <v>60</v>
      </c>
      <c r="I6" t="s">
        <v>61</v>
      </c>
      <c r="J6" t="s">
        <v>36</v>
      </c>
      <c r="K6" t="s">
        <v>62</v>
      </c>
      <c r="L6" t="s">
        <v>63</v>
      </c>
      <c r="M6" t="s">
        <v>64</v>
      </c>
      <c r="N6" t="s">
        <v>40</v>
      </c>
      <c r="O6" t="s">
        <v>65</v>
      </c>
      <c r="P6" t="s">
        <v>66</v>
      </c>
      <c r="Q6" t="s">
        <v>49</v>
      </c>
      <c r="R6">
        <v>7</v>
      </c>
      <c r="S6" s="15">
        <v>2973.76</v>
      </c>
      <c r="T6" s="4">
        <v>0</v>
      </c>
      <c r="U6" s="3" t="str">
        <f>IF(T6&lt;0, "negative_discount", IF(AND(T6&gt;0.5, T6&lt;=1), "high_discount", ""))</f>
        <v/>
      </c>
      <c r="V6" s="11">
        <v>20816.32</v>
      </c>
      <c r="W6" s="12">
        <v>20816.32</v>
      </c>
      <c r="X6" s="11">
        <v>17705.37</v>
      </c>
      <c r="Y6" s="11">
        <v>3110.95</v>
      </c>
      <c r="Z6" s="11">
        <f>ROUND(W6-X6,2)</f>
        <v>3110.95</v>
      </c>
      <c r="AA6" s="4">
        <f>IF(W6=0,0,Z6/W6)</f>
        <v>0.14944764492475135</v>
      </c>
      <c r="AB6" t="s">
        <v>31</v>
      </c>
      <c r="AC6" t="s">
        <v>67</v>
      </c>
      <c r="AD6" t="str">
        <f>IF(AND(E6="", T6&gt;=0, T6&lt;=0.5, K6&lt;&gt;"Unknown", Q6&lt;&gt;"Unknown"), "CLEAN", _xlfn.CONCAT("WARNING: ", IF(E6&lt;&gt;"","invalid_date",""), IF(T6&lt;0,"negative_discount",""), IF(AND(T6&gt;0.5,T6&lt;=1),"high_discount",""), IF(K6="Unknown","missing_region",""), IF(Q6="Unknown","missing_ship_mode","")))</f>
        <v>CLEAN</v>
      </c>
      <c r="AE6" t="str">
        <f>IF(COUNTIF($AF$2:$AF$926,AF6)&gt;1,"DUPLICATE","UNIQUE")</f>
        <v>UNIQUE</v>
      </c>
      <c r="AF6" t="str">
        <f>A6&amp;"|"&amp;B6&amp;"|"&amp;H6&amp;"|"&amp;I6&amp;"|"&amp;R6&amp;"|"&amp;S6&amp;"|"&amp;V6</f>
        <v>ORD-2025-10005|2025-08-29|CUST-8130|Ananya Rao|7|2973.76|20816.32</v>
      </c>
      <c r="AG6" t="str">
        <f>IF(COUNTIF($A$2:$A$913,A6)&gt;1,"TRUE","FALSE")</f>
        <v>FALSE</v>
      </c>
    </row>
    <row r="7" spans="1:33">
      <c r="A7" t="s">
        <v>68</v>
      </c>
      <c r="B7" t="s">
        <v>69</v>
      </c>
      <c r="C7" t="s">
        <v>2748</v>
      </c>
      <c r="D7">
        <f>IF(OR(B7="", C7=""), "", (C7 - B7))</f>
        <v>4</v>
      </c>
      <c r="E7" t="str">
        <f>IF(C7&lt;B7, "INVALID: Ship date before order date", "")</f>
        <v/>
      </c>
      <c r="F7" t="str">
        <f>IF(B7="", "", TEXT(B7, "mmmm"))</f>
        <v>May</v>
      </c>
      <c r="G7">
        <f>IF(B7="", "", YEAR(B7))</f>
        <v>2024</v>
      </c>
      <c r="H7" t="s">
        <v>70</v>
      </c>
      <c r="I7" t="s">
        <v>71</v>
      </c>
      <c r="J7" t="s">
        <v>36</v>
      </c>
      <c r="K7" t="s">
        <v>62</v>
      </c>
      <c r="L7" t="s">
        <v>72</v>
      </c>
      <c r="M7" t="s">
        <v>73</v>
      </c>
      <c r="N7" t="s">
        <v>74</v>
      </c>
      <c r="O7" t="s">
        <v>75</v>
      </c>
      <c r="P7" t="s">
        <v>76</v>
      </c>
      <c r="Q7" t="s">
        <v>43</v>
      </c>
      <c r="R7">
        <v>3</v>
      </c>
      <c r="S7" s="15">
        <v>1053.1099999999999</v>
      </c>
      <c r="T7" s="4">
        <v>0.2</v>
      </c>
      <c r="U7" s="3" t="str">
        <f>IF(T7&lt;0, "negative_discount", IF(AND(T7&gt;0.5, T7&lt;=1), "high_discount", ""))</f>
        <v/>
      </c>
      <c r="V7" s="11">
        <v>2527.46</v>
      </c>
      <c r="W7" s="12">
        <v>2527.46</v>
      </c>
      <c r="X7" s="11">
        <v>1533.58</v>
      </c>
      <c r="Y7" s="11">
        <v>993.88</v>
      </c>
      <c r="Z7" s="11">
        <f>ROUND(W7-X7,2)</f>
        <v>993.88</v>
      </c>
      <c r="AA7" s="4">
        <f>IF(W7=0,0,Z7/W7)</f>
        <v>0.39323273167527872</v>
      </c>
      <c r="AB7" t="s">
        <v>31</v>
      </c>
      <c r="AC7" t="s">
        <v>32</v>
      </c>
      <c r="AD7" t="str">
        <f>IF(AND(E7="", T7&gt;=0, T7&lt;=0.5, K7&lt;&gt;"Unknown", Q7&lt;&gt;"Unknown"), "CLEAN", _xlfn.CONCAT("WARNING: ", IF(E7&lt;&gt;"","invalid_date",""), IF(T7&lt;0,"negative_discount",""), IF(AND(T7&gt;0.5,T7&lt;=1),"high_discount",""), IF(K7="Unknown","missing_region",""), IF(Q7="Unknown","missing_ship_mode","")))</f>
        <v>CLEAN</v>
      </c>
      <c r="AE7" t="str">
        <f>IF(COUNTIF($AF$2:$AF$926,AF7)&gt;1,"DUPLICATE","UNIQUE")</f>
        <v>UNIQUE</v>
      </c>
      <c r="AF7" t="str">
        <f>A7&amp;"|"&amp;B7&amp;"|"&amp;H7&amp;"|"&amp;I7&amp;"|"&amp;R7&amp;"|"&amp;S7&amp;"|"&amp;V7</f>
        <v>ORD-2024-10006|2024-05-24|CUST-6056|Vikram Iyer|3|1053.11|2527.46</v>
      </c>
      <c r="AG7" t="str">
        <f>IF(COUNTIF($A$2:$A$913,A7)&gt;1,"TRUE","FALSE")</f>
        <v>FALSE</v>
      </c>
    </row>
    <row r="8" spans="1:33">
      <c r="A8" t="s">
        <v>2974</v>
      </c>
      <c r="B8" t="s">
        <v>1679</v>
      </c>
      <c r="C8" t="s">
        <v>2697</v>
      </c>
      <c r="D8">
        <f>IF(OR(B8="", C8=""), "", (C8 - B8))</f>
        <v>6</v>
      </c>
      <c r="E8" t="str">
        <f>IF(C8&lt;B8, "INVALID: Ship date before order date", "")</f>
        <v/>
      </c>
      <c r="F8" t="str">
        <f>IF(B8="", "", TEXT(B8, "mmmm"))</f>
        <v>April</v>
      </c>
      <c r="G8">
        <f>IF(B8="", "", YEAR(B8))</f>
        <v>2025</v>
      </c>
      <c r="H8" t="s">
        <v>77</v>
      </c>
      <c r="I8" t="s">
        <v>78</v>
      </c>
      <c r="J8" t="s">
        <v>23</v>
      </c>
      <c r="K8" t="s">
        <v>37</v>
      </c>
      <c r="L8" t="s">
        <v>38</v>
      </c>
      <c r="M8" t="s">
        <v>39</v>
      </c>
      <c r="N8" t="s">
        <v>74</v>
      </c>
      <c r="O8" t="s">
        <v>79</v>
      </c>
      <c r="P8" t="s">
        <v>80</v>
      </c>
      <c r="Q8" t="s">
        <v>58</v>
      </c>
      <c r="R8">
        <v>4</v>
      </c>
      <c r="S8" s="15">
        <v>1719.87</v>
      </c>
      <c r="T8" s="4">
        <v>0.15</v>
      </c>
      <c r="U8" s="3" t="str">
        <f>IF(T8&lt;0, "negative_discount", IF(AND(T8&gt;0.5, T8&lt;=1), "high_discount", ""))</f>
        <v/>
      </c>
      <c r="V8" s="11">
        <v>5847.56</v>
      </c>
      <c r="W8" s="12">
        <v>5847.56</v>
      </c>
      <c r="X8" s="11">
        <v>4727.25</v>
      </c>
      <c r="Y8" s="11">
        <v>1120.31</v>
      </c>
      <c r="Z8" s="11">
        <f>ROUND(W8-X8,2)</f>
        <v>1120.31</v>
      </c>
      <c r="AA8" s="4">
        <f>IF(W8=0,0,Z8/W8)</f>
        <v>0.19158589223539388</v>
      </c>
      <c r="AB8" t="s">
        <v>31</v>
      </c>
      <c r="AC8" t="s">
        <v>32</v>
      </c>
      <c r="AD8" t="str">
        <f>IF(AND(E8="", T8&gt;=0, T8&lt;=0.5, K8&lt;&gt;"Unknown", Q8&lt;&gt;"Unknown"), "CLEAN", _xlfn.CONCAT("WARNING: ", IF(E8&lt;&gt;"","invalid_date",""), IF(T8&lt;0,"negative_discount",""), IF(AND(T8&gt;0.5,T8&lt;=1),"high_discount",""), IF(K8="Unknown","missing_region",""), IF(Q8="Unknown","missing_ship_mode","")))</f>
        <v>CLEAN</v>
      </c>
      <c r="AE8" t="str">
        <f>IF(COUNTIF($AF$2:$AF$926,AF8)&gt;1,"DUPLICATE","UNIQUE")</f>
        <v>UNIQUE</v>
      </c>
      <c r="AF8" t="str">
        <f>A8&amp;"|"&amp;B8&amp;"|"&amp;H8&amp;"|"&amp;I8&amp;"|"&amp;R8&amp;"|"&amp;S8&amp;"|"&amp;V8</f>
        <v>ORD-2025-10007|2025-04-10|CUST-3656|Neha Gupta|4|1719.87|5847.56</v>
      </c>
      <c r="AG8" t="str">
        <f>IF(COUNTIF($A$2:$A$913,A8)&gt;1,"TRUE","FALSE")</f>
        <v>FALSE</v>
      </c>
    </row>
    <row r="9" spans="1:33">
      <c r="A9" t="s">
        <v>2975</v>
      </c>
      <c r="B9" t="s">
        <v>81</v>
      </c>
      <c r="C9" t="s">
        <v>2742</v>
      </c>
      <c r="D9">
        <f>IF(OR(B9="", C9=""), "", (C9 - B9))</f>
        <v>3</v>
      </c>
      <c r="E9" t="str">
        <f>IF(C9&lt;B9, "INVALID: Ship date before order date", "")</f>
        <v/>
      </c>
      <c r="F9" t="str">
        <f>IF(B9="", "", TEXT(B9, "mmmm"))</f>
        <v>February</v>
      </c>
      <c r="G9">
        <f>IF(B9="", "", YEAR(B9))</f>
        <v>2025</v>
      </c>
      <c r="H9" t="s">
        <v>82</v>
      </c>
      <c r="I9" t="s">
        <v>46</v>
      </c>
      <c r="J9" t="s">
        <v>36</v>
      </c>
      <c r="K9" t="s">
        <v>53</v>
      </c>
      <c r="L9" t="s">
        <v>83</v>
      </c>
      <c r="M9" t="s">
        <v>84</v>
      </c>
      <c r="N9" t="s">
        <v>27</v>
      </c>
      <c r="O9" t="s">
        <v>47</v>
      </c>
      <c r="P9" t="s">
        <v>85</v>
      </c>
      <c r="Q9" t="s">
        <v>49</v>
      </c>
      <c r="R9">
        <v>1</v>
      </c>
      <c r="S9" s="15">
        <v>2980.71</v>
      </c>
      <c r="T9" s="4">
        <v>0</v>
      </c>
      <c r="U9" s="3" t="str">
        <f>IF(T9&lt;0, "negative_discount", IF(AND(T9&gt;0.5, T9&lt;=1), "high_discount", ""))</f>
        <v/>
      </c>
      <c r="V9" s="11">
        <v>2980.71</v>
      </c>
      <c r="W9" s="12">
        <v>2980.71</v>
      </c>
      <c r="X9" s="11">
        <v>2357.2199999999998</v>
      </c>
      <c r="Y9" s="11">
        <v>623.49</v>
      </c>
      <c r="Z9" s="11">
        <f>ROUND(W9-X9,2)</f>
        <v>623.49</v>
      </c>
      <c r="AA9" s="4">
        <f>IF(W9=0,0,Z9/W9)</f>
        <v>0.20917499521925983</v>
      </c>
      <c r="AB9" t="s">
        <v>31</v>
      </c>
      <c r="AC9" t="s">
        <v>32</v>
      </c>
      <c r="AD9" t="str">
        <f>IF(AND(E9="", T9&gt;=0, T9&lt;=0.5, K9&lt;&gt;"Unknown", Q9&lt;&gt;"Unknown"), "CLEAN", _xlfn.CONCAT("WARNING: ", IF(E9&lt;&gt;"","invalid_date",""), IF(T9&lt;0,"negative_discount",""), IF(AND(T9&gt;0.5,T9&lt;=1),"high_discount",""), IF(K9="Unknown","missing_region",""), IF(Q9="Unknown","missing_ship_mode","")))</f>
        <v>CLEAN</v>
      </c>
      <c r="AE9" t="str">
        <f>IF(COUNTIF($AF$2:$AF$926,AF9)&gt;1,"DUPLICATE","UNIQUE")</f>
        <v>UNIQUE</v>
      </c>
      <c r="AF9" t="str">
        <f>A9&amp;"|"&amp;B9&amp;"|"&amp;H9&amp;"|"&amp;I9&amp;"|"&amp;R9&amp;"|"&amp;S9&amp;"|"&amp;V9</f>
        <v>ORD-2025-10008|2025-02-23|CUST-4683|Isha Nair|1|2980.71|2980.71</v>
      </c>
      <c r="AG9" t="str">
        <f>IF(COUNTIF($A$2:$A$913,A9)&gt;1,"TRUE","FALSE")</f>
        <v>FALSE</v>
      </c>
    </row>
    <row r="10" spans="1:33">
      <c r="A10" t="s">
        <v>86</v>
      </c>
      <c r="B10" t="s">
        <v>867</v>
      </c>
      <c r="C10" t="s">
        <v>2681</v>
      </c>
      <c r="D10">
        <f>IF(OR(B10="", C10=""), "", (C10 - B10))</f>
        <v>5</v>
      </c>
      <c r="E10" t="str">
        <f>IF(C10&lt;B10, "INVALID: Ship date before order date", "")</f>
        <v/>
      </c>
      <c r="F10" t="str">
        <f>IF(B10="", "", TEXT(B10, "mmmm"))</f>
        <v>November</v>
      </c>
      <c r="G10">
        <f>IF(B10="", "", YEAR(B10))</f>
        <v>2024</v>
      </c>
      <c r="H10" t="s">
        <v>87</v>
      </c>
      <c r="I10" t="s">
        <v>88</v>
      </c>
      <c r="J10" t="s">
        <v>89</v>
      </c>
      <c r="K10" t="s">
        <v>53</v>
      </c>
      <c r="L10" t="s">
        <v>54</v>
      </c>
      <c r="M10" t="s">
        <v>55</v>
      </c>
      <c r="N10" t="s">
        <v>27</v>
      </c>
      <c r="O10" t="s">
        <v>90</v>
      </c>
      <c r="P10" t="s">
        <v>91</v>
      </c>
      <c r="Q10" t="s">
        <v>49</v>
      </c>
      <c r="R10">
        <v>8</v>
      </c>
      <c r="S10" s="15">
        <v>3134.2</v>
      </c>
      <c r="T10" s="4">
        <v>0</v>
      </c>
      <c r="U10" s="3" t="str">
        <f>IF(T10&lt;0, "negative_discount", IF(AND(T10&gt;0.5, T10&lt;=1), "high_discount", ""))</f>
        <v/>
      </c>
      <c r="V10" s="11">
        <v>25073.599999999999</v>
      </c>
      <c r="W10" s="12">
        <v>25073.599999999999</v>
      </c>
      <c r="X10" s="11">
        <v>17347.23</v>
      </c>
      <c r="Y10" s="11">
        <v>7726.37</v>
      </c>
      <c r="Z10" s="11">
        <f>ROUND(W10-X10,2)</f>
        <v>7726.37</v>
      </c>
      <c r="AA10" s="4">
        <f>IF(W10=0,0,Z10/W10)</f>
        <v>0.30814761342607366</v>
      </c>
      <c r="AB10" t="s">
        <v>31</v>
      </c>
      <c r="AC10" t="s">
        <v>32</v>
      </c>
      <c r="AD10" t="str">
        <f>IF(AND(E10="", T10&gt;=0, T10&lt;=0.5, K10&lt;&gt;"Unknown", Q10&lt;&gt;"Unknown"), "CLEAN", _xlfn.CONCAT("WARNING: ", IF(E10&lt;&gt;"","invalid_date",""), IF(T10&lt;0,"negative_discount",""), IF(AND(T10&gt;0.5,T10&lt;=1),"high_discount",""), IF(K10="Unknown","missing_region",""), IF(Q10="Unknown","missing_ship_mode","")))</f>
        <v>CLEAN</v>
      </c>
      <c r="AE10" t="str">
        <f>IF(COUNTIF($AF$2:$AF$926,AF10)&gt;1,"DUPLICATE","UNIQUE")</f>
        <v>UNIQUE</v>
      </c>
      <c r="AF10" t="str">
        <f>A10&amp;"|"&amp;B10&amp;"|"&amp;H10&amp;"|"&amp;I10&amp;"|"&amp;R10&amp;"|"&amp;S10&amp;"|"&amp;V10</f>
        <v>ORD-2024-10009|2024-11-05|CUST-2598|Aditi Sen|8|3134.2|25073.6</v>
      </c>
      <c r="AG10" t="str">
        <f>IF(COUNTIF($A$2:$A$913,A10)&gt;1,"TRUE","FALSE")</f>
        <v>FALSE</v>
      </c>
    </row>
    <row r="11" spans="1:33">
      <c r="A11" t="s">
        <v>2976</v>
      </c>
      <c r="B11" t="s">
        <v>1695</v>
      </c>
      <c r="C11" t="s">
        <v>2707</v>
      </c>
      <c r="D11">
        <f>IF(OR(B11="", C11=""), "", (C11 - B11))</f>
        <v>65</v>
      </c>
      <c r="E11" t="str">
        <f>IF(C11&lt;B11, "INVALID: Ship date before order date", "")</f>
        <v/>
      </c>
      <c r="F11" t="str">
        <f>IF(B11="", "", TEXT(B11, "mmmm"))</f>
        <v>July</v>
      </c>
      <c r="G11">
        <f>IF(B11="", "", YEAR(B11))</f>
        <v>2025</v>
      </c>
      <c r="H11" t="s">
        <v>92</v>
      </c>
      <c r="I11" t="s">
        <v>35</v>
      </c>
      <c r="J11" t="s">
        <v>93</v>
      </c>
      <c r="K11" t="s">
        <v>53</v>
      </c>
      <c r="L11" t="s">
        <v>54</v>
      </c>
      <c r="M11" t="s">
        <v>55</v>
      </c>
      <c r="N11" t="s">
        <v>27</v>
      </c>
      <c r="O11" t="s">
        <v>28</v>
      </c>
      <c r="P11" t="s">
        <v>94</v>
      </c>
      <c r="Q11" t="s">
        <v>30</v>
      </c>
      <c r="R11">
        <v>9</v>
      </c>
      <c r="S11" s="15">
        <v>852.04</v>
      </c>
      <c r="T11" s="4">
        <v>0.2</v>
      </c>
      <c r="U11" s="3" t="str">
        <f>IF(T11&lt;0, "negative_discount", IF(AND(T11&gt;0.5, T11&lt;=1), "high_discount", ""))</f>
        <v/>
      </c>
      <c r="V11" s="11">
        <v>6134.69</v>
      </c>
      <c r="W11" s="12">
        <v>6134.69</v>
      </c>
      <c r="X11" s="11">
        <v>3800.19</v>
      </c>
      <c r="Y11" s="11">
        <v>2334.5</v>
      </c>
      <c r="Z11" s="11">
        <f>ROUND(W11-X11,2)</f>
        <v>2334.5</v>
      </c>
      <c r="AA11" s="4">
        <f>IF(W11=0,0,Z11/W11)</f>
        <v>0.3805408260238089</v>
      </c>
      <c r="AB11" t="s">
        <v>31</v>
      </c>
      <c r="AC11" t="s">
        <v>32</v>
      </c>
      <c r="AD11" t="str">
        <f>IF(AND(E11="", T11&gt;=0, T11&lt;=0.5, K11&lt;&gt;"Unknown", Q11&lt;&gt;"Unknown"), "CLEAN", _xlfn.CONCAT("WARNING: ", IF(E11&lt;&gt;"","invalid_date",""), IF(T11&lt;0,"negative_discount",""), IF(AND(T11&gt;0.5,T11&lt;=1),"high_discount",""), IF(K11="Unknown","missing_region",""), IF(Q11="Unknown","missing_ship_mode","")))</f>
        <v>CLEAN</v>
      </c>
      <c r="AE11" t="str">
        <f>IF(COUNTIF($AF$2:$AF$926,AF11)&gt;1,"DUPLICATE","UNIQUE")</f>
        <v>UNIQUE</v>
      </c>
      <c r="AF11" t="str">
        <f>A11&amp;"|"&amp;B11&amp;"|"&amp;H11&amp;"|"&amp;I11&amp;"|"&amp;R11&amp;"|"&amp;S11&amp;"|"&amp;V11</f>
        <v>ORD-2025-10010|2025-07-09|CUST-2483|Mira Das|9|852.04|6134.69</v>
      </c>
      <c r="AG11" t="str">
        <f>IF(COUNTIF($A$2:$A$913,A11)&gt;1,"TRUE","FALSE")</f>
        <v>FALSE</v>
      </c>
    </row>
    <row r="12" spans="1:33">
      <c r="A12" t="s">
        <v>2977</v>
      </c>
      <c r="B12" t="s">
        <v>2536</v>
      </c>
      <c r="C12" t="s">
        <v>2536</v>
      </c>
      <c r="D12">
        <f>IF(OR(B12="", C12=""), "", (C12 - B12))</f>
        <v>0</v>
      </c>
      <c r="E12" t="str">
        <f>IF(C12&lt;B12, "INVALID: Ship date before order date", "")</f>
        <v/>
      </c>
      <c r="F12" t="str">
        <f>IF(B12="", "", TEXT(B12, "mmmm"))</f>
        <v>May</v>
      </c>
      <c r="G12">
        <f>IF(B12="", "", YEAR(B12))</f>
        <v>2025</v>
      </c>
      <c r="H12" t="s">
        <v>95</v>
      </c>
      <c r="I12" t="s">
        <v>61</v>
      </c>
      <c r="J12" t="s">
        <v>89</v>
      </c>
      <c r="K12" t="s">
        <v>37</v>
      </c>
      <c r="L12" t="s">
        <v>96</v>
      </c>
      <c r="M12" t="s">
        <v>97</v>
      </c>
      <c r="N12" t="s">
        <v>27</v>
      </c>
      <c r="O12" t="s">
        <v>90</v>
      </c>
      <c r="P12" t="s">
        <v>98</v>
      </c>
      <c r="Q12" t="s">
        <v>30</v>
      </c>
      <c r="R12">
        <v>3</v>
      </c>
      <c r="S12" s="15">
        <v>3534.83</v>
      </c>
      <c r="T12" s="4">
        <v>0.05</v>
      </c>
      <c r="U12" s="3" t="str">
        <f>IF(T12&lt;0, "negative_discount", IF(AND(T12&gt;0.5, T12&lt;=1), "high_discount", ""))</f>
        <v/>
      </c>
      <c r="V12" s="11">
        <v>10074.27</v>
      </c>
      <c r="W12" s="12">
        <v>10074.27</v>
      </c>
      <c r="X12" s="11">
        <v>6048.27</v>
      </c>
      <c r="Y12" s="11">
        <v>4026</v>
      </c>
      <c r="Z12" s="11">
        <f>ROUND(W12-X12,2)</f>
        <v>4026</v>
      </c>
      <c r="AA12" s="4">
        <f>IF(W12=0,0,Z12/W12)</f>
        <v>0.39963193362893784</v>
      </c>
      <c r="AB12" t="s">
        <v>99</v>
      </c>
      <c r="AC12" t="s">
        <v>100</v>
      </c>
      <c r="AD12" t="str">
        <f>IF(AND(E12="", T12&gt;=0, T12&lt;=0.5, K12&lt;&gt;"Unknown", Q12&lt;&gt;"Unknown"), "CLEAN", _xlfn.CONCAT("WARNING: ", IF(E12&lt;&gt;"","invalid_date",""), IF(T12&lt;0,"negative_discount",""), IF(AND(T12&gt;0.5,T12&lt;=1),"high_discount",""), IF(K12="Unknown","missing_region",""), IF(Q12="Unknown","missing_ship_mode","")))</f>
        <v>CLEAN</v>
      </c>
      <c r="AE12" t="str">
        <f>IF(COUNTIF($AF$2:$AF$926,AF12)&gt;1,"DUPLICATE","UNIQUE")</f>
        <v>UNIQUE</v>
      </c>
      <c r="AF12" t="str">
        <f>A12&amp;"|"&amp;B12&amp;"|"&amp;H12&amp;"|"&amp;I12&amp;"|"&amp;R12&amp;"|"&amp;S12&amp;"|"&amp;V12</f>
        <v>ORD-2025-10011|2025-05-20|CUST-8092|Ananya Rao|3|3534.83|10074.27</v>
      </c>
      <c r="AG12" t="str">
        <f>IF(COUNTIF($A$2:$A$913,A12)&gt;1,"TRUE","FALSE")</f>
        <v>FALSE</v>
      </c>
    </row>
    <row r="13" spans="1:33">
      <c r="A13" t="s">
        <v>101</v>
      </c>
      <c r="B13" t="s">
        <v>102</v>
      </c>
      <c r="C13" t="s">
        <v>1913</v>
      </c>
      <c r="D13">
        <f>IF(OR(B13="", C13=""), "", (C13 - B13))</f>
        <v>1</v>
      </c>
      <c r="E13" t="str">
        <f>IF(C13&lt;B13, "INVALID: Ship date before order date", "")</f>
        <v/>
      </c>
      <c r="F13" t="str">
        <f>IF(B13="", "", TEXT(B13, "mmmm"))</f>
        <v>July</v>
      </c>
      <c r="G13">
        <f>IF(B13="", "", YEAR(B13))</f>
        <v>2024</v>
      </c>
      <c r="H13" t="s">
        <v>103</v>
      </c>
      <c r="I13" t="s">
        <v>71</v>
      </c>
      <c r="J13" t="s">
        <v>36</v>
      </c>
      <c r="K13" t="s">
        <v>37</v>
      </c>
      <c r="L13" t="s">
        <v>38</v>
      </c>
      <c r="M13" t="s">
        <v>39</v>
      </c>
      <c r="N13" t="s">
        <v>74</v>
      </c>
      <c r="O13" t="s">
        <v>75</v>
      </c>
      <c r="P13" t="s">
        <v>104</v>
      </c>
      <c r="Q13" t="s">
        <v>43</v>
      </c>
      <c r="R13">
        <v>6</v>
      </c>
      <c r="S13" s="15">
        <v>2005.95</v>
      </c>
      <c r="T13" s="4">
        <v>0</v>
      </c>
      <c r="U13" s="3" t="str">
        <f>IF(T13&lt;0, "negative_discount", IF(AND(T13&gt;0.5, T13&lt;=1), "high_discount", ""))</f>
        <v/>
      </c>
      <c r="V13" s="11">
        <v>9628.56</v>
      </c>
      <c r="W13" s="12">
        <v>12035.7</v>
      </c>
      <c r="X13" s="11">
        <v>8038.59</v>
      </c>
      <c r="Y13" s="11">
        <v>1589.97</v>
      </c>
      <c r="Z13" s="11">
        <f>ROUND(W13-X13,2)</f>
        <v>3997.11</v>
      </c>
      <c r="AA13" s="4">
        <f>IF(W13=0,0,Z13/W13)</f>
        <v>0.33210448914479423</v>
      </c>
      <c r="AB13" t="s">
        <v>31</v>
      </c>
      <c r="AC13" t="s">
        <v>32</v>
      </c>
      <c r="AD13" t="str">
        <f>IF(AND(E13="", T13&gt;=0, T13&lt;=0.5, K13&lt;&gt;"Unknown", Q13&lt;&gt;"Unknown"), "CLEAN", _xlfn.CONCAT("WARNING: ", IF(E13&lt;&gt;"","invalid_date",""), IF(T13&lt;0,"negative_discount",""), IF(AND(T13&gt;0.5,T13&lt;=1),"high_discount",""), IF(K13="Unknown","missing_region",""), IF(Q13="Unknown","missing_ship_mode","")))</f>
        <v>CLEAN</v>
      </c>
      <c r="AE13" t="str">
        <f>IF(COUNTIF($AF$2:$AF$926,AF13)&gt;1,"DUPLICATE","UNIQUE")</f>
        <v>UNIQUE</v>
      </c>
      <c r="AF13" t="str">
        <f>A13&amp;"|"&amp;B13&amp;"|"&amp;H13&amp;"|"&amp;I13&amp;"|"&amp;R13&amp;"|"&amp;S13&amp;"|"&amp;V13</f>
        <v>ORD-2024-10012|2024-07-22|CUST-6528|Vikram Iyer|6|2005.95|9628.56</v>
      </c>
      <c r="AG13" t="str">
        <f>IF(COUNTIF($A$2:$A$913,A13)&gt;1,"TRUE","FALSE")</f>
        <v>FALSE</v>
      </c>
    </row>
    <row r="14" spans="1:33">
      <c r="A14" t="s">
        <v>105</v>
      </c>
      <c r="B14" t="s">
        <v>2675</v>
      </c>
      <c r="C14" t="s">
        <v>2760</v>
      </c>
      <c r="D14">
        <f>IF(OR(B14="", C14=""), "", (C14 - B14))</f>
        <v>1</v>
      </c>
      <c r="E14" t="str">
        <f>IF(C14&lt;B14, "INVALID: Ship date before order date", "")</f>
        <v/>
      </c>
      <c r="F14" t="str">
        <f>IF(B14="", "", TEXT(B14, "mmmm"))</f>
        <v>December</v>
      </c>
      <c r="G14">
        <f>IF(B14="", "", YEAR(B14))</f>
        <v>2024</v>
      </c>
      <c r="H14" t="s">
        <v>106</v>
      </c>
      <c r="I14" t="s">
        <v>61</v>
      </c>
      <c r="J14" t="s">
        <v>89</v>
      </c>
      <c r="K14" t="s">
        <v>62</v>
      </c>
      <c r="L14" t="s">
        <v>25</v>
      </c>
      <c r="M14" t="s">
        <v>107</v>
      </c>
      <c r="N14" t="s">
        <v>27</v>
      </c>
      <c r="O14" t="s">
        <v>28</v>
      </c>
      <c r="P14" t="s">
        <v>108</v>
      </c>
      <c r="Q14" t="s">
        <v>49</v>
      </c>
      <c r="R14">
        <v>1</v>
      </c>
      <c r="S14" s="15">
        <v>702.14</v>
      </c>
      <c r="T14" s="4">
        <v>0.15</v>
      </c>
      <c r="U14" s="3" t="str">
        <f>IF(T14&lt;0, "negative_discount", IF(AND(T14&gt;0.5, T14&lt;=1), "high_discount", ""))</f>
        <v/>
      </c>
      <c r="V14" s="11">
        <v>596.82000000000005</v>
      </c>
      <c r="W14" s="12">
        <v>596.82000000000005</v>
      </c>
      <c r="X14" s="11">
        <v>380.25</v>
      </c>
      <c r="Y14" s="11">
        <v>216.57</v>
      </c>
      <c r="Z14" s="11">
        <f>ROUND(W14-X14,2)</f>
        <v>216.57</v>
      </c>
      <c r="AA14" s="4">
        <f>IF(W14=0,0,Z14/W14)</f>
        <v>0.36287322810897754</v>
      </c>
      <c r="AB14" t="s">
        <v>109</v>
      </c>
      <c r="AC14" t="s">
        <v>100</v>
      </c>
      <c r="AD14" t="str">
        <f>IF(AND(E14="", T14&gt;=0, T14&lt;=0.5, K14&lt;&gt;"Unknown", Q14&lt;&gt;"Unknown"), "CLEAN", _xlfn.CONCAT("WARNING: ", IF(E14&lt;&gt;"","invalid_date",""), IF(T14&lt;0,"negative_discount",""), IF(AND(T14&gt;0.5,T14&lt;=1),"high_discount",""), IF(K14="Unknown","missing_region",""), IF(Q14="Unknown","missing_ship_mode","")))</f>
        <v>CLEAN</v>
      </c>
      <c r="AE14" t="str">
        <f>IF(COUNTIF($AF$2:$AF$926,AF14)&gt;1,"DUPLICATE","UNIQUE")</f>
        <v>UNIQUE</v>
      </c>
      <c r="AF14" t="str">
        <f>A14&amp;"|"&amp;B14&amp;"|"&amp;H14&amp;"|"&amp;I14&amp;"|"&amp;R14&amp;"|"&amp;S14&amp;"|"&amp;V14</f>
        <v>ORD-2024-10013|2024-12-20|CUST-2648|Ananya Rao|1|702.14|596.82</v>
      </c>
      <c r="AG14" t="str">
        <f>IF(COUNTIF($A$2:$A$913,A14)&gt;1,"TRUE","FALSE")</f>
        <v>FALSE</v>
      </c>
    </row>
    <row r="15" spans="1:33">
      <c r="A15" t="s">
        <v>2978</v>
      </c>
      <c r="B15" t="s">
        <v>110</v>
      </c>
      <c r="C15" t="s">
        <v>2898</v>
      </c>
      <c r="D15">
        <f>IF(OR(B15="", C15=""), "", (C15 - B15))</f>
        <v>4</v>
      </c>
      <c r="E15" t="str">
        <f>IF(C15&lt;B15, "INVALID: Ship date before order date", "")</f>
        <v/>
      </c>
      <c r="F15" t="str">
        <f>IF(B15="", "", TEXT(B15, "mmmm"))</f>
        <v>October</v>
      </c>
      <c r="G15">
        <f>IF(B15="", "", YEAR(B15))</f>
        <v>2025</v>
      </c>
      <c r="H15" t="s">
        <v>111</v>
      </c>
      <c r="I15" t="s">
        <v>112</v>
      </c>
      <c r="J15" t="s">
        <v>36</v>
      </c>
      <c r="K15" t="s">
        <v>62</v>
      </c>
      <c r="L15" t="s">
        <v>63</v>
      </c>
      <c r="M15" t="s">
        <v>64</v>
      </c>
      <c r="N15" t="s">
        <v>27</v>
      </c>
      <c r="O15" t="s">
        <v>47</v>
      </c>
      <c r="P15" t="s">
        <v>113</v>
      </c>
      <c r="Q15" t="s">
        <v>30</v>
      </c>
      <c r="R15">
        <v>7</v>
      </c>
      <c r="S15" s="15">
        <v>3964.72</v>
      </c>
      <c r="T15" s="4">
        <v>0.05</v>
      </c>
      <c r="U15" s="3" t="str">
        <f>IF(T15&lt;0, "negative_discount", IF(AND(T15&gt;0.5, T15&lt;=1), "high_discount", ""))</f>
        <v/>
      </c>
      <c r="V15" s="11">
        <v>26365.39</v>
      </c>
      <c r="W15" s="12">
        <v>26365.39</v>
      </c>
      <c r="X15" s="11">
        <v>22306.240000000002</v>
      </c>
      <c r="Y15" s="11">
        <v>4059.15</v>
      </c>
      <c r="Z15" s="11">
        <f>ROUND(W15-X15,2)</f>
        <v>4059.15</v>
      </c>
      <c r="AA15" s="4">
        <f>IF(W15=0,0,Z15/W15)</f>
        <v>0.15395751779131658</v>
      </c>
      <c r="AB15" t="s">
        <v>31</v>
      </c>
      <c r="AC15" t="s">
        <v>32</v>
      </c>
      <c r="AD15" t="str">
        <f>IF(AND(E15="", T15&gt;=0, T15&lt;=0.5, K15&lt;&gt;"Unknown", Q15&lt;&gt;"Unknown"), "CLEAN", _xlfn.CONCAT("WARNING: ", IF(E15&lt;&gt;"","invalid_date",""), IF(T15&lt;0,"negative_discount",""), IF(AND(T15&gt;0.5,T15&lt;=1),"high_discount",""), IF(K15="Unknown","missing_region",""), IF(Q15="Unknown","missing_ship_mode","")))</f>
        <v>CLEAN</v>
      </c>
      <c r="AE15" t="str">
        <f>IF(COUNTIF($AF$2:$AF$926,AF15)&gt;1,"DUPLICATE","UNIQUE")</f>
        <v>UNIQUE</v>
      </c>
      <c r="AF15" t="str">
        <f>A15&amp;"|"&amp;B15&amp;"|"&amp;H15&amp;"|"&amp;I15&amp;"|"&amp;R15&amp;"|"&amp;S15&amp;"|"&amp;V15</f>
        <v>ORD-2025-10014|2025-10-12|CUST-7482|Priya Menon|7|3964.72|26365.39</v>
      </c>
      <c r="AG15" t="str">
        <f>IF(COUNTIF($A$2:$A$913,A15)&gt;1,"TRUE","FALSE")</f>
        <v>FALSE</v>
      </c>
    </row>
    <row r="16" spans="1:33">
      <c r="A16" t="s">
        <v>114</v>
      </c>
      <c r="B16" t="s">
        <v>457</v>
      </c>
      <c r="C16" t="s">
        <v>1518</v>
      </c>
      <c r="D16">
        <f>IF(OR(B16="", C16=""), "", (C16 - B16))</f>
        <v>1</v>
      </c>
      <c r="E16" t="str">
        <f>IF(C16&lt;B16, "INVALID: Ship date before order date", "")</f>
        <v/>
      </c>
      <c r="F16" t="str">
        <f>IF(B16="", "", TEXT(B16, "mmmm"))</f>
        <v>December</v>
      </c>
      <c r="G16">
        <f>IF(B16="", "", YEAR(B16))</f>
        <v>2024</v>
      </c>
      <c r="H16" t="s">
        <v>115</v>
      </c>
      <c r="I16" t="s">
        <v>116</v>
      </c>
      <c r="J16" t="s">
        <v>23</v>
      </c>
      <c r="K16" t="s">
        <v>62</v>
      </c>
      <c r="L16" t="s">
        <v>25</v>
      </c>
      <c r="M16" t="s">
        <v>107</v>
      </c>
      <c r="N16" t="s">
        <v>74</v>
      </c>
      <c r="O16" t="s">
        <v>79</v>
      </c>
      <c r="P16" t="s">
        <v>117</v>
      </c>
      <c r="Q16" t="s">
        <v>58</v>
      </c>
      <c r="R16">
        <v>2</v>
      </c>
      <c r="S16" s="15">
        <v>2737.83</v>
      </c>
      <c r="T16" s="4">
        <v>0.25</v>
      </c>
      <c r="U16" s="3" t="str">
        <f>IF(T16&lt;0, "negative_discount", IF(AND(T16&gt;0.5, T16&lt;=1), "high_discount", ""))</f>
        <v/>
      </c>
      <c r="V16" s="11">
        <v>4106.74</v>
      </c>
      <c r="W16" s="12">
        <v>4106.75</v>
      </c>
      <c r="X16" s="11">
        <v>2666.3</v>
      </c>
      <c r="Y16" s="11">
        <v>1440.44</v>
      </c>
      <c r="Z16" s="11">
        <f>ROUND(W16-X16,2)</f>
        <v>1440.45</v>
      </c>
      <c r="AA16" s="4">
        <f>IF(W16=0,0,Z16/W16)</f>
        <v>0.3507518110427954</v>
      </c>
      <c r="AB16" t="s">
        <v>31</v>
      </c>
      <c r="AC16" t="s">
        <v>32</v>
      </c>
      <c r="AD16" t="str">
        <f>IF(AND(E16="", T16&gt;=0, T16&lt;=0.5, K16&lt;&gt;"Unknown", Q16&lt;&gt;"Unknown"), "CLEAN", _xlfn.CONCAT("WARNING: ", IF(E16&lt;&gt;"","invalid_date",""), IF(T16&lt;0,"negative_discount",""), IF(AND(T16&gt;0.5,T16&lt;=1),"high_discount",""), IF(K16="Unknown","missing_region",""), IF(Q16="Unknown","missing_ship_mode","")))</f>
        <v>CLEAN</v>
      </c>
      <c r="AE16" t="str">
        <f>IF(COUNTIF($AF$2:$AF$926,AF16)&gt;1,"DUPLICATE","UNIQUE")</f>
        <v>UNIQUE</v>
      </c>
      <c r="AF16" t="str">
        <f>A16&amp;"|"&amp;B16&amp;"|"&amp;H16&amp;"|"&amp;I16&amp;"|"&amp;R16&amp;"|"&amp;S16&amp;"|"&amp;V16</f>
        <v>ORD-2024-10015|2024-12-27|CUST-4912|Rahul Verma|2|2737.83|4106.74</v>
      </c>
      <c r="AG16" t="str">
        <f>IF(COUNTIF($A$2:$A$913,A16)&gt;1,"TRUE","FALSE")</f>
        <v>FALSE</v>
      </c>
    </row>
    <row r="17" spans="1:33">
      <c r="A17" t="s">
        <v>118</v>
      </c>
      <c r="B17" t="s">
        <v>2676</v>
      </c>
      <c r="C17" t="s">
        <v>2676</v>
      </c>
      <c r="D17">
        <f>IF(OR(B17="", C17=""), "", (C17 - B17))</f>
        <v>0</v>
      </c>
      <c r="E17" t="str">
        <f>IF(C17&lt;B17, "INVALID: Ship date before order date", "")</f>
        <v/>
      </c>
      <c r="F17" t="str">
        <f>IF(B17="", "", TEXT(B17, "mmmm"))</f>
        <v>July</v>
      </c>
      <c r="G17">
        <f>IF(B17="", "", YEAR(B17))</f>
        <v>2024</v>
      </c>
      <c r="H17" t="s">
        <v>119</v>
      </c>
      <c r="I17" t="s">
        <v>22</v>
      </c>
      <c r="J17" t="s">
        <v>36</v>
      </c>
      <c r="K17" t="s">
        <v>24</v>
      </c>
      <c r="L17" t="s">
        <v>120</v>
      </c>
      <c r="M17" t="s">
        <v>121</v>
      </c>
      <c r="N17" t="s">
        <v>27</v>
      </c>
      <c r="O17" t="s">
        <v>122</v>
      </c>
      <c r="P17" t="s">
        <v>123</v>
      </c>
      <c r="Q17" t="s">
        <v>30</v>
      </c>
      <c r="R17">
        <v>6</v>
      </c>
      <c r="S17" s="15">
        <v>3965.76</v>
      </c>
      <c r="T17" s="4">
        <v>0</v>
      </c>
      <c r="U17" s="3" t="str">
        <f>IF(T17&lt;0, "negative_discount", IF(AND(T17&gt;0.5, T17&lt;=1), "high_discount", ""))</f>
        <v/>
      </c>
      <c r="V17" s="11">
        <v>23794.560000000001</v>
      </c>
      <c r="W17" s="12">
        <v>23794.560000000001</v>
      </c>
      <c r="X17" s="11">
        <v>15698.47</v>
      </c>
      <c r="Y17" s="11">
        <v>8096.09</v>
      </c>
      <c r="Z17" s="11">
        <f>ROUND(W17-X17,2)</f>
        <v>8096.09</v>
      </c>
      <c r="AA17" s="4">
        <f>IF(W17=0,0,Z17/W17)</f>
        <v>0.34024962008122867</v>
      </c>
      <c r="AB17" t="s">
        <v>31</v>
      </c>
      <c r="AC17" t="s">
        <v>32</v>
      </c>
      <c r="AD17" t="str">
        <f>IF(AND(E17="", T17&gt;=0, T17&lt;=0.5, K17&lt;&gt;"Unknown", Q17&lt;&gt;"Unknown"), "CLEAN", _xlfn.CONCAT("WARNING: ", IF(E17&lt;&gt;"","invalid_date",""), IF(T17&lt;0,"negative_discount",""), IF(AND(T17&gt;0.5,T17&lt;=1),"high_discount",""), IF(K17="Unknown","missing_region",""), IF(Q17="Unknown","missing_ship_mode","")))</f>
        <v>CLEAN</v>
      </c>
      <c r="AE17" t="str">
        <f>IF(COUNTIF($AF$2:$AF$926,AF17)&gt;1,"DUPLICATE","UNIQUE")</f>
        <v>UNIQUE</v>
      </c>
      <c r="AF17" t="str">
        <f>A17&amp;"|"&amp;B17&amp;"|"&amp;H17&amp;"|"&amp;I17&amp;"|"&amp;R17&amp;"|"&amp;S17&amp;"|"&amp;V17</f>
        <v>ORD-2024-10016|2024-07-09|CUST-7656|Karan Malhotra|6|3965.76|23794.56</v>
      </c>
      <c r="AG17" t="str">
        <f>IF(COUNTIF($A$2:$A$913,A17)&gt;1,"TRUE","FALSE")</f>
        <v>FALSE</v>
      </c>
    </row>
    <row r="18" spans="1:33">
      <c r="A18" t="s">
        <v>124</v>
      </c>
      <c r="B18" t="s">
        <v>1745</v>
      </c>
      <c r="C18" t="s">
        <v>2740</v>
      </c>
      <c r="D18">
        <f>IF(OR(B18="", C18=""), "", (C18 - B18))</f>
        <v>7</v>
      </c>
      <c r="E18" t="str">
        <f>IF(C18&lt;B18, "INVALID: Ship date before order date", "")</f>
        <v/>
      </c>
      <c r="F18" t="str">
        <f>IF(B18="", "", TEXT(B18, "mmmm"))</f>
        <v>May</v>
      </c>
      <c r="G18">
        <f>IF(B18="", "", YEAR(B18))</f>
        <v>2024</v>
      </c>
      <c r="H18" t="s">
        <v>125</v>
      </c>
      <c r="I18" t="s">
        <v>126</v>
      </c>
      <c r="J18" t="s">
        <v>23</v>
      </c>
      <c r="K18" t="s">
        <v>53</v>
      </c>
      <c r="L18" t="s">
        <v>54</v>
      </c>
      <c r="M18" t="s">
        <v>55</v>
      </c>
      <c r="N18" t="s">
        <v>27</v>
      </c>
      <c r="O18" t="s">
        <v>47</v>
      </c>
      <c r="P18" t="s">
        <v>127</v>
      </c>
      <c r="Q18" t="s">
        <v>49</v>
      </c>
      <c r="R18">
        <v>4</v>
      </c>
      <c r="S18" s="15">
        <v>3323.51</v>
      </c>
      <c r="T18" s="4">
        <v>0.25</v>
      </c>
      <c r="U18" s="3" t="str">
        <f>IF(T18&lt;0, "negative_discount", IF(AND(T18&gt;0.5, T18&lt;=1), "high_discount", ""))</f>
        <v/>
      </c>
      <c r="V18" s="11">
        <v>9970.5300000000007</v>
      </c>
      <c r="W18" s="12">
        <v>9970.5300000000007</v>
      </c>
      <c r="X18" s="11">
        <v>5668.17</v>
      </c>
      <c r="Y18" s="11">
        <v>4302.3599999999997</v>
      </c>
      <c r="Z18" s="11">
        <f>ROUND(W18-X18,2)</f>
        <v>4302.3599999999997</v>
      </c>
      <c r="AA18" s="4">
        <f>IF(W18=0,0,Z18/W18)</f>
        <v>0.43150765305354877</v>
      </c>
      <c r="AB18" t="s">
        <v>31</v>
      </c>
      <c r="AC18" t="s">
        <v>32</v>
      </c>
      <c r="AD18" t="str">
        <f>IF(AND(E18="", T18&gt;=0, T18&lt;=0.5, K18&lt;&gt;"Unknown", Q18&lt;&gt;"Unknown"), "CLEAN", _xlfn.CONCAT("WARNING: ", IF(E18&lt;&gt;"","invalid_date",""), IF(T18&lt;0,"negative_discount",""), IF(AND(T18&gt;0.5,T18&lt;=1),"high_discount",""), IF(K18="Unknown","missing_region",""), IF(Q18="Unknown","missing_ship_mode","")))</f>
        <v>CLEAN</v>
      </c>
      <c r="AE18" t="str">
        <f>IF(COUNTIF($AF$2:$AF$926,AF18)&gt;1,"DUPLICATE","UNIQUE")</f>
        <v>UNIQUE</v>
      </c>
      <c r="AF18" t="str">
        <f>A18&amp;"|"&amp;B18&amp;"|"&amp;H18&amp;"|"&amp;I18&amp;"|"&amp;R18&amp;"|"&amp;S18&amp;"|"&amp;V18</f>
        <v>ORD-2024-10017|2024-05-08|CUST-6214|Aarav Sharma|4|3323.51|9970.53</v>
      </c>
      <c r="AG18" t="str">
        <f>IF(COUNTIF($A$2:$A$913,A18)&gt;1,"TRUE","FALSE")</f>
        <v>FALSE</v>
      </c>
    </row>
    <row r="19" spans="1:33">
      <c r="A19" t="s">
        <v>128</v>
      </c>
      <c r="B19" t="s">
        <v>2677</v>
      </c>
      <c r="C19" t="s">
        <v>129</v>
      </c>
      <c r="D19">
        <f>IF(OR(B19="", C19=""), "", (C19 - B19))</f>
        <v>1</v>
      </c>
      <c r="E19" t="str">
        <f>IF(C19&lt;B19, "INVALID: Ship date before order date", "")</f>
        <v/>
      </c>
      <c r="F19" t="str">
        <f>IF(B19="", "", TEXT(B19, "mmmm"))</f>
        <v>January</v>
      </c>
      <c r="G19">
        <f>IF(B19="", "", YEAR(B19))</f>
        <v>2024</v>
      </c>
      <c r="H19" t="s">
        <v>130</v>
      </c>
      <c r="I19" t="s">
        <v>131</v>
      </c>
      <c r="J19" t="s">
        <v>36</v>
      </c>
      <c r="K19" t="s">
        <v>24</v>
      </c>
      <c r="L19" t="s">
        <v>25</v>
      </c>
      <c r="M19" t="s">
        <v>26</v>
      </c>
      <c r="N19" t="s">
        <v>40</v>
      </c>
      <c r="O19" t="s">
        <v>56</v>
      </c>
      <c r="P19" t="s">
        <v>132</v>
      </c>
      <c r="Q19" t="s">
        <v>43</v>
      </c>
      <c r="R19">
        <v>5</v>
      </c>
      <c r="S19" s="15">
        <v>1526.78</v>
      </c>
      <c r="T19" s="4">
        <v>0</v>
      </c>
      <c r="U19" s="3" t="str">
        <f>IF(T19&lt;0, "negative_discount", IF(AND(T19&gt;0.5, T19&lt;=1), "high_discount", ""))</f>
        <v/>
      </c>
      <c r="V19" s="11">
        <v>7633.9</v>
      </c>
      <c r="W19" s="12">
        <v>7633.9</v>
      </c>
      <c r="X19" s="11">
        <v>4706.91</v>
      </c>
      <c r="Y19" s="11">
        <v>2926.99</v>
      </c>
      <c r="Z19" s="11">
        <f>ROUND(W19-X19,2)</f>
        <v>2926.99</v>
      </c>
      <c r="AA19" s="4">
        <f>IF(W19=0,0,Z19/W19)</f>
        <v>0.38342000812166782</v>
      </c>
      <c r="AB19" t="s">
        <v>31</v>
      </c>
      <c r="AC19" t="s">
        <v>32</v>
      </c>
      <c r="AD19" t="str">
        <f>IF(AND(E19="", T19&gt;=0, T19&lt;=0.5, K19&lt;&gt;"Unknown", Q19&lt;&gt;"Unknown"), "CLEAN", _xlfn.CONCAT("WARNING: ", IF(E19&lt;&gt;"","invalid_date",""), IF(T19&lt;0,"negative_discount",""), IF(AND(T19&gt;0.5,T19&lt;=1),"high_discount",""), IF(K19="Unknown","missing_region",""), IF(Q19="Unknown","missing_ship_mode","")))</f>
        <v>CLEAN</v>
      </c>
      <c r="AE19" t="str">
        <f>IF(COUNTIF($AF$2:$AF$926,AF19)&gt;1,"DUPLICATE","UNIQUE")</f>
        <v>UNIQUE</v>
      </c>
      <c r="AF19" t="str">
        <f>A19&amp;"|"&amp;B19&amp;"|"&amp;H19&amp;"|"&amp;I19&amp;"|"&amp;R19&amp;"|"&amp;S19&amp;"|"&amp;V19</f>
        <v>ORD-2024-10018|2024-01-07|CUST-1626|Sneha Kapoor|5|1526.78|7633.9</v>
      </c>
      <c r="AG19" t="str">
        <f>IF(COUNTIF($A$2:$A$913,A19)&gt;1,"TRUE","FALSE")</f>
        <v>FALSE</v>
      </c>
    </row>
    <row r="20" spans="1:33">
      <c r="A20" t="s">
        <v>2979</v>
      </c>
      <c r="B20" t="s">
        <v>2678</v>
      </c>
      <c r="C20" t="s">
        <v>489</v>
      </c>
      <c r="D20">
        <f>IF(OR(B20="", C20=""), "", (C20 - B20))</f>
        <v>2</v>
      </c>
      <c r="E20" t="str">
        <f>IF(C20&lt;B20, "INVALID: Ship date before order date", "")</f>
        <v/>
      </c>
      <c r="F20" t="str">
        <f>IF(B20="", "", TEXT(B20, "mmmm"))</f>
        <v>July</v>
      </c>
      <c r="G20">
        <f>IF(B20="", "", YEAR(B20))</f>
        <v>2025</v>
      </c>
      <c r="H20" t="s">
        <v>133</v>
      </c>
      <c r="I20" t="s">
        <v>126</v>
      </c>
      <c r="J20" t="s">
        <v>93</v>
      </c>
      <c r="K20" t="s">
        <v>24</v>
      </c>
      <c r="L20" t="s">
        <v>134</v>
      </c>
      <c r="M20" t="s">
        <v>135</v>
      </c>
      <c r="N20" t="s">
        <v>74</v>
      </c>
      <c r="O20" t="s">
        <v>79</v>
      </c>
      <c r="P20" t="s">
        <v>136</v>
      </c>
      <c r="Q20" t="s">
        <v>49</v>
      </c>
      <c r="R20">
        <v>2</v>
      </c>
      <c r="S20" s="15">
        <v>1997.99</v>
      </c>
      <c r="T20" s="4">
        <v>0</v>
      </c>
      <c r="U20" s="3" t="str">
        <f>IF(T20&lt;0, "negative_discount", IF(AND(T20&gt;0.5, T20&lt;=1), "high_discount", ""))</f>
        <v/>
      </c>
      <c r="V20" s="11">
        <v>3995.98</v>
      </c>
      <c r="W20" s="12">
        <v>3995.98</v>
      </c>
      <c r="X20" s="11">
        <v>2633.2</v>
      </c>
      <c r="Y20" s="11">
        <v>1362.78</v>
      </c>
      <c r="Z20" s="11">
        <f>ROUND(W20-X20,2)</f>
        <v>1362.78</v>
      </c>
      <c r="AA20" s="4">
        <f>IF(W20=0,0,Z20/W20)</f>
        <v>0.34103774293164629</v>
      </c>
      <c r="AB20" t="s">
        <v>99</v>
      </c>
      <c r="AC20" t="s">
        <v>67</v>
      </c>
      <c r="AD20" t="str">
        <f>IF(AND(E20="", T20&gt;=0, T20&lt;=0.5, K20&lt;&gt;"Unknown", Q20&lt;&gt;"Unknown"), "CLEAN", _xlfn.CONCAT("WARNING: ", IF(E20&lt;&gt;"","invalid_date",""), IF(T20&lt;0,"negative_discount",""), IF(AND(T20&gt;0.5,T20&lt;=1),"high_discount",""), IF(K20="Unknown","missing_region",""), IF(Q20="Unknown","missing_ship_mode","")))</f>
        <v>CLEAN</v>
      </c>
      <c r="AE20" t="str">
        <f>IF(COUNTIF($AF$2:$AF$926,AF20)&gt;1,"DUPLICATE","UNIQUE")</f>
        <v>UNIQUE</v>
      </c>
      <c r="AF20" t="str">
        <f>A20&amp;"|"&amp;B20&amp;"|"&amp;H20&amp;"|"&amp;I20&amp;"|"&amp;R20&amp;"|"&amp;S20&amp;"|"&amp;V20</f>
        <v>ORD-2025-10019|2025-07-15|CUST-2110|Aarav Sharma|2|1997.99|3995.98</v>
      </c>
      <c r="AG20" t="str">
        <f>IF(COUNTIF($A$2:$A$913,A20)&gt;1,"TRUE","FALSE")</f>
        <v>FALSE</v>
      </c>
    </row>
    <row r="21" spans="1:33">
      <c r="A21" t="s">
        <v>137</v>
      </c>
      <c r="B21" t="s">
        <v>2679</v>
      </c>
      <c r="C21" t="s">
        <v>2770</v>
      </c>
      <c r="D21">
        <f>IF(OR(B21="", C21=""), "", (C21 - B21))</f>
        <v>4</v>
      </c>
      <c r="E21" t="str">
        <f>IF(C21&lt;B21, "INVALID: Ship date before order date", "")</f>
        <v/>
      </c>
      <c r="F21" t="str">
        <f>IF(B21="", "", TEXT(B21, "mmmm"))</f>
        <v>July</v>
      </c>
      <c r="G21">
        <f>IF(B21="", "", YEAR(B21))</f>
        <v>2024</v>
      </c>
      <c r="H21" t="s">
        <v>138</v>
      </c>
      <c r="I21" t="s">
        <v>139</v>
      </c>
      <c r="J21" t="s">
        <v>93</v>
      </c>
      <c r="K21" t="s">
        <v>62</v>
      </c>
      <c r="L21" t="s">
        <v>72</v>
      </c>
      <c r="M21" t="s">
        <v>73</v>
      </c>
      <c r="N21" t="s">
        <v>27</v>
      </c>
      <c r="O21" t="s">
        <v>122</v>
      </c>
      <c r="P21" t="s">
        <v>140</v>
      </c>
      <c r="Q21" t="s">
        <v>30</v>
      </c>
      <c r="R21">
        <v>3</v>
      </c>
      <c r="S21" s="15">
        <v>3887.94</v>
      </c>
      <c r="T21" s="4">
        <v>-0.19</v>
      </c>
      <c r="U21" s="3" t="str">
        <f>IF(T21&lt;0, "negative_discount", IF(AND(T21&gt;0.5, T21&lt;=1), "high_discount", ""))</f>
        <v>negative_discount</v>
      </c>
      <c r="V21" s="11">
        <v>9331.06</v>
      </c>
      <c r="W21" s="12">
        <v>13879.95</v>
      </c>
      <c r="X21" s="11">
        <v>7529.31</v>
      </c>
      <c r="Y21" s="11">
        <v>1801.75</v>
      </c>
      <c r="Z21" s="11">
        <f>ROUND(W21-X21,2)</f>
        <v>6350.64</v>
      </c>
      <c r="AA21" s="4">
        <f>IF(W21=0,0,Z21/W21)</f>
        <v>0.45754055309997516</v>
      </c>
      <c r="AB21" t="s">
        <v>31</v>
      </c>
      <c r="AC21" t="s">
        <v>32</v>
      </c>
      <c r="AD21" t="str">
        <f>IF(AND(E21="", T21&gt;=0, T21&lt;=0.5, K21&lt;&gt;"Unknown", Q21&lt;&gt;"Unknown"), "CLEAN", _xlfn.CONCAT("WARNING: ", IF(E21&lt;&gt;"","invalid_date",""), IF(T21&lt;0,"negative_discount",""), IF(AND(T21&gt;0.5,T21&lt;=1),"high_discount",""), IF(K21="Unknown","missing_region",""), IF(Q21="Unknown","missing_ship_mode","")))</f>
        <v>WARNING: negative_discount</v>
      </c>
      <c r="AE21" t="str">
        <f>IF(COUNTIF($AF$2:$AF$926,AF21)&gt;1,"DUPLICATE","UNIQUE")</f>
        <v>UNIQUE</v>
      </c>
      <c r="AF21" t="str">
        <f>A21&amp;"|"&amp;B21&amp;"|"&amp;H21&amp;"|"&amp;I21&amp;"|"&amp;R21&amp;"|"&amp;S21&amp;"|"&amp;V21</f>
        <v>ORD-2024-10020|2024-07-27|CUST-3186|Rohan Mehta|3|3887.94|9331.06</v>
      </c>
      <c r="AG21" t="str">
        <f>IF(COUNTIF($A$2:$A$913,A21)&gt;1,"TRUE","FALSE")</f>
        <v>FALSE</v>
      </c>
    </row>
    <row r="22" spans="1:33">
      <c r="A22" t="s">
        <v>2980</v>
      </c>
      <c r="B22" t="s">
        <v>147</v>
      </c>
      <c r="C22" t="s">
        <v>2701</v>
      </c>
      <c r="D22">
        <f>IF(OR(B22="", C22=""), "", (C22 - B22))</f>
        <v>2</v>
      </c>
      <c r="E22" t="str">
        <f>IF(C22&lt;B22, "INVALID: Ship date before order date", "")</f>
        <v/>
      </c>
      <c r="F22" t="str">
        <f>IF(B22="", "", TEXT(B22, "mmmm"))</f>
        <v>January</v>
      </c>
      <c r="G22">
        <f>IF(B22="", "", YEAR(B22))</f>
        <v>2025</v>
      </c>
      <c r="H22" t="s">
        <v>141</v>
      </c>
      <c r="I22" t="s">
        <v>88</v>
      </c>
      <c r="J22" t="s">
        <v>93</v>
      </c>
      <c r="K22" t="s">
        <v>37</v>
      </c>
      <c r="L22" t="s">
        <v>142</v>
      </c>
      <c r="M22" t="s">
        <v>143</v>
      </c>
      <c r="N22" t="s">
        <v>74</v>
      </c>
      <c r="O22" t="s">
        <v>79</v>
      </c>
      <c r="P22" t="s">
        <v>144</v>
      </c>
      <c r="Q22" t="s">
        <v>49</v>
      </c>
      <c r="R22">
        <v>5</v>
      </c>
      <c r="S22" s="15">
        <v>4373.0600000000004</v>
      </c>
      <c r="T22" s="4">
        <v>0.25</v>
      </c>
      <c r="U22" s="3" t="str">
        <f>IF(T22&lt;0, "negative_discount", IF(AND(T22&gt;0.5, T22&lt;=1), "high_discount", ""))</f>
        <v/>
      </c>
      <c r="V22" s="11">
        <v>16398.98</v>
      </c>
      <c r="W22" s="12">
        <v>16398.98</v>
      </c>
      <c r="X22" s="11">
        <v>9556.52</v>
      </c>
      <c r="Y22" s="11">
        <v>6842.46</v>
      </c>
      <c r="Z22" s="11">
        <f>ROUND(W22-X22,2)</f>
        <v>6842.46</v>
      </c>
      <c r="AA22" s="4">
        <f>IF(W22=0,0,Z22/W22)</f>
        <v>0.41724912159170879</v>
      </c>
      <c r="AB22" t="s">
        <v>31</v>
      </c>
      <c r="AC22" t="s">
        <v>32</v>
      </c>
      <c r="AD22" t="str">
        <f>IF(AND(E22="", T22&gt;=0, T22&lt;=0.5, K22&lt;&gt;"Unknown", Q22&lt;&gt;"Unknown"), "CLEAN", _xlfn.CONCAT("WARNING: ", IF(E22&lt;&gt;"","invalid_date",""), IF(T22&lt;0,"negative_discount",""), IF(AND(T22&gt;0.5,T22&lt;=1),"high_discount",""), IF(K22="Unknown","missing_region",""), IF(Q22="Unknown","missing_ship_mode","")))</f>
        <v>CLEAN</v>
      </c>
      <c r="AE22" t="str">
        <f>IF(COUNTIF($AF$2:$AF$926,AF22)&gt;1,"DUPLICATE","UNIQUE")</f>
        <v>UNIQUE</v>
      </c>
      <c r="AF22" t="str">
        <f>A22&amp;"|"&amp;B22&amp;"|"&amp;H22&amp;"|"&amp;I22&amp;"|"&amp;R22&amp;"|"&amp;S22&amp;"|"&amp;V22</f>
        <v>ORD-2025-10021|2025-01-21|CUST-3190|Aditi Sen|5|4373.06|16398.98</v>
      </c>
      <c r="AG22" t="str">
        <f>IF(COUNTIF($A$2:$A$913,A22)&gt;1,"TRUE","FALSE")</f>
        <v>FALSE</v>
      </c>
    </row>
    <row r="23" spans="1:33">
      <c r="A23" t="s">
        <v>2981</v>
      </c>
      <c r="B23" t="s">
        <v>2680</v>
      </c>
      <c r="C23" t="s">
        <v>590</v>
      </c>
      <c r="D23">
        <f>IF(OR(B23="", C23=""), "", (C23 - B23))</f>
        <v>6</v>
      </c>
      <c r="E23" t="str">
        <f>IF(C23&lt;B23, "INVALID: Ship date before order date", "")</f>
        <v/>
      </c>
      <c r="F23" t="str">
        <f>IF(B23="", "", TEXT(B23, "mmmm"))</f>
        <v>January</v>
      </c>
      <c r="G23">
        <f>IF(B23="", "", YEAR(B23))</f>
        <v>2025</v>
      </c>
      <c r="H23" t="s">
        <v>145</v>
      </c>
      <c r="I23" t="s">
        <v>131</v>
      </c>
      <c r="J23" t="s">
        <v>23</v>
      </c>
      <c r="K23" t="s">
        <v>62</v>
      </c>
      <c r="L23" t="s">
        <v>72</v>
      </c>
      <c r="M23" t="s">
        <v>73</v>
      </c>
      <c r="N23" t="s">
        <v>40</v>
      </c>
      <c r="O23" t="s">
        <v>56</v>
      </c>
      <c r="P23" t="s">
        <v>146</v>
      </c>
      <c r="Q23" t="s">
        <v>30</v>
      </c>
      <c r="R23">
        <v>4</v>
      </c>
      <c r="S23" s="15">
        <v>697.69</v>
      </c>
      <c r="T23" s="4">
        <v>-0.23</v>
      </c>
      <c r="U23" s="3" t="str">
        <f>IF(T23&lt;0, "negative_discount", IF(AND(T23&gt;0.5, T23&lt;=1), "high_discount", ""))</f>
        <v>negative_discount</v>
      </c>
      <c r="V23" s="11">
        <v>2790.76</v>
      </c>
      <c r="W23" s="12">
        <v>3432.63</v>
      </c>
      <c r="X23" s="11">
        <v>2037.71</v>
      </c>
      <c r="Y23" s="11">
        <v>753.05</v>
      </c>
      <c r="Z23" s="11">
        <f>ROUND(W23-X23,2)</f>
        <v>1394.92</v>
      </c>
      <c r="AA23" s="4">
        <f>IF(W23=0,0,Z23/W23)</f>
        <v>0.40637062543880348</v>
      </c>
      <c r="AB23" t="s">
        <v>31</v>
      </c>
      <c r="AC23" t="s">
        <v>32</v>
      </c>
      <c r="AD23" t="str">
        <f>IF(AND(E23="", T23&gt;=0, T23&lt;=0.5, K23&lt;&gt;"Unknown", Q23&lt;&gt;"Unknown"), "CLEAN", _xlfn.CONCAT("WARNING: ", IF(E23&lt;&gt;"","invalid_date",""), IF(T23&lt;0,"negative_discount",""), IF(AND(T23&gt;0.5,T23&lt;=1),"high_discount",""), IF(K23="Unknown","missing_region",""), IF(Q23="Unknown","missing_ship_mode","")))</f>
        <v>WARNING: negative_discount</v>
      </c>
      <c r="AE23" t="str">
        <f>IF(COUNTIF($AF$2:$AF$926,AF23)&gt;1,"DUPLICATE","UNIQUE")</f>
        <v>UNIQUE</v>
      </c>
      <c r="AF23" t="str">
        <f>A23&amp;"|"&amp;B23&amp;"|"&amp;H23&amp;"|"&amp;I23&amp;"|"&amp;R23&amp;"|"&amp;S23&amp;"|"&amp;V23</f>
        <v>ORD-2025-10022|2025-01-24|CUST-3036|Sneha Kapoor|4|697.69|2790.76</v>
      </c>
      <c r="AG23" t="str">
        <f>IF(COUNTIF($A$2:$A$913,A23)&gt;1,"TRUE","FALSE")</f>
        <v>FALSE</v>
      </c>
    </row>
    <row r="24" spans="1:33">
      <c r="A24" t="s">
        <v>2982</v>
      </c>
      <c r="B24" t="s">
        <v>1397</v>
      </c>
      <c r="C24" t="s">
        <v>147</v>
      </c>
      <c r="D24">
        <f>IF(OR(B24="", C24=""), "", (C24 - B24))</f>
        <v>2</v>
      </c>
      <c r="E24" t="str">
        <f>IF(C24&lt;B24, "INVALID: Ship date before order date", "")</f>
        <v/>
      </c>
      <c r="F24" t="str">
        <f>IF(B24="", "", TEXT(B24, "mmmm"))</f>
        <v>January</v>
      </c>
      <c r="G24">
        <f>IF(B24="", "", YEAR(B24))</f>
        <v>2025</v>
      </c>
      <c r="H24" t="s">
        <v>148</v>
      </c>
      <c r="I24" t="s">
        <v>35</v>
      </c>
      <c r="J24" t="s">
        <v>23</v>
      </c>
      <c r="K24" t="s">
        <v>53</v>
      </c>
      <c r="L24" t="s">
        <v>54</v>
      </c>
      <c r="M24" t="s">
        <v>55</v>
      </c>
      <c r="N24" t="s">
        <v>27</v>
      </c>
      <c r="O24" t="s">
        <v>149</v>
      </c>
      <c r="P24" t="s">
        <v>150</v>
      </c>
      <c r="Q24" t="s">
        <v>58</v>
      </c>
      <c r="R24">
        <v>8</v>
      </c>
      <c r="S24" s="15">
        <v>1219.3399999999999</v>
      </c>
      <c r="T24" s="4">
        <v>0.15</v>
      </c>
      <c r="U24" s="3" t="str">
        <f>IF(T24&lt;0, "negative_discount", IF(AND(T24&gt;0.5, T24&lt;=1), "high_discount", ""))</f>
        <v/>
      </c>
      <c r="V24" s="11">
        <v>8291.51</v>
      </c>
      <c r="W24" s="12">
        <v>8291.51</v>
      </c>
      <c r="X24" s="11">
        <v>6685.03</v>
      </c>
      <c r="Y24" s="11">
        <v>1606.48</v>
      </c>
      <c r="Z24" s="11">
        <f>ROUND(W24-X24,2)</f>
        <v>1606.48</v>
      </c>
      <c r="AA24" s="4">
        <f>IF(W24=0,0,Z24/W24)</f>
        <v>0.19374999246216912</v>
      </c>
      <c r="AB24" t="s">
        <v>151</v>
      </c>
      <c r="AC24" t="s">
        <v>100</v>
      </c>
      <c r="AD24" t="str">
        <f>IF(AND(E24="", T24&gt;=0, T24&lt;=0.5, K24&lt;&gt;"Unknown", Q24&lt;&gt;"Unknown"), "CLEAN", _xlfn.CONCAT("WARNING: ", IF(E24&lt;&gt;"","invalid_date",""), IF(T24&lt;0,"negative_discount",""), IF(AND(T24&gt;0.5,T24&lt;=1),"high_discount",""), IF(K24="Unknown","missing_region",""), IF(Q24="Unknown","missing_ship_mode","")))</f>
        <v>CLEAN</v>
      </c>
      <c r="AE24" t="str">
        <f>IF(COUNTIF($AF$2:$AF$926,AF24)&gt;1,"DUPLICATE","UNIQUE")</f>
        <v>UNIQUE</v>
      </c>
      <c r="AF24" t="str">
        <f>A24&amp;"|"&amp;B24&amp;"|"&amp;H24&amp;"|"&amp;I24&amp;"|"&amp;R24&amp;"|"&amp;S24&amp;"|"&amp;V24</f>
        <v>ORD-2025-10023|2025-01-19|CUST-3588|Mira Das|8|1219.34|8291.51</v>
      </c>
      <c r="AG24" t="str">
        <f>IF(COUNTIF($A$2:$A$913,A24)&gt;1,"TRUE","FALSE")</f>
        <v>FALSE</v>
      </c>
    </row>
    <row r="25" spans="1:33">
      <c r="A25" t="s">
        <v>2983</v>
      </c>
      <c r="B25" t="s">
        <v>2674</v>
      </c>
      <c r="C25" t="s">
        <v>2432</v>
      </c>
      <c r="D25">
        <f>IF(OR(B25="", C25=""), "", (C25 - B25))</f>
        <v>2</v>
      </c>
      <c r="E25" t="str">
        <f>IF(C25&lt;B25, "INVALID: Ship date before order date", "")</f>
        <v/>
      </c>
      <c r="F25" t="str">
        <f>IF(B25="", "", TEXT(B25, "mmmm"))</f>
        <v>August</v>
      </c>
      <c r="G25">
        <f>IF(B25="", "", YEAR(B25))</f>
        <v>2025</v>
      </c>
      <c r="H25" t="s">
        <v>152</v>
      </c>
      <c r="I25" t="s">
        <v>116</v>
      </c>
      <c r="J25" t="s">
        <v>93</v>
      </c>
      <c r="K25" t="s">
        <v>37</v>
      </c>
      <c r="L25" t="s">
        <v>142</v>
      </c>
      <c r="M25" t="s">
        <v>143</v>
      </c>
      <c r="N25" t="s">
        <v>40</v>
      </c>
      <c r="O25" t="s">
        <v>153</v>
      </c>
      <c r="P25" t="s">
        <v>154</v>
      </c>
      <c r="Q25" t="s">
        <v>49</v>
      </c>
      <c r="R25">
        <v>4</v>
      </c>
      <c r="S25" s="15">
        <v>1958.01</v>
      </c>
      <c r="T25" s="4">
        <v>0.2</v>
      </c>
      <c r="U25" s="3" t="str">
        <f>IF(T25&lt;0, "negative_discount", IF(AND(T25&gt;0.5, T25&lt;=1), "high_discount", ""))</f>
        <v/>
      </c>
      <c r="V25" s="11">
        <v>6265.63</v>
      </c>
      <c r="W25" s="12">
        <v>6265.63</v>
      </c>
      <c r="X25" s="11">
        <v>4321.8599999999997</v>
      </c>
      <c r="Y25" s="11">
        <v>1943.77</v>
      </c>
      <c r="Z25" s="11">
        <f>ROUND(W25-X25,2)</f>
        <v>1943.77</v>
      </c>
      <c r="AA25" s="4">
        <f>IF(W25=0,0,Z25/W25)</f>
        <v>0.31022738335969408</v>
      </c>
      <c r="AB25" t="s">
        <v>31</v>
      </c>
      <c r="AC25" t="s">
        <v>32</v>
      </c>
      <c r="AD25" t="str">
        <f>IF(AND(E25="", T25&gt;=0, T25&lt;=0.5, K25&lt;&gt;"Unknown", Q25&lt;&gt;"Unknown"), "CLEAN", _xlfn.CONCAT("WARNING: ", IF(E25&lt;&gt;"","invalid_date",""), IF(T25&lt;0,"negative_discount",""), IF(AND(T25&gt;0.5,T25&lt;=1),"high_discount",""), IF(K25="Unknown","missing_region",""), IF(Q25="Unknown","missing_ship_mode","")))</f>
        <v>CLEAN</v>
      </c>
      <c r="AE25" t="str">
        <f>IF(COUNTIF($AF$2:$AF$926,AF25)&gt;1,"DUPLICATE","UNIQUE")</f>
        <v>UNIQUE</v>
      </c>
      <c r="AF25" t="str">
        <f>A25&amp;"|"&amp;B25&amp;"|"&amp;H25&amp;"|"&amp;I25&amp;"|"&amp;R25&amp;"|"&amp;S25&amp;"|"&amp;V25</f>
        <v>ORD-2025-10024|2025-08-29|CUST-7098|Rahul Verma|4|1958.01|6265.63</v>
      </c>
      <c r="AG25" t="str">
        <f>IF(COUNTIF($A$2:$A$913,A25)&gt;1,"TRUE","FALSE")</f>
        <v>FALSE</v>
      </c>
    </row>
    <row r="26" spans="1:33">
      <c r="A26" t="s">
        <v>155</v>
      </c>
      <c r="B26" t="s">
        <v>156</v>
      </c>
      <c r="C26" t="s">
        <v>2882</v>
      </c>
      <c r="D26">
        <f>IF(OR(B26="", C26=""), "", (C26 - B26))</f>
        <v>-3</v>
      </c>
      <c r="E26" t="str">
        <f>IF(C26&lt;B26, "INVALID: Ship date before order date", "")</f>
        <v>INVALID: Ship date before order date</v>
      </c>
      <c r="F26" t="str">
        <f>IF(B26="", "", TEXT(B26, "mmmm"))</f>
        <v>March</v>
      </c>
      <c r="G26">
        <f>IF(B26="", "", YEAR(B26))</f>
        <v>2024</v>
      </c>
      <c r="H26" t="s">
        <v>157</v>
      </c>
      <c r="I26" t="s">
        <v>158</v>
      </c>
      <c r="J26" t="s">
        <v>23</v>
      </c>
      <c r="K26" t="s">
        <v>24</v>
      </c>
      <c r="L26" t="s">
        <v>120</v>
      </c>
      <c r="M26" t="s">
        <v>121</v>
      </c>
      <c r="N26" t="s">
        <v>27</v>
      </c>
      <c r="O26" t="s">
        <v>47</v>
      </c>
      <c r="P26" t="s">
        <v>159</v>
      </c>
      <c r="Q26" t="s">
        <v>58</v>
      </c>
      <c r="R26">
        <v>4</v>
      </c>
      <c r="S26" s="15">
        <v>4492.9399999999996</v>
      </c>
      <c r="T26" s="4">
        <v>0.25</v>
      </c>
      <c r="U26" s="3" t="str">
        <f>IF(T26&lt;0, "negative_discount", IF(AND(T26&gt;0.5, T26&lt;=1), "high_discount", ""))</f>
        <v/>
      </c>
      <c r="V26" s="11">
        <v>13478.82</v>
      </c>
      <c r="W26" s="12">
        <v>13478.82</v>
      </c>
      <c r="X26" s="11">
        <v>10937.35</v>
      </c>
      <c r="Y26" s="11">
        <v>2541.4699999999998</v>
      </c>
      <c r="Z26" s="11">
        <f>ROUND(W26-X26,2)</f>
        <v>2541.4699999999998</v>
      </c>
      <c r="AA26" s="4">
        <f>IF(W26=0,0,Z26/W26)</f>
        <v>0.18855285551702597</v>
      </c>
      <c r="AB26" t="s">
        <v>109</v>
      </c>
      <c r="AC26" t="s">
        <v>67</v>
      </c>
      <c r="AD26" t="str">
        <f>IF(AND(E26="", T26&gt;=0, T26&lt;=0.5, K26&lt;&gt;"Unknown", Q26&lt;&gt;"Unknown"), "CLEAN", _xlfn.CONCAT("WARNING: ", IF(E26&lt;&gt;"","invalid_date",""), IF(T26&lt;0,"negative_discount",""), IF(AND(T26&gt;0.5,T26&lt;=1),"high_discount",""), IF(K26="Unknown","missing_region",""), IF(Q26="Unknown","missing_ship_mode","")))</f>
        <v>WARNING: invalid_date</v>
      </c>
      <c r="AE26" t="str">
        <f>IF(COUNTIF($AF$2:$AF$926,AF26)&gt;1,"DUPLICATE","UNIQUE")</f>
        <v>UNIQUE</v>
      </c>
      <c r="AF26" t="str">
        <f>A26&amp;"|"&amp;B26&amp;"|"&amp;H26&amp;"|"&amp;I26&amp;"|"&amp;R26&amp;"|"&amp;S26&amp;"|"&amp;V26</f>
        <v>ORD-2024-10025|2024-03-04|CUST-1747|Diya Patel|4|4492.94|13478.82</v>
      </c>
      <c r="AG26" t="str">
        <f>IF(COUNTIF($A$2:$A$913,A26)&gt;1,"TRUE","FALSE")</f>
        <v>FALSE</v>
      </c>
    </row>
    <row r="27" spans="1:33">
      <c r="A27" t="s">
        <v>160</v>
      </c>
      <c r="B27" t="s">
        <v>2681</v>
      </c>
      <c r="C27" t="s">
        <v>161</v>
      </c>
      <c r="D27">
        <f>IF(OR(B27="", C27=""), "", (C27 - B27))</f>
        <v>-22</v>
      </c>
      <c r="E27" t="str">
        <f>IF(C27&lt;B27, "INVALID: Ship date before order date", "")</f>
        <v>INVALID: Ship date before order date</v>
      </c>
      <c r="F27" t="str">
        <f>IF(B27="", "", TEXT(B27, "mmmm"))</f>
        <v>November</v>
      </c>
      <c r="G27">
        <f>IF(B27="", "", YEAR(B27))</f>
        <v>2024</v>
      </c>
      <c r="H27" t="s">
        <v>162</v>
      </c>
      <c r="I27" t="s">
        <v>52</v>
      </c>
      <c r="J27" t="s">
        <v>89</v>
      </c>
      <c r="K27" t="s">
        <v>37</v>
      </c>
      <c r="L27" t="s">
        <v>163</v>
      </c>
      <c r="M27" t="s">
        <v>164</v>
      </c>
      <c r="N27" t="s">
        <v>74</v>
      </c>
      <c r="O27" t="s">
        <v>75</v>
      </c>
      <c r="P27" t="s">
        <v>165</v>
      </c>
      <c r="Q27" t="s">
        <v>49</v>
      </c>
      <c r="R27">
        <v>2</v>
      </c>
      <c r="S27" s="15">
        <v>4315.2</v>
      </c>
      <c r="T27" s="4">
        <v>0.15</v>
      </c>
      <c r="U27" s="3" t="str">
        <f>IF(T27&lt;0, "negative_discount", IF(AND(T27&gt;0.5, T27&lt;=1), "high_discount", ""))</f>
        <v/>
      </c>
      <c r="V27" s="11">
        <v>7335.84</v>
      </c>
      <c r="W27" s="12">
        <v>7335.84</v>
      </c>
      <c r="X27" s="11">
        <v>4968.41</v>
      </c>
      <c r="Y27" s="11">
        <v>2367.4299999999998</v>
      </c>
      <c r="Z27" s="11">
        <f>ROUND(W27-X27,2)</f>
        <v>2367.4299999999998</v>
      </c>
      <c r="AA27" s="4">
        <f>IF(W27=0,0,Z27/W27)</f>
        <v>0.32272105171323257</v>
      </c>
      <c r="AB27" t="s">
        <v>31</v>
      </c>
      <c r="AC27" t="s">
        <v>32</v>
      </c>
      <c r="AD27" t="str">
        <f>IF(AND(E27="", T27&gt;=0, T27&lt;=0.5, K27&lt;&gt;"Unknown", Q27&lt;&gt;"Unknown"), "CLEAN", _xlfn.CONCAT("WARNING: ", IF(E27&lt;&gt;"","invalid_date",""), IF(T27&lt;0,"negative_discount",""), IF(AND(T27&gt;0.5,T27&lt;=1),"high_discount",""), IF(K27="Unknown","missing_region",""), IF(Q27="Unknown","missing_ship_mode","")))</f>
        <v>WARNING: invalid_date</v>
      </c>
      <c r="AE27" t="str">
        <f>IF(COUNTIF($AF$2:$AF$926,AF27)&gt;1,"DUPLICATE","UNIQUE")</f>
        <v>UNIQUE</v>
      </c>
      <c r="AF27" t="str">
        <f>A27&amp;"|"&amp;B27&amp;"|"&amp;H27&amp;"|"&amp;I27&amp;"|"&amp;R27&amp;"|"&amp;S27&amp;"|"&amp;V27</f>
        <v>ORD-2024-10026|2024-11-10|CUST-1731|Arjun Bose|2|4315.2|7335.84</v>
      </c>
      <c r="AG27" t="str">
        <f>IF(COUNTIF($A$2:$A$913,A27)&gt;1,"TRUE","FALSE")</f>
        <v>FALSE</v>
      </c>
    </row>
    <row r="28" spans="1:33">
      <c r="A28" t="s">
        <v>166</v>
      </c>
      <c r="B28" t="s">
        <v>2682</v>
      </c>
      <c r="C28" t="s">
        <v>2682</v>
      </c>
      <c r="D28">
        <f>IF(OR(B28="", C28=""), "", (C28 - B28))</f>
        <v>0</v>
      </c>
      <c r="E28" t="str">
        <f>IF(C28&lt;B28, "INVALID: Ship date before order date", "")</f>
        <v/>
      </c>
      <c r="F28" t="str">
        <f>IF(B28="", "", TEXT(B28, "mmmm"))</f>
        <v>November</v>
      </c>
      <c r="G28">
        <f>IF(B28="", "", YEAR(B28))</f>
        <v>2024</v>
      </c>
      <c r="H28" t="s">
        <v>167</v>
      </c>
      <c r="I28" t="s">
        <v>158</v>
      </c>
      <c r="J28" t="s">
        <v>89</v>
      </c>
      <c r="K28" t="s">
        <v>24</v>
      </c>
      <c r="L28" t="s">
        <v>134</v>
      </c>
      <c r="M28" t="s">
        <v>135</v>
      </c>
      <c r="N28" t="s">
        <v>74</v>
      </c>
      <c r="O28" t="s">
        <v>168</v>
      </c>
      <c r="P28" t="s">
        <v>169</v>
      </c>
      <c r="Q28" t="s">
        <v>58</v>
      </c>
      <c r="R28">
        <v>4</v>
      </c>
      <c r="S28" s="15">
        <v>716.13</v>
      </c>
      <c r="T28" s="4">
        <v>0.1</v>
      </c>
      <c r="U28" s="3" t="str">
        <f>IF(T28&lt;0, "negative_discount", IF(AND(T28&gt;0.5, T28&lt;=1), "high_discount", ""))</f>
        <v/>
      </c>
      <c r="V28" s="11">
        <v>2578.0700000000002</v>
      </c>
      <c r="W28" s="12">
        <v>2578.0700000000002</v>
      </c>
      <c r="X28" s="11">
        <v>1527.55</v>
      </c>
      <c r="Y28" s="11">
        <v>1050.52</v>
      </c>
      <c r="Z28" s="11">
        <f>ROUND(W28-X28,2)</f>
        <v>1050.52</v>
      </c>
      <c r="AA28" s="4">
        <f>IF(W28=0,0,Z28/W28)</f>
        <v>0.40748311721559149</v>
      </c>
      <c r="AB28" t="s">
        <v>31</v>
      </c>
      <c r="AC28" t="s">
        <v>100</v>
      </c>
      <c r="AD28" t="str">
        <f>IF(AND(E28="", T28&gt;=0, T28&lt;=0.5, K28&lt;&gt;"Unknown", Q28&lt;&gt;"Unknown"), "CLEAN", _xlfn.CONCAT("WARNING: ", IF(E28&lt;&gt;"","invalid_date",""), IF(T28&lt;0,"negative_discount",""), IF(AND(T28&gt;0.5,T28&lt;=1),"high_discount",""), IF(K28="Unknown","missing_region",""), IF(Q28="Unknown","missing_ship_mode","")))</f>
        <v>CLEAN</v>
      </c>
      <c r="AE28" t="str">
        <f>IF(COUNTIF($AF$2:$AF$926,AF28)&gt;1,"DUPLICATE","UNIQUE")</f>
        <v>UNIQUE</v>
      </c>
      <c r="AF28" t="str">
        <f>A28&amp;"|"&amp;B28&amp;"|"&amp;H28&amp;"|"&amp;I28&amp;"|"&amp;R28&amp;"|"&amp;S28&amp;"|"&amp;V28</f>
        <v>ORD-2024-10027|2024-11-23|CUST-4401|Diya Patel|4|716.13|2578.07</v>
      </c>
      <c r="AG28" t="str">
        <f>IF(COUNTIF($A$2:$A$913,A28)&gt;1,"TRUE","FALSE")</f>
        <v>FALSE</v>
      </c>
    </row>
    <row r="29" spans="1:33">
      <c r="A29" t="s">
        <v>2984</v>
      </c>
      <c r="B29" t="s">
        <v>1848</v>
      </c>
      <c r="C29" t="s">
        <v>897</v>
      </c>
      <c r="D29">
        <f>IF(OR(B29="", C29=""), "", (C29 - B29))</f>
        <v>-142</v>
      </c>
      <c r="E29" t="str">
        <f>IF(C29&lt;B29, "INVALID: Ship date before order date", "")</f>
        <v>INVALID: Ship date before order date</v>
      </c>
      <c r="F29" t="str">
        <f>IF(B29="", "", TEXT(B29, "mmmm"))</f>
        <v>September</v>
      </c>
      <c r="G29">
        <f>IF(B29="", "", YEAR(B29))</f>
        <v>2025</v>
      </c>
      <c r="H29" t="s">
        <v>170</v>
      </c>
      <c r="I29" t="s">
        <v>52</v>
      </c>
      <c r="J29" t="s">
        <v>36</v>
      </c>
      <c r="K29" t="s">
        <v>53</v>
      </c>
      <c r="L29" t="s">
        <v>171</v>
      </c>
      <c r="M29" t="s">
        <v>172</v>
      </c>
      <c r="N29" t="s">
        <v>27</v>
      </c>
      <c r="O29" t="s">
        <v>28</v>
      </c>
      <c r="P29" t="s">
        <v>173</v>
      </c>
      <c r="Q29" t="s">
        <v>30</v>
      </c>
      <c r="R29">
        <v>5</v>
      </c>
      <c r="S29" s="15">
        <v>1806.51</v>
      </c>
      <c r="T29" s="4">
        <v>0.25</v>
      </c>
      <c r="U29" s="3" t="str">
        <f>IF(T29&lt;0, "negative_discount", IF(AND(T29&gt;0.5, T29&lt;=1), "high_discount", ""))</f>
        <v/>
      </c>
      <c r="V29" s="11">
        <v>6774.41</v>
      </c>
      <c r="W29" s="12">
        <v>6774.41</v>
      </c>
      <c r="X29" s="11">
        <v>4710.3599999999997</v>
      </c>
      <c r="Y29" s="11">
        <v>2064.0500000000002</v>
      </c>
      <c r="Z29" s="11">
        <f>ROUND(W29-X29,2)</f>
        <v>2064.0500000000002</v>
      </c>
      <c r="AA29" s="4">
        <f>IF(W29=0,0,Z29/W29)</f>
        <v>0.30468335987931056</v>
      </c>
      <c r="AB29" t="s">
        <v>151</v>
      </c>
      <c r="AC29" t="s">
        <v>100</v>
      </c>
      <c r="AD29" t="str">
        <f>IF(AND(E29="", T29&gt;=0, T29&lt;=0.5, K29&lt;&gt;"Unknown", Q29&lt;&gt;"Unknown"), "CLEAN", _xlfn.CONCAT("WARNING: ", IF(E29&lt;&gt;"","invalid_date",""), IF(T29&lt;0,"negative_discount",""), IF(AND(T29&gt;0.5,T29&lt;=1),"high_discount",""), IF(K29="Unknown","missing_region",""), IF(Q29="Unknown","missing_ship_mode","")))</f>
        <v>WARNING: invalid_date</v>
      </c>
      <c r="AE29" t="str">
        <f>IF(COUNTIF($AF$2:$AF$926,AF29)&gt;1,"DUPLICATE","UNIQUE")</f>
        <v>UNIQUE</v>
      </c>
      <c r="AF29" t="str">
        <f>A29&amp;"|"&amp;B29&amp;"|"&amp;H29&amp;"|"&amp;I29&amp;"|"&amp;R29&amp;"|"&amp;S29&amp;"|"&amp;V29</f>
        <v>ORD-2025-10028|2025-09-29|CUST-9875|Arjun Bose|5|1806.51|6774.41</v>
      </c>
      <c r="AG29" t="str">
        <f>IF(COUNTIF($A$2:$A$913,A29)&gt;1,"TRUE","FALSE")</f>
        <v>FALSE</v>
      </c>
    </row>
    <row r="30" spans="1:33">
      <c r="A30" t="s">
        <v>174</v>
      </c>
      <c r="B30" t="s">
        <v>2681</v>
      </c>
      <c r="C30" t="s">
        <v>2710</v>
      </c>
      <c r="D30">
        <f>IF(OR(B30="", C30=""), "", (C30 - B30))</f>
        <v>-23</v>
      </c>
      <c r="E30" t="str">
        <f>IF(C30&lt;B30, "INVALID: Ship date before order date", "")</f>
        <v>INVALID: Ship date before order date</v>
      </c>
      <c r="F30" t="str">
        <f>IF(B30="", "", TEXT(B30, "mmmm"))</f>
        <v>November</v>
      </c>
      <c r="G30">
        <f>IF(B30="", "", YEAR(B30))</f>
        <v>2024</v>
      </c>
      <c r="H30" t="s">
        <v>175</v>
      </c>
      <c r="I30" t="s">
        <v>61</v>
      </c>
      <c r="J30" t="s">
        <v>93</v>
      </c>
      <c r="K30" t="s">
        <v>62</v>
      </c>
      <c r="L30" t="s">
        <v>176</v>
      </c>
      <c r="M30" t="s">
        <v>177</v>
      </c>
      <c r="N30" t="s">
        <v>74</v>
      </c>
      <c r="O30" t="s">
        <v>168</v>
      </c>
      <c r="P30" t="s">
        <v>178</v>
      </c>
      <c r="Q30" t="s">
        <v>30</v>
      </c>
      <c r="R30">
        <v>2</v>
      </c>
      <c r="S30" s="15">
        <v>1942.22</v>
      </c>
      <c r="T30" s="4">
        <v>0.25</v>
      </c>
      <c r="U30" s="3" t="str">
        <f>IF(T30&lt;0, "negative_discount", IF(AND(T30&gt;0.5, T30&lt;=1), "high_discount", ""))</f>
        <v/>
      </c>
      <c r="V30" s="11">
        <v>2913.33</v>
      </c>
      <c r="W30" s="12">
        <v>2913.33</v>
      </c>
      <c r="X30" s="11">
        <v>2122.33</v>
      </c>
      <c r="Y30" s="11">
        <v>791</v>
      </c>
      <c r="Z30" s="11">
        <f>ROUND(W30-X30,2)</f>
        <v>791</v>
      </c>
      <c r="AA30" s="4">
        <f>IF(W30=0,0,Z30/W30)</f>
        <v>0.27151060813570727</v>
      </c>
      <c r="AB30" t="s">
        <v>99</v>
      </c>
      <c r="AC30" t="s">
        <v>67</v>
      </c>
      <c r="AD30" t="str">
        <f>IF(AND(E30="", T30&gt;=0, T30&lt;=0.5, K30&lt;&gt;"Unknown", Q30&lt;&gt;"Unknown"), "CLEAN", _xlfn.CONCAT("WARNING: ", IF(E30&lt;&gt;"","invalid_date",""), IF(T30&lt;0,"negative_discount",""), IF(AND(T30&gt;0.5,T30&lt;=1),"high_discount",""), IF(K30="Unknown","missing_region",""), IF(Q30="Unknown","missing_ship_mode","")))</f>
        <v>WARNING: invalid_date</v>
      </c>
      <c r="AE30" t="str">
        <f>IF(COUNTIF($AF$2:$AF$926,AF30)&gt;1,"DUPLICATE","UNIQUE")</f>
        <v>UNIQUE</v>
      </c>
      <c r="AF30" t="str">
        <f>A30&amp;"|"&amp;B30&amp;"|"&amp;H30&amp;"|"&amp;I30&amp;"|"&amp;R30&amp;"|"&amp;S30&amp;"|"&amp;V30</f>
        <v>ORD-2024-10029|2024-11-10|CUST-1569|Ananya Rao|2|1942.22|2913.33</v>
      </c>
      <c r="AG30" t="str">
        <f>IF(COUNTIF($A$2:$A$913,A30)&gt;1,"TRUE","FALSE")</f>
        <v>FALSE</v>
      </c>
    </row>
    <row r="31" spans="1:33">
      <c r="A31" t="s">
        <v>2985</v>
      </c>
      <c r="B31" t="s">
        <v>2683</v>
      </c>
      <c r="C31" t="s">
        <v>2683</v>
      </c>
      <c r="D31">
        <f>IF(OR(B31="", C31=""), "", (C31 - B31))</f>
        <v>0</v>
      </c>
      <c r="E31" t="str">
        <f>IF(C31&lt;B31, "INVALID: Ship date before order date", "")</f>
        <v/>
      </c>
      <c r="F31" t="str">
        <f>IF(B31="", "", TEXT(B31, "mmmm"))</f>
        <v>August</v>
      </c>
      <c r="G31">
        <f>IF(B31="", "", YEAR(B31))</f>
        <v>2025</v>
      </c>
      <c r="H31" t="s">
        <v>179</v>
      </c>
      <c r="I31" t="s">
        <v>139</v>
      </c>
      <c r="J31" t="s">
        <v>93</v>
      </c>
      <c r="K31" t="s">
        <v>53</v>
      </c>
      <c r="L31" t="s">
        <v>180</v>
      </c>
      <c r="M31" t="s">
        <v>181</v>
      </c>
      <c r="N31" t="s">
        <v>74</v>
      </c>
      <c r="O31" t="s">
        <v>168</v>
      </c>
      <c r="P31" t="s">
        <v>182</v>
      </c>
      <c r="Q31" t="s">
        <v>58</v>
      </c>
      <c r="R31">
        <v>1</v>
      </c>
      <c r="S31" s="15">
        <v>256.01</v>
      </c>
      <c r="T31" s="4">
        <v>0.15</v>
      </c>
      <c r="U31" s="3" t="str">
        <f>IF(T31&lt;0, "negative_discount", IF(AND(T31&gt;0.5, T31&lt;=1), "high_discount", ""))</f>
        <v/>
      </c>
      <c r="V31" s="11">
        <v>217.61</v>
      </c>
      <c r="W31" s="12">
        <v>217.61</v>
      </c>
      <c r="X31" s="11">
        <v>119.77</v>
      </c>
      <c r="Y31" s="11">
        <v>97.84</v>
      </c>
      <c r="Z31" s="11">
        <f>ROUND(W31-X31,2)</f>
        <v>97.84</v>
      </c>
      <c r="AA31" s="4">
        <f>IF(W31=0,0,Z31/W31)</f>
        <v>0.44961169063921691</v>
      </c>
      <c r="AB31" t="s">
        <v>31</v>
      </c>
      <c r="AC31" t="s">
        <v>32</v>
      </c>
      <c r="AD31" t="str">
        <f>IF(AND(E31="", T31&gt;=0, T31&lt;=0.5, K31&lt;&gt;"Unknown", Q31&lt;&gt;"Unknown"), "CLEAN", _xlfn.CONCAT("WARNING: ", IF(E31&lt;&gt;"","invalid_date",""), IF(T31&lt;0,"negative_discount",""), IF(AND(T31&gt;0.5,T31&lt;=1),"high_discount",""), IF(K31="Unknown","missing_region",""), IF(Q31="Unknown","missing_ship_mode","")))</f>
        <v>CLEAN</v>
      </c>
      <c r="AE31" t="str">
        <f>IF(COUNTIF($AF$2:$AF$926,AF31)&gt;1,"DUPLICATE","UNIQUE")</f>
        <v>UNIQUE</v>
      </c>
      <c r="AF31" t="str">
        <f>A31&amp;"|"&amp;B31&amp;"|"&amp;H31&amp;"|"&amp;I31&amp;"|"&amp;R31&amp;"|"&amp;S31&amp;"|"&amp;V31</f>
        <v>ORD-2025-10030|2025-08-13|CUST-5936|Rohan Mehta|1|256.01|217.61</v>
      </c>
      <c r="AG31" t="str">
        <f>IF(COUNTIF($A$2:$A$913,A31)&gt;1,"TRUE","FALSE")</f>
        <v>FALSE</v>
      </c>
    </row>
    <row r="32" spans="1:33">
      <c r="A32" t="s">
        <v>183</v>
      </c>
      <c r="B32" t="s">
        <v>2684</v>
      </c>
      <c r="C32" t="s">
        <v>1532</v>
      </c>
      <c r="D32">
        <f>IF(OR(B32="", C32=""), "", (C32 - B32))</f>
        <v>3</v>
      </c>
      <c r="E32" t="str">
        <f>IF(C32&lt;B32, "INVALID: Ship date before order date", "")</f>
        <v/>
      </c>
      <c r="F32" t="str">
        <f>IF(B32="", "", TEXT(B32, "mmmm"))</f>
        <v>February</v>
      </c>
      <c r="G32">
        <f>IF(B32="", "", YEAR(B32))</f>
        <v>2024</v>
      </c>
      <c r="H32" t="s">
        <v>184</v>
      </c>
      <c r="I32" t="s">
        <v>61</v>
      </c>
      <c r="J32" t="s">
        <v>89</v>
      </c>
      <c r="K32" t="s">
        <v>62</v>
      </c>
      <c r="L32" t="s">
        <v>185</v>
      </c>
      <c r="M32" t="s">
        <v>186</v>
      </c>
      <c r="N32" t="s">
        <v>27</v>
      </c>
      <c r="O32" t="s">
        <v>90</v>
      </c>
      <c r="P32" t="s">
        <v>187</v>
      </c>
      <c r="Q32" t="s">
        <v>49</v>
      </c>
      <c r="R32">
        <v>1</v>
      </c>
      <c r="S32" s="15">
        <v>3421.77</v>
      </c>
      <c r="T32" s="4">
        <v>0.1</v>
      </c>
      <c r="U32" s="3" t="str">
        <f>IF(T32&lt;0, "negative_discount", IF(AND(T32&gt;0.5, T32&lt;=1), "high_discount", ""))</f>
        <v/>
      </c>
      <c r="V32" s="11">
        <v>3079.59</v>
      </c>
      <c r="W32" s="12">
        <v>3079.59</v>
      </c>
      <c r="X32" s="11">
        <v>2001.89</v>
      </c>
      <c r="Y32" s="11">
        <v>1077.7</v>
      </c>
      <c r="Z32" s="11">
        <f>ROUND(W32-X32,2)</f>
        <v>1077.7</v>
      </c>
      <c r="AA32" s="4">
        <f>IF(W32=0,0,Z32/W32)</f>
        <v>0.34994918154689425</v>
      </c>
      <c r="AB32" t="s">
        <v>31</v>
      </c>
      <c r="AC32" t="s">
        <v>32</v>
      </c>
      <c r="AD32" t="str">
        <f>IF(AND(E32="", T32&gt;=0, T32&lt;=0.5, K32&lt;&gt;"Unknown", Q32&lt;&gt;"Unknown"), "CLEAN", _xlfn.CONCAT("WARNING: ", IF(E32&lt;&gt;"","invalid_date",""), IF(T32&lt;0,"negative_discount",""), IF(AND(T32&gt;0.5,T32&lt;=1),"high_discount",""), IF(K32="Unknown","missing_region",""), IF(Q32="Unknown","missing_ship_mode","")))</f>
        <v>CLEAN</v>
      </c>
      <c r="AE32" t="str">
        <f>IF(COUNTIF($AF$2:$AF$926,AF32)&gt;1,"DUPLICATE","UNIQUE")</f>
        <v>UNIQUE</v>
      </c>
      <c r="AF32" t="str">
        <f>A32&amp;"|"&amp;B32&amp;"|"&amp;H32&amp;"|"&amp;I32&amp;"|"&amp;R32&amp;"|"&amp;S32&amp;"|"&amp;V32</f>
        <v>ORD-2024-10031|2024-02-09|CUST-8759|Ananya Rao|1|3421.77|3079.59</v>
      </c>
      <c r="AG32" t="str">
        <f>IF(COUNTIF($A$2:$A$913,A32)&gt;1,"TRUE","FALSE")</f>
        <v>FALSE</v>
      </c>
    </row>
    <row r="33" spans="1:33">
      <c r="A33" t="s">
        <v>2986</v>
      </c>
      <c r="B33" t="s">
        <v>2685</v>
      </c>
      <c r="C33" t="s">
        <v>1016</v>
      </c>
      <c r="D33">
        <f>IF(OR(B33="", C33=""), "", (C33 - B33))</f>
        <v>4</v>
      </c>
      <c r="E33" t="str">
        <f>IF(C33&lt;B33, "INVALID: Ship date before order date", "")</f>
        <v/>
      </c>
      <c r="F33" t="str">
        <f>IF(B33="", "", TEXT(B33, "mmmm"))</f>
        <v>June</v>
      </c>
      <c r="G33">
        <f>IF(B33="", "", YEAR(B33))</f>
        <v>2025</v>
      </c>
      <c r="H33" t="s">
        <v>188</v>
      </c>
      <c r="I33" t="s">
        <v>22</v>
      </c>
      <c r="J33" t="s">
        <v>36</v>
      </c>
      <c r="K33" t="s">
        <v>62</v>
      </c>
      <c r="L33" t="s">
        <v>72</v>
      </c>
      <c r="M33" t="s">
        <v>73</v>
      </c>
      <c r="N33" t="s">
        <v>27</v>
      </c>
      <c r="O33" t="s">
        <v>28</v>
      </c>
      <c r="P33" t="s">
        <v>189</v>
      </c>
      <c r="Q33" t="s">
        <v>30</v>
      </c>
      <c r="R33">
        <v>9</v>
      </c>
      <c r="S33" s="15">
        <v>3092.55</v>
      </c>
      <c r="T33" s="4">
        <v>0</v>
      </c>
      <c r="U33" s="3" t="str">
        <f>IF(T33&lt;0, "negative_discount", IF(AND(T33&gt;0.5, T33&lt;=1), "high_discount", ""))</f>
        <v/>
      </c>
      <c r="V33" s="11">
        <v>27832.95</v>
      </c>
      <c r="W33" s="12">
        <v>27832.95</v>
      </c>
      <c r="X33" s="11">
        <v>17769.75</v>
      </c>
      <c r="Y33" s="11">
        <v>10063.200000000001</v>
      </c>
      <c r="Z33" s="11">
        <f>ROUND(W33-X33,2)</f>
        <v>10063.200000000001</v>
      </c>
      <c r="AA33" s="4">
        <f>IF(W33=0,0,Z33/W33)</f>
        <v>0.36155707533696574</v>
      </c>
      <c r="AB33" t="s">
        <v>151</v>
      </c>
      <c r="AC33" t="s">
        <v>100</v>
      </c>
      <c r="AD33" t="str">
        <f>IF(AND(E33="", T33&gt;=0, T33&lt;=0.5, K33&lt;&gt;"Unknown", Q33&lt;&gt;"Unknown"), "CLEAN", _xlfn.CONCAT("WARNING: ", IF(E33&lt;&gt;"","invalid_date",""), IF(T33&lt;0,"negative_discount",""), IF(AND(T33&gt;0.5,T33&lt;=1),"high_discount",""), IF(K33="Unknown","missing_region",""), IF(Q33="Unknown","missing_ship_mode","")))</f>
        <v>CLEAN</v>
      </c>
      <c r="AE33" t="str">
        <f>IF(COUNTIF($AF$2:$AF$926,AF33)&gt;1,"DUPLICATE","UNIQUE")</f>
        <v>UNIQUE</v>
      </c>
      <c r="AF33" t="str">
        <f>A33&amp;"|"&amp;B33&amp;"|"&amp;H33&amp;"|"&amp;I33&amp;"|"&amp;R33&amp;"|"&amp;S33&amp;"|"&amp;V33</f>
        <v>ORD-2025-10032|2025-06-15|CUST-7867|Karan Malhotra|9|3092.55|27832.95</v>
      </c>
      <c r="AG33" t="str">
        <f>IF(COUNTIF($A$2:$A$913,A33)&gt;1,"TRUE","FALSE")</f>
        <v>FALSE</v>
      </c>
    </row>
    <row r="34" spans="1:33">
      <c r="A34" t="s">
        <v>190</v>
      </c>
      <c r="B34" t="s">
        <v>1548</v>
      </c>
      <c r="C34" t="s">
        <v>191</v>
      </c>
      <c r="D34">
        <f>IF(OR(B34="", C34=""), "", (C34 - B34))</f>
        <v>4</v>
      </c>
      <c r="E34" t="str">
        <f>IF(C34&lt;B34, "INVALID: Ship date before order date", "")</f>
        <v/>
      </c>
      <c r="F34" t="str">
        <f>IF(B34="", "", TEXT(B34, "mmmm"))</f>
        <v>November</v>
      </c>
      <c r="G34">
        <f>IF(B34="", "", YEAR(B34))</f>
        <v>2024</v>
      </c>
      <c r="H34" t="s">
        <v>192</v>
      </c>
      <c r="I34" t="s">
        <v>126</v>
      </c>
      <c r="J34" t="s">
        <v>89</v>
      </c>
      <c r="K34" t="s">
        <v>53</v>
      </c>
      <c r="L34" t="s">
        <v>83</v>
      </c>
      <c r="M34" t="s">
        <v>84</v>
      </c>
      <c r="N34" t="s">
        <v>74</v>
      </c>
      <c r="O34" t="s">
        <v>168</v>
      </c>
      <c r="P34" t="s">
        <v>193</v>
      </c>
      <c r="Q34" t="s">
        <v>30</v>
      </c>
      <c r="R34">
        <v>3</v>
      </c>
      <c r="S34" s="15">
        <v>4001.25</v>
      </c>
      <c r="T34" s="4">
        <v>0</v>
      </c>
      <c r="U34" s="3" t="str">
        <f>IF(T34&lt;0, "negative_discount", IF(AND(T34&gt;0.5, T34&lt;=1), "high_discount", ""))</f>
        <v/>
      </c>
      <c r="V34" s="11">
        <v>9002.81</v>
      </c>
      <c r="W34" s="12">
        <v>12003.75</v>
      </c>
      <c r="X34" s="11">
        <v>7529.92</v>
      </c>
      <c r="Y34" s="11">
        <v>1472.89</v>
      </c>
      <c r="Z34" s="11">
        <f>ROUND(W34-X34,2)</f>
        <v>4473.83</v>
      </c>
      <c r="AA34" s="4">
        <f>IF(W34=0,0,Z34/W34)</f>
        <v>0.37270269707383108</v>
      </c>
      <c r="AB34" t="s">
        <v>31</v>
      </c>
      <c r="AC34" t="s">
        <v>32</v>
      </c>
      <c r="AD34" t="str">
        <f>IF(AND(E34="", T34&gt;=0, T34&lt;=0.5, K34&lt;&gt;"Unknown", Q34&lt;&gt;"Unknown"), "CLEAN", _xlfn.CONCAT("WARNING: ", IF(E34&lt;&gt;"","invalid_date",""), IF(T34&lt;0,"negative_discount",""), IF(AND(T34&gt;0.5,T34&lt;=1),"high_discount",""), IF(K34="Unknown","missing_region",""), IF(Q34="Unknown","missing_ship_mode","")))</f>
        <v>CLEAN</v>
      </c>
      <c r="AE34" t="str">
        <f>IF(COUNTIF($AF$2:$AF$926,AF34)&gt;1,"DUPLICATE","UNIQUE")</f>
        <v>UNIQUE</v>
      </c>
      <c r="AF34" t="str">
        <f>A34&amp;"|"&amp;B34&amp;"|"&amp;H34&amp;"|"&amp;I34&amp;"|"&amp;R34&amp;"|"&amp;S34&amp;"|"&amp;V34</f>
        <v>ORD-2024-10033|2024-11-22|CUST-6509|Aarav Sharma|3|4001.25|9002.81</v>
      </c>
      <c r="AG34" t="str">
        <f>IF(COUNTIF($A$2:$A$913,A34)&gt;1,"TRUE","FALSE")</f>
        <v>FALSE</v>
      </c>
    </row>
    <row r="35" spans="1:33">
      <c r="A35" t="s">
        <v>194</v>
      </c>
      <c r="B35" t="s">
        <v>102</v>
      </c>
      <c r="C35" t="s">
        <v>2679</v>
      </c>
      <c r="D35">
        <f>IF(OR(B35="", C35=""), "", (C35 - B35))</f>
        <v>5</v>
      </c>
      <c r="E35" t="str">
        <f>IF(C35&lt;B35, "INVALID: Ship date before order date", "")</f>
        <v/>
      </c>
      <c r="F35" t="str">
        <f>IF(B35="", "", TEXT(B35, "mmmm"))</f>
        <v>July</v>
      </c>
      <c r="G35">
        <f>IF(B35="", "", YEAR(B35))</f>
        <v>2024</v>
      </c>
      <c r="H35" t="s">
        <v>195</v>
      </c>
      <c r="I35" t="s">
        <v>112</v>
      </c>
      <c r="J35" t="s">
        <v>93</v>
      </c>
      <c r="K35" t="s">
        <v>62</v>
      </c>
      <c r="L35" t="s">
        <v>185</v>
      </c>
      <c r="M35" t="s">
        <v>186</v>
      </c>
      <c r="N35" t="s">
        <v>40</v>
      </c>
      <c r="O35" t="s">
        <v>41</v>
      </c>
      <c r="P35" t="s">
        <v>196</v>
      </c>
      <c r="Q35" t="s">
        <v>43</v>
      </c>
      <c r="R35">
        <v>7</v>
      </c>
      <c r="S35" s="15">
        <v>492.41</v>
      </c>
      <c r="T35" s="4">
        <v>0.25</v>
      </c>
      <c r="U35" s="3" t="str">
        <f>IF(T35&lt;0, "negative_discount", IF(AND(T35&gt;0.5, T35&lt;=1), "high_discount", ""))</f>
        <v/>
      </c>
      <c r="V35" s="11">
        <v>2585.15</v>
      </c>
      <c r="W35" s="12">
        <v>2585.15</v>
      </c>
      <c r="X35" s="11">
        <v>2070.73</v>
      </c>
      <c r="Y35" s="11">
        <v>514.41999999999996</v>
      </c>
      <c r="Z35" s="11">
        <f>ROUND(W35-X35,2)</f>
        <v>514.41999999999996</v>
      </c>
      <c r="AA35" s="4">
        <f>IF(W35=0,0,Z35/W35)</f>
        <v>0.19899038740498615</v>
      </c>
      <c r="AB35" t="s">
        <v>31</v>
      </c>
      <c r="AC35" t="s">
        <v>32</v>
      </c>
      <c r="AD35" t="str">
        <f>IF(AND(E35="", T35&gt;=0, T35&lt;=0.5, K35&lt;&gt;"Unknown", Q35&lt;&gt;"Unknown"), "CLEAN", _xlfn.CONCAT("WARNING: ", IF(E35&lt;&gt;"","invalid_date",""), IF(T35&lt;0,"negative_discount",""), IF(AND(T35&gt;0.5,T35&lt;=1),"high_discount",""), IF(K35="Unknown","missing_region",""), IF(Q35="Unknown","missing_ship_mode","")))</f>
        <v>CLEAN</v>
      </c>
      <c r="AE35" t="str">
        <f>IF(COUNTIF($AF$2:$AF$926,AF35)&gt;1,"DUPLICATE","UNIQUE")</f>
        <v>UNIQUE</v>
      </c>
      <c r="AF35" t="str">
        <f>A35&amp;"|"&amp;B35&amp;"|"&amp;H35&amp;"|"&amp;I35&amp;"|"&amp;R35&amp;"|"&amp;S35&amp;"|"&amp;V35</f>
        <v>ORD-2024-10034|2024-07-22|CUST-6660|Priya Menon|7|492.41|2585.15</v>
      </c>
      <c r="AG35" t="str">
        <f>IF(COUNTIF($A$2:$A$913,A35)&gt;1,"TRUE","FALSE")</f>
        <v>FALSE</v>
      </c>
    </row>
    <row r="36" spans="1:33">
      <c r="A36" t="s">
        <v>2987</v>
      </c>
      <c r="B36" t="s">
        <v>197</v>
      </c>
      <c r="C36" t="s">
        <v>198</v>
      </c>
      <c r="D36">
        <f>IF(OR(B36="", C36=""), "", (C36 - B36))</f>
        <v>5</v>
      </c>
      <c r="E36" t="str">
        <f>IF(C36&lt;B36, "INVALID: Ship date before order date", "")</f>
        <v/>
      </c>
      <c r="F36" t="str">
        <f>IF(B36="", "", TEXT(B36, "mmmm"))</f>
        <v>January</v>
      </c>
      <c r="G36">
        <f>IF(B36="", "", YEAR(B36))</f>
        <v>2025</v>
      </c>
      <c r="H36" t="s">
        <v>199</v>
      </c>
      <c r="I36" t="s">
        <v>112</v>
      </c>
      <c r="J36" t="s">
        <v>93</v>
      </c>
      <c r="K36" t="s">
        <v>37</v>
      </c>
      <c r="L36" t="s">
        <v>96</v>
      </c>
      <c r="M36" t="s">
        <v>97</v>
      </c>
      <c r="N36" t="s">
        <v>40</v>
      </c>
      <c r="O36" t="s">
        <v>65</v>
      </c>
      <c r="P36" t="s">
        <v>200</v>
      </c>
      <c r="Q36" t="s">
        <v>2970</v>
      </c>
      <c r="R36">
        <v>2</v>
      </c>
      <c r="S36" s="15">
        <v>4159.6899999999996</v>
      </c>
      <c r="T36" s="4">
        <v>0.2</v>
      </c>
      <c r="U36" s="3" t="str">
        <f>IF(T36&lt;0, "negative_discount", IF(AND(T36&gt;0.5, T36&lt;=1), "high_discount", ""))</f>
        <v/>
      </c>
      <c r="V36" s="11">
        <v>6655.5</v>
      </c>
      <c r="W36" s="12">
        <v>6655.5</v>
      </c>
      <c r="X36" s="11">
        <v>4340.21</v>
      </c>
      <c r="Y36" s="11">
        <v>2607.3200000000002</v>
      </c>
      <c r="Z36" s="11">
        <f>ROUND(W36-X36,2)</f>
        <v>2315.29</v>
      </c>
      <c r="AA36" s="4">
        <f>IF(W36=0,0,Z36/W36)</f>
        <v>0.34787619262264291</v>
      </c>
      <c r="AB36" t="s">
        <v>31</v>
      </c>
      <c r="AC36" t="s">
        <v>32</v>
      </c>
      <c r="AD36" t="str">
        <f>IF(AND(E36="", T36&gt;=0, T36&lt;=0.5, K36&lt;&gt;"Unknown", Q36&lt;&gt;"Unknown"), "CLEAN", _xlfn.CONCAT("WARNING: ", IF(E36&lt;&gt;"","invalid_date",""), IF(T36&lt;0,"negative_discount",""), IF(AND(T36&gt;0.5,T36&lt;=1),"high_discount",""), IF(K36="Unknown","missing_region",""), IF(Q36="Unknown","missing_ship_mode","")))</f>
        <v>WARNING: missing_ship_mode</v>
      </c>
      <c r="AE36" t="str">
        <f>IF(COUNTIF($AF$2:$AF$926,AF36)&gt;1,"DUPLICATE","UNIQUE")</f>
        <v>UNIQUE</v>
      </c>
      <c r="AF36" t="str">
        <f>A36&amp;"|"&amp;B36&amp;"|"&amp;H36&amp;"|"&amp;I36&amp;"|"&amp;R36&amp;"|"&amp;S36&amp;"|"&amp;V36</f>
        <v>ORD-2025-10035|2025-01-31|CUST-2392|Priya Menon|2|4159.69|6655.5</v>
      </c>
      <c r="AG36" t="str">
        <f>IF(COUNTIF($A$2:$A$913,A36)&gt;1,"TRUE","FALSE")</f>
        <v>FALSE</v>
      </c>
    </row>
    <row r="37" spans="1:33">
      <c r="A37" t="s">
        <v>201</v>
      </c>
      <c r="B37" t="s">
        <v>1838</v>
      </c>
      <c r="C37" t="s">
        <v>1838</v>
      </c>
      <c r="D37">
        <f>IF(OR(B37="", C37=""), "", (C37 - B37))</f>
        <v>0</v>
      </c>
      <c r="E37" t="str">
        <f>IF(C37&lt;B37, "INVALID: Ship date before order date", "")</f>
        <v/>
      </c>
      <c r="F37" t="str">
        <f>IF(B37="", "", TEXT(B37, "mmmm"))</f>
        <v>May</v>
      </c>
      <c r="G37">
        <f>IF(B37="", "", YEAR(B37))</f>
        <v>2024</v>
      </c>
      <c r="H37" t="s">
        <v>202</v>
      </c>
      <c r="I37" t="s">
        <v>131</v>
      </c>
      <c r="J37" t="s">
        <v>36</v>
      </c>
      <c r="K37" t="s">
        <v>62</v>
      </c>
      <c r="L37" t="s">
        <v>176</v>
      </c>
      <c r="M37" t="s">
        <v>177</v>
      </c>
      <c r="N37" t="s">
        <v>40</v>
      </c>
      <c r="O37" t="s">
        <v>153</v>
      </c>
      <c r="P37" t="s">
        <v>203</v>
      </c>
      <c r="Q37" t="s">
        <v>30</v>
      </c>
      <c r="R37">
        <v>8</v>
      </c>
      <c r="S37" s="15">
        <v>2507.12</v>
      </c>
      <c r="T37" s="4">
        <v>0.05</v>
      </c>
      <c r="U37" s="3" t="str">
        <f>IF(T37&lt;0, "negative_discount", IF(AND(T37&gt;0.5, T37&lt;=1), "high_discount", ""))</f>
        <v/>
      </c>
      <c r="V37" s="11">
        <v>19054.11</v>
      </c>
      <c r="W37" s="12">
        <v>19054.11</v>
      </c>
      <c r="X37" s="11">
        <v>15313.83</v>
      </c>
      <c r="Y37" s="11">
        <v>3740.28</v>
      </c>
      <c r="Z37" s="11">
        <f>ROUND(W37-X37,2)</f>
        <v>3740.28</v>
      </c>
      <c r="AA37" s="4">
        <f>IF(W37=0,0,Z37/W37)</f>
        <v>0.1962978066149508</v>
      </c>
      <c r="AB37" t="s">
        <v>109</v>
      </c>
      <c r="AC37" t="s">
        <v>100</v>
      </c>
      <c r="AD37" t="str">
        <f>IF(AND(E37="", T37&gt;=0, T37&lt;=0.5, K37&lt;&gt;"Unknown", Q37&lt;&gt;"Unknown"), "CLEAN", _xlfn.CONCAT("WARNING: ", IF(E37&lt;&gt;"","invalid_date",""), IF(T37&lt;0,"negative_discount",""), IF(AND(T37&gt;0.5,T37&lt;=1),"high_discount",""), IF(K37="Unknown","missing_region",""), IF(Q37="Unknown","missing_ship_mode","")))</f>
        <v>CLEAN</v>
      </c>
      <c r="AE37" t="str">
        <f>IF(COUNTIF($AF$2:$AF$926,AF37)&gt;1,"DUPLICATE","UNIQUE")</f>
        <v>UNIQUE</v>
      </c>
      <c r="AF37" t="str">
        <f>A37&amp;"|"&amp;B37&amp;"|"&amp;H37&amp;"|"&amp;I37&amp;"|"&amp;R37&amp;"|"&amp;S37&amp;"|"&amp;V37</f>
        <v>ORD-2024-10036|2024-05-29|CUST-1611|Sneha Kapoor|8|2507.12|19054.11</v>
      </c>
      <c r="AG37" t="str">
        <f>IF(COUNTIF($A$2:$A$913,A37)&gt;1,"TRUE","FALSE")</f>
        <v>FALSE</v>
      </c>
    </row>
    <row r="38" spans="1:33">
      <c r="A38" t="s">
        <v>204</v>
      </c>
      <c r="B38" t="s">
        <v>205</v>
      </c>
      <c r="C38" t="s">
        <v>261</v>
      </c>
      <c r="D38">
        <f>IF(OR(B38="", C38=""), "", (C38 - B38))</f>
        <v>3</v>
      </c>
      <c r="E38" t="str">
        <f>IF(C38&lt;B38, "INVALID: Ship date before order date", "")</f>
        <v/>
      </c>
      <c r="F38" t="str">
        <f>IF(B38="", "", TEXT(B38, "mmmm"))</f>
        <v>October</v>
      </c>
      <c r="G38">
        <f>IF(B38="", "", YEAR(B38))</f>
        <v>2024</v>
      </c>
      <c r="H38" t="s">
        <v>206</v>
      </c>
      <c r="I38" t="s">
        <v>139</v>
      </c>
      <c r="J38" t="s">
        <v>89</v>
      </c>
      <c r="K38" t="s">
        <v>62</v>
      </c>
      <c r="L38" t="s">
        <v>63</v>
      </c>
      <c r="M38" t="s">
        <v>64</v>
      </c>
      <c r="N38" t="s">
        <v>40</v>
      </c>
      <c r="O38" t="s">
        <v>153</v>
      </c>
      <c r="P38" t="s">
        <v>207</v>
      </c>
      <c r="Q38" t="s">
        <v>30</v>
      </c>
      <c r="R38">
        <v>3</v>
      </c>
      <c r="S38" s="15">
        <v>3126.47</v>
      </c>
      <c r="T38" s="4">
        <v>0</v>
      </c>
      <c r="U38" s="3" t="str">
        <f>IF(T38&lt;0, "negative_discount", IF(AND(T38&gt;0.5, T38&lt;=1), "high_discount", ""))</f>
        <v/>
      </c>
      <c r="V38" s="11">
        <v>9379.41</v>
      </c>
      <c r="W38" s="12">
        <v>9379.41</v>
      </c>
      <c r="X38" s="11">
        <v>6670.85</v>
      </c>
      <c r="Y38" s="11">
        <v>2708.56</v>
      </c>
      <c r="Z38" s="11">
        <f>ROUND(W38-X38,2)</f>
        <v>2708.56</v>
      </c>
      <c r="AA38" s="4">
        <f>IF(W38=0,0,Z38/W38)</f>
        <v>0.28877722585962229</v>
      </c>
      <c r="AB38" t="s">
        <v>31</v>
      </c>
      <c r="AC38" t="s">
        <v>100</v>
      </c>
      <c r="AD38" t="str">
        <f>IF(AND(E38="", T38&gt;=0, T38&lt;=0.5, K38&lt;&gt;"Unknown", Q38&lt;&gt;"Unknown"), "CLEAN", _xlfn.CONCAT("WARNING: ", IF(E38&lt;&gt;"","invalid_date",""), IF(T38&lt;0,"negative_discount",""), IF(AND(T38&gt;0.5,T38&lt;=1),"high_discount",""), IF(K38="Unknown","missing_region",""), IF(Q38="Unknown","missing_ship_mode","")))</f>
        <v>CLEAN</v>
      </c>
      <c r="AE38" t="str">
        <f>IF(COUNTIF($AF$2:$AF$926,AF38)&gt;1,"DUPLICATE","UNIQUE")</f>
        <v>UNIQUE</v>
      </c>
      <c r="AF38" t="str">
        <f>A38&amp;"|"&amp;B38&amp;"|"&amp;H38&amp;"|"&amp;I38&amp;"|"&amp;R38&amp;"|"&amp;S38&amp;"|"&amp;V38</f>
        <v>ORD-2024-10037|2024-10-25|CUST-8296|Rohan Mehta|3|3126.47|9379.41</v>
      </c>
      <c r="AG38" t="str">
        <f>IF(COUNTIF($A$2:$A$913,A38)&gt;1,"TRUE","FALSE")</f>
        <v>FALSE</v>
      </c>
    </row>
    <row r="39" spans="1:33">
      <c r="A39" t="s">
        <v>2988</v>
      </c>
      <c r="B39" t="s">
        <v>2686</v>
      </c>
      <c r="C39" t="s">
        <v>2686</v>
      </c>
      <c r="D39">
        <f>IF(OR(B39="", C39=""), "", (C39 - B39))</f>
        <v>0</v>
      </c>
      <c r="E39" t="str">
        <f>IF(C39&lt;B39, "INVALID: Ship date before order date", "")</f>
        <v/>
      </c>
      <c r="F39" t="str">
        <f>IF(B39="", "", TEXT(B39, "mmmm"))</f>
        <v>July</v>
      </c>
      <c r="G39">
        <f>IF(B39="", "", YEAR(B39))</f>
        <v>2025</v>
      </c>
      <c r="H39" t="s">
        <v>208</v>
      </c>
      <c r="I39" t="s">
        <v>158</v>
      </c>
      <c r="J39" t="s">
        <v>23</v>
      </c>
      <c r="K39" t="s">
        <v>62</v>
      </c>
      <c r="L39" t="s">
        <v>63</v>
      </c>
      <c r="M39" t="s">
        <v>64</v>
      </c>
      <c r="N39" t="s">
        <v>74</v>
      </c>
      <c r="O39" t="s">
        <v>79</v>
      </c>
      <c r="P39" t="s">
        <v>209</v>
      </c>
      <c r="Q39" t="s">
        <v>58</v>
      </c>
      <c r="R39">
        <v>4</v>
      </c>
      <c r="S39" s="15">
        <v>1327.54</v>
      </c>
      <c r="T39" s="4">
        <v>0.2</v>
      </c>
      <c r="U39" s="3" t="str">
        <f>IF(T39&lt;0, "negative_discount", IF(AND(T39&gt;0.5, T39&lt;=1), "high_discount", ""))</f>
        <v/>
      </c>
      <c r="V39" s="11">
        <v>4248.13</v>
      </c>
      <c r="W39" s="12">
        <v>4248.13</v>
      </c>
      <c r="X39" s="11">
        <v>3321.09</v>
      </c>
      <c r="Y39" s="11">
        <v>927.04</v>
      </c>
      <c r="Z39" s="11">
        <f>ROUND(W39-X39,2)</f>
        <v>927.04</v>
      </c>
      <c r="AA39" s="4">
        <f>IF(W39=0,0,Z39/W39)</f>
        <v>0.21822307697739945</v>
      </c>
      <c r="AB39" t="s">
        <v>31</v>
      </c>
      <c r="AC39" t="s">
        <v>32</v>
      </c>
      <c r="AD39" t="str">
        <f>IF(AND(E39="", T39&gt;=0, T39&lt;=0.5, K39&lt;&gt;"Unknown", Q39&lt;&gt;"Unknown"), "CLEAN", _xlfn.CONCAT("WARNING: ", IF(E39&lt;&gt;"","invalid_date",""), IF(T39&lt;0,"negative_discount",""), IF(AND(T39&gt;0.5,T39&lt;=1),"high_discount",""), IF(K39="Unknown","missing_region",""), IF(Q39="Unknown","missing_ship_mode","")))</f>
        <v>CLEAN</v>
      </c>
      <c r="AE39" t="str">
        <f>IF(COUNTIF($AF$2:$AF$926,AF39)&gt;1,"DUPLICATE","UNIQUE")</f>
        <v>UNIQUE</v>
      </c>
      <c r="AF39" t="str">
        <f>A39&amp;"|"&amp;B39&amp;"|"&amp;H39&amp;"|"&amp;I39&amp;"|"&amp;R39&amp;"|"&amp;S39&amp;"|"&amp;V39</f>
        <v>ORD-2025-10038|2025-07-29|CUST-4646|Diya Patel|4|1327.54|4248.13</v>
      </c>
      <c r="AG39" t="str">
        <f>IF(COUNTIF($A$2:$A$913,A39)&gt;1,"TRUE","FALSE")</f>
        <v>FALSE</v>
      </c>
    </row>
    <row r="40" spans="1:33">
      <c r="A40" t="s">
        <v>210</v>
      </c>
      <c r="B40" t="s">
        <v>211</v>
      </c>
      <c r="C40" t="s">
        <v>2075</v>
      </c>
      <c r="D40">
        <f>IF(OR(B40="", C40=""), "", (C40 - B40))</f>
        <v>5</v>
      </c>
      <c r="E40" t="str">
        <f>IF(C40&lt;B40, "INVALID: Ship date before order date", "")</f>
        <v/>
      </c>
      <c r="F40" t="str">
        <f>IF(B40="", "", TEXT(B40, "mmmm"))</f>
        <v>June</v>
      </c>
      <c r="G40">
        <f>IF(B40="", "", YEAR(B40))</f>
        <v>2024</v>
      </c>
      <c r="H40" t="s">
        <v>212</v>
      </c>
      <c r="I40" t="s">
        <v>126</v>
      </c>
      <c r="J40" t="s">
        <v>89</v>
      </c>
      <c r="K40" t="s">
        <v>62</v>
      </c>
      <c r="L40" t="s">
        <v>176</v>
      </c>
      <c r="M40" t="s">
        <v>177</v>
      </c>
      <c r="N40" t="s">
        <v>74</v>
      </c>
      <c r="O40" t="s">
        <v>168</v>
      </c>
      <c r="P40" t="s">
        <v>213</v>
      </c>
      <c r="Q40" t="s">
        <v>49</v>
      </c>
      <c r="R40">
        <v>7</v>
      </c>
      <c r="S40" s="15">
        <v>2210.6799999999998</v>
      </c>
      <c r="T40" s="4">
        <v>0.1</v>
      </c>
      <c r="U40" s="3" t="str">
        <f>IF(T40&lt;0, "negative_discount", IF(AND(T40&gt;0.5, T40&lt;=1), "high_discount", ""))</f>
        <v/>
      </c>
      <c r="V40" s="11">
        <v>13927.28</v>
      </c>
      <c r="W40" s="12">
        <v>13927.28</v>
      </c>
      <c r="X40" s="11">
        <v>10504.87</v>
      </c>
      <c r="Y40" s="11">
        <v>3422.41</v>
      </c>
      <c r="Z40" s="11">
        <f>ROUND(W40-X40,2)</f>
        <v>3422.41</v>
      </c>
      <c r="AA40" s="4">
        <f>IF(W40=0,0,Z40/W40)</f>
        <v>0.24573427115703853</v>
      </c>
      <c r="AB40" t="s">
        <v>31</v>
      </c>
      <c r="AC40" t="s">
        <v>32</v>
      </c>
      <c r="AD40" t="str">
        <f>IF(AND(E40="", T40&gt;=0, T40&lt;=0.5, K40&lt;&gt;"Unknown", Q40&lt;&gt;"Unknown"), "CLEAN", _xlfn.CONCAT("WARNING: ", IF(E40&lt;&gt;"","invalid_date",""), IF(T40&lt;0,"negative_discount",""), IF(AND(T40&gt;0.5,T40&lt;=1),"high_discount",""), IF(K40="Unknown","missing_region",""), IF(Q40="Unknown","missing_ship_mode","")))</f>
        <v>CLEAN</v>
      </c>
      <c r="AE40" t="str">
        <f>IF(COUNTIF($AF$2:$AF$926,AF40)&gt;1,"DUPLICATE","UNIQUE")</f>
        <v>UNIQUE</v>
      </c>
      <c r="AF40" t="str">
        <f>A40&amp;"|"&amp;B40&amp;"|"&amp;H40&amp;"|"&amp;I40&amp;"|"&amp;R40&amp;"|"&amp;S40&amp;"|"&amp;V40</f>
        <v>ORD-2024-10039|2024-06-17|CUST-8235|Aarav Sharma|7|2210.68|13927.28</v>
      </c>
      <c r="AG40" t="str">
        <f>IF(COUNTIF($A$2:$A$913,A40)&gt;1,"TRUE","FALSE")</f>
        <v>FALSE</v>
      </c>
    </row>
    <row r="41" spans="1:33">
      <c r="A41" t="s">
        <v>214</v>
      </c>
      <c r="B41" t="s">
        <v>215</v>
      </c>
      <c r="C41" t="s">
        <v>215</v>
      </c>
      <c r="D41">
        <f>IF(OR(B41="", C41=""), "", (C41 - B41))</f>
        <v>0</v>
      </c>
      <c r="E41" t="str">
        <f>IF(C41&lt;B41, "INVALID: Ship date before order date", "")</f>
        <v/>
      </c>
      <c r="F41" t="str">
        <f>IF(B41="", "", TEXT(B41, "mmmm"))</f>
        <v>December</v>
      </c>
      <c r="G41">
        <f>IF(B41="", "", YEAR(B41))</f>
        <v>2024</v>
      </c>
      <c r="H41" t="s">
        <v>216</v>
      </c>
      <c r="I41" t="s">
        <v>35</v>
      </c>
      <c r="J41" t="s">
        <v>36</v>
      </c>
      <c r="K41" t="s">
        <v>62</v>
      </c>
      <c r="L41" t="s">
        <v>72</v>
      </c>
      <c r="M41" t="s">
        <v>73</v>
      </c>
      <c r="N41" t="s">
        <v>74</v>
      </c>
      <c r="O41" t="s">
        <v>79</v>
      </c>
      <c r="P41" t="s">
        <v>217</v>
      </c>
      <c r="Q41" t="s">
        <v>49</v>
      </c>
      <c r="R41">
        <v>4</v>
      </c>
      <c r="S41" s="15">
        <v>1370.92</v>
      </c>
      <c r="T41" s="4">
        <v>0.1</v>
      </c>
      <c r="U41" s="3" t="str">
        <f>IF(T41&lt;0, "negative_discount", IF(AND(T41&gt;0.5, T41&lt;=1), "high_discount", ""))</f>
        <v/>
      </c>
      <c r="V41" s="11">
        <v>4935.3100000000004</v>
      </c>
      <c r="W41" s="12">
        <v>4935.3100000000004</v>
      </c>
      <c r="X41" s="11">
        <v>3374.77</v>
      </c>
      <c r="Y41" s="11">
        <v>1560.54</v>
      </c>
      <c r="Z41" s="11">
        <f>ROUND(W41-X41,2)</f>
        <v>1560.54</v>
      </c>
      <c r="AA41" s="4">
        <f>IF(W41=0,0,Z41/W41)</f>
        <v>0.31619898243474065</v>
      </c>
      <c r="AB41" t="s">
        <v>109</v>
      </c>
      <c r="AC41" t="s">
        <v>100</v>
      </c>
      <c r="AD41" t="str">
        <f>IF(AND(E41="", T41&gt;=0, T41&lt;=0.5, K41&lt;&gt;"Unknown", Q41&lt;&gt;"Unknown"), "CLEAN", _xlfn.CONCAT("WARNING: ", IF(E41&lt;&gt;"","invalid_date",""), IF(T41&lt;0,"negative_discount",""), IF(AND(T41&gt;0.5,T41&lt;=1),"high_discount",""), IF(K41="Unknown","missing_region",""), IF(Q41="Unknown","missing_ship_mode","")))</f>
        <v>CLEAN</v>
      </c>
      <c r="AE41" t="str">
        <f>IF(COUNTIF($AF$2:$AF$926,AF41)&gt;1,"DUPLICATE","UNIQUE")</f>
        <v>UNIQUE</v>
      </c>
      <c r="AF41" t="str">
        <f>A41&amp;"|"&amp;B41&amp;"|"&amp;H41&amp;"|"&amp;I41&amp;"|"&amp;R41&amp;"|"&amp;S41&amp;"|"&amp;V41</f>
        <v>ORD-2024-10040|2024-12-11|CUST-5830|Mira Das|4|1370.92|4935.31</v>
      </c>
      <c r="AG41" t="str">
        <f>IF(COUNTIF($A$2:$A$913,A41)&gt;1,"TRUE","FALSE")</f>
        <v>FALSE</v>
      </c>
    </row>
    <row r="42" spans="1:33">
      <c r="A42" t="s">
        <v>218</v>
      </c>
      <c r="B42" t="s">
        <v>2687</v>
      </c>
      <c r="C42" t="s">
        <v>2732</v>
      </c>
      <c r="D42">
        <f>IF(OR(B42="", C42=""), "", (C42 - B42))</f>
        <v>6</v>
      </c>
      <c r="E42" t="str">
        <f>IF(C42&lt;B42, "INVALID: Ship date before order date", "")</f>
        <v/>
      </c>
      <c r="F42" t="str">
        <f>IF(B42="", "", TEXT(B42, "mmmm"))</f>
        <v>October</v>
      </c>
      <c r="G42">
        <f>IF(B42="", "", YEAR(B42))</f>
        <v>2024</v>
      </c>
      <c r="H42" t="s">
        <v>219</v>
      </c>
      <c r="I42" t="s">
        <v>46</v>
      </c>
      <c r="J42" t="s">
        <v>93</v>
      </c>
      <c r="K42" t="s">
        <v>62</v>
      </c>
      <c r="L42" t="s">
        <v>25</v>
      </c>
      <c r="M42" t="s">
        <v>107</v>
      </c>
      <c r="N42" t="s">
        <v>74</v>
      </c>
      <c r="O42" t="s">
        <v>79</v>
      </c>
      <c r="P42" t="s">
        <v>220</v>
      </c>
      <c r="Q42" t="s">
        <v>58</v>
      </c>
      <c r="R42">
        <v>7</v>
      </c>
      <c r="S42" s="15">
        <v>2509.27</v>
      </c>
      <c r="T42" s="4">
        <v>0.2</v>
      </c>
      <c r="U42" s="3" t="str">
        <f>IF(T42&lt;0, "negative_discount", IF(AND(T42&gt;0.5, T42&lt;=1), "high_discount", ""))</f>
        <v/>
      </c>
      <c r="V42" s="11">
        <v>14051.91</v>
      </c>
      <c r="W42" s="12">
        <v>14051.91</v>
      </c>
      <c r="X42" s="11">
        <v>11990.37</v>
      </c>
      <c r="Y42" s="11">
        <v>2061.54</v>
      </c>
      <c r="Z42" s="11">
        <f>ROUND(W42-X42,2)</f>
        <v>2061.54</v>
      </c>
      <c r="AA42" s="4">
        <f>IF(W42=0,0,Z42/W42)</f>
        <v>0.14670888156841311</v>
      </c>
      <c r="AB42" t="s">
        <v>31</v>
      </c>
      <c r="AC42" t="s">
        <v>32</v>
      </c>
      <c r="AD42" t="str">
        <f>IF(AND(E42="", T42&gt;=0, T42&lt;=0.5, K42&lt;&gt;"Unknown", Q42&lt;&gt;"Unknown"), "CLEAN", _xlfn.CONCAT("WARNING: ", IF(E42&lt;&gt;"","invalid_date",""), IF(T42&lt;0,"negative_discount",""), IF(AND(T42&gt;0.5,T42&lt;=1),"high_discount",""), IF(K42="Unknown","missing_region",""), IF(Q42="Unknown","missing_ship_mode","")))</f>
        <v>CLEAN</v>
      </c>
      <c r="AE42" t="str">
        <f>IF(COUNTIF($AF$2:$AF$926,AF42)&gt;1,"DUPLICATE","UNIQUE")</f>
        <v>UNIQUE</v>
      </c>
      <c r="AF42" t="str">
        <f>A42&amp;"|"&amp;B42&amp;"|"&amp;H42&amp;"|"&amp;I42&amp;"|"&amp;R42&amp;"|"&amp;S42&amp;"|"&amp;V42</f>
        <v>ORD-2024-10041|2024-10-10|CUST-7178|Isha Nair|7|2509.27|14051.91</v>
      </c>
      <c r="AG42" t="str">
        <f>IF(COUNTIF($A$2:$A$913,A42)&gt;1,"TRUE","FALSE")</f>
        <v>FALSE</v>
      </c>
    </row>
    <row r="43" spans="1:33">
      <c r="A43" t="s">
        <v>221</v>
      </c>
      <c r="B43" t="s">
        <v>565</v>
      </c>
      <c r="C43" t="s">
        <v>2215</v>
      </c>
      <c r="D43">
        <f>IF(OR(B43="", C43=""), "", (C43 - B43))</f>
        <v>5</v>
      </c>
      <c r="E43" t="str">
        <f>IF(C43&lt;B43, "INVALID: Ship date before order date", "")</f>
        <v/>
      </c>
      <c r="F43" t="str">
        <f>IF(B43="", "", TEXT(B43, "mmmm"))</f>
        <v>March</v>
      </c>
      <c r="G43">
        <f>IF(B43="", "", YEAR(B43))</f>
        <v>2024</v>
      </c>
      <c r="H43" t="s">
        <v>222</v>
      </c>
      <c r="I43" t="s">
        <v>126</v>
      </c>
      <c r="J43" t="s">
        <v>36</v>
      </c>
      <c r="K43" t="s">
        <v>37</v>
      </c>
      <c r="L43" t="s">
        <v>38</v>
      </c>
      <c r="M43" t="s">
        <v>39</v>
      </c>
      <c r="N43" t="s">
        <v>40</v>
      </c>
      <c r="O43" t="s">
        <v>153</v>
      </c>
      <c r="P43" t="s">
        <v>223</v>
      </c>
      <c r="Q43" t="s">
        <v>43</v>
      </c>
      <c r="R43">
        <v>8</v>
      </c>
      <c r="S43" s="15">
        <v>855.81</v>
      </c>
      <c r="T43" s="4">
        <v>0</v>
      </c>
      <c r="U43" s="3" t="str">
        <f>IF(T43&lt;0, "negative_discount", IF(AND(T43&gt;0.5, T43&lt;=1), "high_discount", ""))</f>
        <v/>
      </c>
      <c r="V43" s="11">
        <v>6846.48</v>
      </c>
      <c r="W43" s="12">
        <v>6846.48</v>
      </c>
      <c r="X43" s="11">
        <v>4239.8900000000003</v>
      </c>
      <c r="Y43" s="11">
        <v>2606.59</v>
      </c>
      <c r="Z43" s="11">
        <f>ROUND(W43-X43,2)</f>
        <v>2606.59</v>
      </c>
      <c r="AA43" s="4">
        <f>IF(W43=0,0,Z43/W43)</f>
        <v>0.38071972750961081</v>
      </c>
      <c r="AB43" t="s">
        <v>109</v>
      </c>
      <c r="AC43" t="s">
        <v>67</v>
      </c>
      <c r="AD43" t="str">
        <f>IF(AND(E43="", T43&gt;=0, T43&lt;=0.5, K43&lt;&gt;"Unknown", Q43&lt;&gt;"Unknown"), "CLEAN", _xlfn.CONCAT("WARNING: ", IF(E43&lt;&gt;"","invalid_date",""), IF(T43&lt;0,"negative_discount",""), IF(AND(T43&gt;0.5,T43&lt;=1),"high_discount",""), IF(K43="Unknown","missing_region",""), IF(Q43="Unknown","missing_ship_mode","")))</f>
        <v>CLEAN</v>
      </c>
      <c r="AE43" t="str">
        <f>IF(COUNTIF($AF$2:$AF$926,AF43)&gt;1,"DUPLICATE","UNIQUE")</f>
        <v>UNIQUE</v>
      </c>
      <c r="AF43" t="str">
        <f>A43&amp;"|"&amp;B43&amp;"|"&amp;H43&amp;"|"&amp;I43&amp;"|"&amp;R43&amp;"|"&amp;S43&amp;"|"&amp;V43</f>
        <v>ORD-2024-10042|2024-03-12|CUST-3829|Aarav Sharma|8|855.81|6846.48</v>
      </c>
      <c r="AG43" t="str">
        <f>IF(COUNTIF($A$2:$A$913,A43)&gt;1,"TRUE","FALSE")</f>
        <v>FALSE</v>
      </c>
    </row>
    <row r="44" spans="1:33">
      <c r="A44" t="s">
        <v>2989</v>
      </c>
      <c r="B44" t="s">
        <v>224</v>
      </c>
      <c r="C44" t="s">
        <v>2899</v>
      </c>
      <c r="D44">
        <f>IF(OR(B44="", C44=""), "", (C44 - B44))</f>
        <v>5</v>
      </c>
      <c r="E44" t="str">
        <f>IF(C44&lt;B44, "INVALID: Ship date before order date", "")</f>
        <v/>
      </c>
      <c r="F44" t="str">
        <f>IF(B44="", "", TEXT(B44, "mmmm"))</f>
        <v>October</v>
      </c>
      <c r="G44">
        <f>IF(B44="", "", YEAR(B44))</f>
        <v>2025</v>
      </c>
      <c r="H44" t="s">
        <v>225</v>
      </c>
      <c r="I44" t="s">
        <v>52</v>
      </c>
      <c r="J44" t="s">
        <v>89</v>
      </c>
      <c r="K44" t="s">
        <v>37</v>
      </c>
      <c r="L44" t="s">
        <v>226</v>
      </c>
      <c r="M44" t="s">
        <v>227</v>
      </c>
      <c r="N44" t="s">
        <v>74</v>
      </c>
      <c r="O44" t="s">
        <v>168</v>
      </c>
      <c r="P44" t="s">
        <v>228</v>
      </c>
      <c r="Q44" t="s">
        <v>58</v>
      </c>
      <c r="R44">
        <v>8</v>
      </c>
      <c r="S44" s="15">
        <v>979.87</v>
      </c>
      <c r="T44" s="4">
        <v>0.05</v>
      </c>
      <c r="U44" s="3" t="str">
        <f>IF(T44&lt;0, "negative_discount", IF(AND(T44&gt;0.5, T44&lt;=1), "high_discount", ""))</f>
        <v/>
      </c>
      <c r="V44" s="11">
        <v>7447.01</v>
      </c>
      <c r="W44" s="12">
        <v>7447.01</v>
      </c>
      <c r="X44" s="11">
        <v>4496.22</v>
      </c>
      <c r="Y44" s="11">
        <v>2950.79</v>
      </c>
      <c r="Z44" s="11">
        <f>ROUND(W44-X44,2)</f>
        <v>2950.79</v>
      </c>
      <c r="AA44" s="4">
        <f>IF(W44=0,0,Z44/W44)</f>
        <v>0.39623822178297058</v>
      </c>
      <c r="AB44" t="s">
        <v>31</v>
      </c>
      <c r="AC44" t="s">
        <v>32</v>
      </c>
      <c r="AD44" t="str">
        <f>IF(AND(E44="", T44&gt;=0, T44&lt;=0.5, K44&lt;&gt;"Unknown", Q44&lt;&gt;"Unknown"), "CLEAN", _xlfn.CONCAT("WARNING: ", IF(E44&lt;&gt;"","invalid_date",""), IF(T44&lt;0,"negative_discount",""), IF(AND(T44&gt;0.5,T44&lt;=1),"high_discount",""), IF(K44="Unknown","missing_region",""), IF(Q44="Unknown","missing_ship_mode","")))</f>
        <v>CLEAN</v>
      </c>
      <c r="AE44" t="str">
        <f>IF(COUNTIF($AF$2:$AF$926,AF44)&gt;1,"DUPLICATE","UNIQUE")</f>
        <v>UNIQUE</v>
      </c>
      <c r="AF44" t="str">
        <f>A44&amp;"|"&amp;B44&amp;"|"&amp;H44&amp;"|"&amp;I44&amp;"|"&amp;R44&amp;"|"&amp;S44&amp;"|"&amp;V44</f>
        <v>ORD-2025-10043|2025-10-10|CUST-6708|Arjun Bose|8|979.87|7447.01</v>
      </c>
      <c r="AG44" t="str">
        <f>IF(COUNTIF($A$2:$A$913,A44)&gt;1,"TRUE","FALSE")</f>
        <v>FALSE</v>
      </c>
    </row>
    <row r="45" spans="1:33">
      <c r="A45" t="s">
        <v>229</v>
      </c>
      <c r="B45" t="s">
        <v>1038</v>
      </c>
      <c r="C45" t="s">
        <v>1703</v>
      </c>
      <c r="D45">
        <f>IF(OR(B45="", C45=""), "", (C45 - B45))</f>
        <v>6</v>
      </c>
      <c r="E45" t="str">
        <f>IF(C45&lt;B45, "INVALID: Ship date before order date", "")</f>
        <v/>
      </c>
      <c r="F45" t="str">
        <f>IF(B45="", "", TEXT(B45, "mmmm"))</f>
        <v>July</v>
      </c>
      <c r="G45">
        <f>IF(B45="", "", YEAR(B45))</f>
        <v>2024</v>
      </c>
      <c r="H45" t="s">
        <v>230</v>
      </c>
      <c r="I45" t="s">
        <v>112</v>
      </c>
      <c r="J45" t="s">
        <v>36</v>
      </c>
      <c r="K45" t="s">
        <v>37</v>
      </c>
      <c r="L45" t="s">
        <v>38</v>
      </c>
      <c r="M45" t="s">
        <v>39</v>
      </c>
      <c r="N45" t="s">
        <v>40</v>
      </c>
      <c r="O45" t="s">
        <v>56</v>
      </c>
      <c r="P45" t="s">
        <v>231</v>
      </c>
      <c r="Q45" t="s">
        <v>43</v>
      </c>
      <c r="R45">
        <v>3</v>
      </c>
      <c r="S45" s="15">
        <v>1010.23</v>
      </c>
      <c r="T45" s="4">
        <v>0</v>
      </c>
      <c r="U45" s="3" t="str">
        <f>IF(T45&lt;0, "negative_discount", IF(AND(T45&gt;0.5, T45&lt;=1), "high_discount", ""))</f>
        <v/>
      </c>
      <c r="V45" s="11">
        <v>3030.69</v>
      </c>
      <c r="W45" s="12">
        <v>3030.69</v>
      </c>
      <c r="X45" s="11">
        <v>1721.08</v>
      </c>
      <c r="Y45" s="11">
        <v>1309.6099999999999</v>
      </c>
      <c r="Z45" s="11">
        <f>ROUND(W45-X45,2)</f>
        <v>1309.6099999999999</v>
      </c>
      <c r="AA45" s="4">
        <f>IF(W45=0,0,Z45/W45)</f>
        <v>0.43211611877163281</v>
      </c>
      <c r="AB45" t="s">
        <v>31</v>
      </c>
      <c r="AC45" t="s">
        <v>32</v>
      </c>
      <c r="AD45" t="str">
        <f>IF(AND(E45="", T45&gt;=0, T45&lt;=0.5, K45&lt;&gt;"Unknown", Q45&lt;&gt;"Unknown"), "CLEAN", _xlfn.CONCAT("WARNING: ", IF(E45&lt;&gt;"","invalid_date",""), IF(T45&lt;0,"negative_discount",""), IF(AND(T45&gt;0.5,T45&lt;=1),"high_discount",""), IF(K45="Unknown","missing_region",""), IF(Q45="Unknown","missing_ship_mode","")))</f>
        <v>CLEAN</v>
      </c>
      <c r="AE45" t="str">
        <f>IF(COUNTIF($AF$2:$AF$926,AF45)&gt;1,"DUPLICATE","UNIQUE")</f>
        <v>UNIQUE</v>
      </c>
      <c r="AF45" t="str">
        <f>A45&amp;"|"&amp;B45&amp;"|"&amp;H45&amp;"|"&amp;I45&amp;"|"&amp;R45&amp;"|"&amp;S45&amp;"|"&amp;V45</f>
        <v>ORD-2024-10044|2024-07-08|CUST-7119|Priya Menon|3|1010.23|3030.69</v>
      </c>
      <c r="AG45" t="str">
        <f>IF(COUNTIF($A$2:$A$913,A45)&gt;1,"TRUE","FALSE")</f>
        <v>FALSE</v>
      </c>
    </row>
    <row r="46" spans="1:33">
      <c r="A46" t="s">
        <v>232</v>
      </c>
      <c r="B46" t="s">
        <v>2075</v>
      </c>
      <c r="C46" t="s">
        <v>2900</v>
      </c>
      <c r="D46">
        <f>IF(OR(B46="", C46=""), "", (C46 - B46))</f>
        <v>3</v>
      </c>
      <c r="E46" t="str">
        <f>IF(C46&lt;B46, "INVALID: Ship date before order date", "")</f>
        <v/>
      </c>
      <c r="F46" t="str">
        <f>IF(B46="", "", TEXT(B46, "mmmm"))</f>
        <v>June</v>
      </c>
      <c r="G46">
        <f>IF(B46="", "", YEAR(B46))</f>
        <v>2024</v>
      </c>
      <c r="H46" t="s">
        <v>233</v>
      </c>
      <c r="I46" t="s">
        <v>139</v>
      </c>
      <c r="J46" t="s">
        <v>36</v>
      </c>
      <c r="K46" t="s">
        <v>24</v>
      </c>
      <c r="L46" t="s">
        <v>234</v>
      </c>
      <c r="M46" t="s">
        <v>235</v>
      </c>
      <c r="N46" t="s">
        <v>40</v>
      </c>
      <c r="O46" t="s">
        <v>65</v>
      </c>
      <c r="P46" t="s">
        <v>236</v>
      </c>
      <c r="Q46" t="s">
        <v>58</v>
      </c>
      <c r="R46">
        <v>9</v>
      </c>
      <c r="S46" s="15">
        <v>3329.77</v>
      </c>
      <c r="T46" s="4">
        <v>0.1</v>
      </c>
      <c r="U46" s="3" t="str">
        <f>IF(T46&lt;0, "negative_discount", IF(AND(T46&gt;0.5, T46&lt;=1), "high_discount", ""))</f>
        <v/>
      </c>
      <c r="V46" s="11">
        <v>26971.14</v>
      </c>
      <c r="W46" s="12">
        <v>26971.14</v>
      </c>
      <c r="X46" s="11">
        <v>17376.2</v>
      </c>
      <c r="Y46" s="11">
        <v>9594.94</v>
      </c>
      <c r="Z46" s="11">
        <f>ROUND(W46-X46,2)</f>
        <v>9594.94</v>
      </c>
      <c r="AA46" s="4">
        <f>IF(W46=0,0,Z46/W46)</f>
        <v>0.35574840366406463</v>
      </c>
      <c r="AB46" t="s">
        <v>31</v>
      </c>
      <c r="AC46" t="s">
        <v>32</v>
      </c>
      <c r="AD46" t="str">
        <f>IF(AND(E46="", T46&gt;=0, T46&lt;=0.5, K46&lt;&gt;"Unknown", Q46&lt;&gt;"Unknown"), "CLEAN", _xlfn.CONCAT("WARNING: ", IF(E46&lt;&gt;"","invalid_date",""), IF(T46&lt;0,"negative_discount",""), IF(AND(T46&gt;0.5,T46&lt;=1),"high_discount",""), IF(K46="Unknown","missing_region",""), IF(Q46="Unknown","missing_ship_mode","")))</f>
        <v>CLEAN</v>
      </c>
      <c r="AE46" t="str">
        <f>IF(COUNTIF($AF$2:$AF$926,AF46)&gt;1,"DUPLICATE","UNIQUE")</f>
        <v>UNIQUE</v>
      </c>
      <c r="AF46" t="str">
        <f>A46&amp;"|"&amp;B46&amp;"|"&amp;H46&amp;"|"&amp;I46&amp;"|"&amp;R46&amp;"|"&amp;S46&amp;"|"&amp;V46</f>
        <v>ORD-2024-10045|2024-06-22|CUST-3373|Rohan Mehta|9|3329.77|26971.14</v>
      </c>
      <c r="AG46" t="str">
        <f>IF(COUNTIF($A$2:$A$913,A46)&gt;1,"TRUE","FALSE")</f>
        <v>FALSE</v>
      </c>
    </row>
    <row r="47" spans="1:33">
      <c r="A47" t="s">
        <v>237</v>
      </c>
      <c r="B47" t="s">
        <v>2688</v>
      </c>
      <c r="C47" t="s">
        <v>1197</v>
      </c>
      <c r="D47">
        <f>IF(OR(B47="", C47=""), "", (C47 - B47))</f>
        <v>6</v>
      </c>
      <c r="E47" t="str">
        <f>IF(C47&lt;B47, "INVALID: Ship date before order date", "")</f>
        <v/>
      </c>
      <c r="F47" t="str">
        <f>IF(B47="", "", TEXT(B47, "mmmm"))</f>
        <v>January</v>
      </c>
      <c r="G47">
        <f>IF(B47="", "", YEAR(B47))</f>
        <v>2024</v>
      </c>
      <c r="H47" t="s">
        <v>238</v>
      </c>
      <c r="I47" t="s">
        <v>46</v>
      </c>
      <c r="J47" t="s">
        <v>93</v>
      </c>
      <c r="K47" t="s">
        <v>37</v>
      </c>
      <c r="L47" t="s">
        <v>142</v>
      </c>
      <c r="M47" t="s">
        <v>143</v>
      </c>
      <c r="N47" t="s">
        <v>27</v>
      </c>
      <c r="O47" t="s">
        <v>47</v>
      </c>
      <c r="P47" t="s">
        <v>239</v>
      </c>
      <c r="Q47" t="s">
        <v>30</v>
      </c>
      <c r="R47">
        <v>8</v>
      </c>
      <c r="S47" s="15">
        <v>3927.82</v>
      </c>
      <c r="T47" s="4">
        <v>0.05</v>
      </c>
      <c r="U47" s="3" t="str">
        <f>IF(T47&lt;0, "negative_discount", IF(AND(T47&gt;0.5, T47&lt;=1), "high_discount", ""))</f>
        <v/>
      </c>
      <c r="V47" s="11">
        <v>29851.43</v>
      </c>
      <c r="W47" s="12">
        <v>29851.43</v>
      </c>
      <c r="X47" s="11">
        <v>17487.48</v>
      </c>
      <c r="Y47" s="11">
        <v>12363.95</v>
      </c>
      <c r="Z47" s="11">
        <f>ROUND(W47-X47,2)</f>
        <v>12363.95</v>
      </c>
      <c r="AA47" s="4">
        <f>IF(W47=0,0,Z47/W47)</f>
        <v>0.41418283814209239</v>
      </c>
      <c r="AB47" t="s">
        <v>109</v>
      </c>
      <c r="AC47" t="s">
        <v>100</v>
      </c>
      <c r="AD47" t="str">
        <f>IF(AND(E47="", T47&gt;=0, T47&lt;=0.5, K47&lt;&gt;"Unknown", Q47&lt;&gt;"Unknown"), "CLEAN", _xlfn.CONCAT("WARNING: ", IF(E47&lt;&gt;"","invalid_date",""), IF(T47&lt;0,"negative_discount",""), IF(AND(T47&gt;0.5,T47&lt;=1),"high_discount",""), IF(K47="Unknown","missing_region",""), IF(Q47="Unknown","missing_ship_mode","")))</f>
        <v>CLEAN</v>
      </c>
      <c r="AE47" t="str">
        <f>IF(COUNTIF($AF$2:$AF$926,AF47)&gt;1,"DUPLICATE","UNIQUE")</f>
        <v>UNIQUE</v>
      </c>
      <c r="AF47" t="str">
        <f>A47&amp;"|"&amp;B47&amp;"|"&amp;H47&amp;"|"&amp;I47&amp;"|"&amp;R47&amp;"|"&amp;S47&amp;"|"&amp;V47</f>
        <v>ORD-2024-10046|2024-01-18|CUST-8896|Isha Nair|8|3927.82|29851.43</v>
      </c>
      <c r="AG47" t="str">
        <f>IF(COUNTIF($A$2:$A$913,A47)&gt;1,"TRUE","FALSE")</f>
        <v>FALSE</v>
      </c>
    </row>
    <row r="48" spans="1:33">
      <c r="A48" t="s">
        <v>240</v>
      </c>
      <c r="B48" t="s">
        <v>290</v>
      </c>
      <c r="C48" t="s">
        <v>290</v>
      </c>
      <c r="D48">
        <f>IF(OR(B48="", C48=""), "", (C48 - B48))</f>
        <v>0</v>
      </c>
      <c r="E48" t="str">
        <f>IF(C48&lt;B48, "INVALID: Ship date before order date", "")</f>
        <v/>
      </c>
      <c r="F48" t="str">
        <f>IF(B48="", "", TEXT(B48, "mmmm"))</f>
        <v>July</v>
      </c>
      <c r="G48">
        <f>IF(B48="", "", YEAR(B48))</f>
        <v>2024</v>
      </c>
      <c r="H48" t="s">
        <v>241</v>
      </c>
      <c r="I48" t="s">
        <v>61</v>
      </c>
      <c r="J48" t="s">
        <v>36</v>
      </c>
      <c r="K48" t="s">
        <v>53</v>
      </c>
      <c r="L48" t="s">
        <v>180</v>
      </c>
      <c r="M48" t="s">
        <v>181</v>
      </c>
      <c r="N48" t="s">
        <v>40</v>
      </c>
      <c r="O48" t="s">
        <v>153</v>
      </c>
      <c r="P48" t="s">
        <v>242</v>
      </c>
      <c r="Q48" t="s">
        <v>58</v>
      </c>
      <c r="R48">
        <v>9</v>
      </c>
      <c r="S48" s="15">
        <v>2386.79</v>
      </c>
      <c r="T48" s="4">
        <v>0.25</v>
      </c>
      <c r="U48" s="3" t="str">
        <f>IF(T48&lt;0, "negative_discount", IF(AND(T48&gt;0.5, T48&lt;=1), "high_discount", ""))</f>
        <v/>
      </c>
      <c r="V48" s="11">
        <v>16110.83</v>
      </c>
      <c r="W48" s="12">
        <v>16110.83</v>
      </c>
      <c r="X48" s="11">
        <v>10680.03</v>
      </c>
      <c r="Y48" s="11">
        <v>5430.8</v>
      </c>
      <c r="Z48" s="11">
        <f>ROUND(W48-X48,2)</f>
        <v>5430.8</v>
      </c>
      <c r="AA48" s="4">
        <f>IF(W48=0,0,Z48/W48)</f>
        <v>0.33709001957068629</v>
      </c>
      <c r="AB48" t="s">
        <v>99</v>
      </c>
      <c r="AC48" t="s">
        <v>100</v>
      </c>
      <c r="AD48" t="str">
        <f>IF(AND(E48="", T48&gt;=0, T48&lt;=0.5, K48&lt;&gt;"Unknown", Q48&lt;&gt;"Unknown"), "CLEAN", _xlfn.CONCAT("WARNING: ", IF(E48&lt;&gt;"","invalid_date",""), IF(T48&lt;0,"negative_discount",""), IF(AND(T48&gt;0.5,T48&lt;=1),"high_discount",""), IF(K48="Unknown","missing_region",""), IF(Q48="Unknown","missing_ship_mode","")))</f>
        <v>CLEAN</v>
      </c>
      <c r="AE48" t="str">
        <f>IF(COUNTIF($AF$2:$AF$926,AF48)&gt;1,"DUPLICATE","UNIQUE")</f>
        <v>UNIQUE</v>
      </c>
      <c r="AF48" t="str">
        <f>A48&amp;"|"&amp;B48&amp;"|"&amp;H48&amp;"|"&amp;I48&amp;"|"&amp;R48&amp;"|"&amp;S48&amp;"|"&amp;V48</f>
        <v>ORD-2024-10047|2024-07-19|CUST-8517|Ananya Rao|9|2386.79|16110.83</v>
      </c>
      <c r="AG48" t="str">
        <f>IF(COUNTIF($A$2:$A$913,A48)&gt;1,"TRUE","FALSE")</f>
        <v>FALSE</v>
      </c>
    </row>
    <row r="49" spans="1:33">
      <c r="A49" t="s">
        <v>243</v>
      </c>
      <c r="B49" t="s">
        <v>2689</v>
      </c>
      <c r="C49" t="s">
        <v>244</v>
      </c>
      <c r="D49">
        <f>IF(OR(B49="", C49=""), "", (C49 - B49))</f>
        <v>-118</v>
      </c>
      <c r="E49" t="str">
        <f>IF(C49&lt;B49, "INVALID: Ship date before order date", "")</f>
        <v>INVALID: Ship date before order date</v>
      </c>
      <c r="F49" t="str">
        <f>IF(B49="", "", TEXT(B49, "mmmm"))</f>
        <v>December</v>
      </c>
      <c r="G49">
        <f>IF(B49="", "", YEAR(B49))</f>
        <v>2024</v>
      </c>
      <c r="H49" t="s">
        <v>245</v>
      </c>
      <c r="I49" t="s">
        <v>116</v>
      </c>
      <c r="J49" t="s">
        <v>89</v>
      </c>
      <c r="K49" t="s">
        <v>53</v>
      </c>
      <c r="L49" t="s">
        <v>246</v>
      </c>
      <c r="M49" t="s">
        <v>247</v>
      </c>
      <c r="N49" t="s">
        <v>27</v>
      </c>
      <c r="O49" t="s">
        <v>122</v>
      </c>
      <c r="P49" t="s">
        <v>248</v>
      </c>
      <c r="Q49" t="s">
        <v>58</v>
      </c>
      <c r="R49">
        <v>8</v>
      </c>
      <c r="S49" s="15">
        <v>2445.31</v>
      </c>
      <c r="T49" s="4">
        <v>0.1</v>
      </c>
      <c r="U49" s="3" t="str">
        <f>IF(T49&lt;0, "negative_discount", IF(AND(T49&gt;0.5, T49&lt;=1), "high_discount", ""))</f>
        <v/>
      </c>
      <c r="V49" s="11">
        <v>17606.23</v>
      </c>
      <c r="W49" s="12">
        <v>17606.23</v>
      </c>
      <c r="X49" s="11">
        <v>12438.96</v>
      </c>
      <c r="Y49" s="11">
        <v>5167.2700000000004</v>
      </c>
      <c r="Z49" s="11">
        <f>ROUND(W49-X49,2)</f>
        <v>5167.2700000000004</v>
      </c>
      <c r="AA49" s="4">
        <f>IF(W49=0,0,Z49/W49)</f>
        <v>0.29349099722087013</v>
      </c>
      <c r="AB49" t="s">
        <v>31</v>
      </c>
      <c r="AC49" t="s">
        <v>32</v>
      </c>
      <c r="AD49" t="str">
        <f>IF(AND(E49="", T49&gt;=0, T49&lt;=0.5, K49&lt;&gt;"Unknown", Q49&lt;&gt;"Unknown"), "CLEAN", _xlfn.CONCAT("WARNING: ", IF(E49&lt;&gt;"","invalid_date",""), IF(T49&lt;0,"negative_discount",""), IF(AND(T49&gt;0.5,T49&lt;=1),"high_discount",""), IF(K49="Unknown","missing_region",""), IF(Q49="Unknown","missing_ship_mode","")))</f>
        <v>WARNING: invalid_date</v>
      </c>
      <c r="AE49" t="str">
        <f>IF(COUNTIF($AF$2:$AF$926,AF49)&gt;1,"DUPLICATE","UNIQUE")</f>
        <v>UNIQUE</v>
      </c>
      <c r="AF49" t="str">
        <f>A49&amp;"|"&amp;B49&amp;"|"&amp;H49&amp;"|"&amp;I49&amp;"|"&amp;R49&amp;"|"&amp;S49&amp;"|"&amp;V49</f>
        <v>ORD-2024-10048|2024-12-08|CUST-1987|Rahul Verma|8|2445.31|17606.23</v>
      </c>
      <c r="AG49" t="str">
        <f>IF(COUNTIF($A$2:$A$913,A49)&gt;1,"TRUE","FALSE")</f>
        <v>FALSE</v>
      </c>
    </row>
    <row r="50" spans="1:33">
      <c r="A50" t="s">
        <v>2990</v>
      </c>
      <c r="B50" t="s">
        <v>590</v>
      </c>
      <c r="C50" t="s">
        <v>198</v>
      </c>
      <c r="D50">
        <f>IF(OR(B50="", C50=""), "", (C50 - B50))</f>
        <v>6</v>
      </c>
      <c r="E50" t="str">
        <f>IF(C50&lt;B50, "INVALID: Ship date before order date", "")</f>
        <v/>
      </c>
      <c r="F50" t="str">
        <f>IF(B50="", "", TEXT(B50, "mmmm"))</f>
        <v>January</v>
      </c>
      <c r="G50">
        <f>IF(B50="", "", YEAR(B50))</f>
        <v>2025</v>
      </c>
      <c r="H50" t="s">
        <v>249</v>
      </c>
      <c r="I50" t="s">
        <v>78</v>
      </c>
      <c r="J50" t="s">
        <v>89</v>
      </c>
      <c r="K50" t="s">
        <v>62</v>
      </c>
      <c r="L50" t="s">
        <v>63</v>
      </c>
      <c r="M50" t="s">
        <v>64</v>
      </c>
      <c r="N50" t="s">
        <v>40</v>
      </c>
      <c r="O50" t="s">
        <v>65</v>
      </c>
      <c r="P50" t="s">
        <v>250</v>
      </c>
      <c r="Q50" t="s">
        <v>30</v>
      </c>
      <c r="R50">
        <v>7</v>
      </c>
      <c r="S50" s="15">
        <v>4063.66</v>
      </c>
      <c r="T50" s="4">
        <v>0</v>
      </c>
      <c r="U50" s="3" t="str">
        <f>IF(T50&lt;0, "negative_discount", IF(AND(T50&gt;0.5, T50&lt;=1), "high_discount", ""))</f>
        <v/>
      </c>
      <c r="V50" s="11">
        <v>28445.62</v>
      </c>
      <c r="W50" s="12">
        <v>28445.62</v>
      </c>
      <c r="X50" s="11">
        <v>20938.59</v>
      </c>
      <c r="Y50" s="11">
        <v>7507.03</v>
      </c>
      <c r="Z50" s="11">
        <f>ROUND(W50-X50,2)</f>
        <v>7507.03</v>
      </c>
      <c r="AA50" s="4">
        <f>IF(W50=0,0,Z50/W50)</f>
        <v>0.26390811660986824</v>
      </c>
      <c r="AB50" t="s">
        <v>31</v>
      </c>
      <c r="AC50" t="s">
        <v>32</v>
      </c>
      <c r="AD50" t="str">
        <f>IF(AND(E50="", T50&gt;=0, T50&lt;=0.5, K50&lt;&gt;"Unknown", Q50&lt;&gt;"Unknown"), "CLEAN", _xlfn.CONCAT("WARNING: ", IF(E50&lt;&gt;"","invalid_date",""), IF(T50&lt;0,"negative_discount",""), IF(AND(T50&gt;0.5,T50&lt;=1),"high_discount",""), IF(K50="Unknown","missing_region",""), IF(Q50="Unknown","missing_ship_mode","")))</f>
        <v>CLEAN</v>
      </c>
      <c r="AE50" t="str">
        <f>IF(COUNTIF($AF$2:$AF$926,AF50)&gt;1,"DUPLICATE","UNIQUE")</f>
        <v>UNIQUE</v>
      </c>
      <c r="AF50" t="str">
        <f>A50&amp;"|"&amp;B50&amp;"|"&amp;H50&amp;"|"&amp;I50&amp;"|"&amp;R50&amp;"|"&amp;S50&amp;"|"&amp;V50</f>
        <v>ORD-2025-10049|2025-01-30|CUST-8183|Neha Gupta|7|4063.66|28445.62</v>
      </c>
      <c r="AG50" t="str">
        <f>IF(COUNTIF($A$2:$A$913,A50)&gt;1,"TRUE","FALSE")</f>
        <v>FALSE</v>
      </c>
    </row>
    <row r="51" spans="1:33">
      <c r="A51" t="s">
        <v>251</v>
      </c>
      <c r="B51" t="s">
        <v>252</v>
      </c>
      <c r="C51" t="s">
        <v>2856</v>
      </c>
      <c r="D51">
        <f>IF(OR(B51="", C51=""), "", (C51 - B51))</f>
        <v>7</v>
      </c>
      <c r="E51" t="str">
        <f>IF(C51&lt;B51, "INVALID: Ship date before order date", "")</f>
        <v/>
      </c>
      <c r="F51" t="str">
        <f>IF(B51="", "", TEXT(B51, "mmmm"))</f>
        <v>April</v>
      </c>
      <c r="G51">
        <f>IF(B51="", "", YEAR(B51))</f>
        <v>2024</v>
      </c>
      <c r="H51" t="s">
        <v>253</v>
      </c>
      <c r="I51" t="s">
        <v>126</v>
      </c>
      <c r="J51" t="s">
        <v>93</v>
      </c>
      <c r="K51" t="s">
        <v>24</v>
      </c>
      <c r="L51" t="s">
        <v>134</v>
      </c>
      <c r="M51" t="s">
        <v>135</v>
      </c>
      <c r="N51" t="s">
        <v>74</v>
      </c>
      <c r="O51" t="s">
        <v>79</v>
      </c>
      <c r="P51" t="s">
        <v>254</v>
      </c>
      <c r="Q51" t="s">
        <v>30</v>
      </c>
      <c r="R51">
        <v>9</v>
      </c>
      <c r="S51" s="15">
        <v>792.11</v>
      </c>
      <c r="T51" s="4">
        <v>0.05</v>
      </c>
      <c r="U51" s="3" t="str">
        <f>IF(T51&lt;0, "negative_discount", IF(AND(T51&gt;0.5, T51&lt;=1), "high_discount", ""))</f>
        <v/>
      </c>
      <c r="V51" s="11">
        <v>6772.54</v>
      </c>
      <c r="W51" s="12">
        <v>6772.54</v>
      </c>
      <c r="X51" s="11">
        <v>5755.46</v>
      </c>
      <c r="Y51" s="11">
        <v>1017.08</v>
      </c>
      <c r="Z51" s="11">
        <f>ROUND(W51-X51,2)</f>
        <v>1017.08</v>
      </c>
      <c r="AA51" s="4">
        <f>IF(W51=0,0,Z51/W51)</f>
        <v>0.15017703845233843</v>
      </c>
      <c r="AB51" t="s">
        <v>31</v>
      </c>
      <c r="AC51" t="s">
        <v>32</v>
      </c>
      <c r="AD51" t="str">
        <f>IF(AND(E51="", T51&gt;=0, T51&lt;=0.5, K51&lt;&gt;"Unknown", Q51&lt;&gt;"Unknown"), "CLEAN", _xlfn.CONCAT("WARNING: ", IF(E51&lt;&gt;"","invalid_date",""), IF(T51&lt;0,"negative_discount",""), IF(AND(T51&gt;0.5,T51&lt;=1),"high_discount",""), IF(K51="Unknown","missing_region",""), IF(Q51="Unknown","missing_ship_mode","")))</f>
        <v>CLEAN</v>
      </c>
      <c r="AE51" t="str">
        <f>IF(COUNTIF($AF$2:$AF$926,AF51)&gt;1,"DUPLICATE","UNIQUE")</f>
        <v>UNIQUE</v>
      </c>
      <c r="AF51" t="str">
        <f>A51&amp;"|"&amp;B51&amp;"|"&amp;H51&amp;"|"&amp;I51&amp;"|"&amp;R51&amp;"|"&amp;S51&amp;"|"&amp;V51</f>
        <v>ORD-2024-10050|2024-04-06|CUST-2380|Aarav Sharma|9|792.11|6772.54</v>
      </c>
      <c r="AG51" t="str">
        <f>IF(COUNTIF($A$2:$A$913,A51)&gt;1,"TRUE","FALSE")</f>
        <v>FALSE</v>
      </c>
    </row>
    <row r="52" spans="1:33">
      <c r="A52" t="s">
        <v>2991</v>
      </c>
      <c r="B52" t="s">
        <v>1425</v>
      </c>
      <c r="C52" t="s">
        <v>2901</v>
      </c>
      <c r="D52">
        <f>IF(OR(B52="", C52=""), "", (C52 - B52))</f>
        <v>8</v>
      </c>
      <c r="E52" t="str">
        <f>IF(C52&lt;B52, "INVALID: Ship date before order date", "")</f>
        <v/>
      </c>
      <c r="F52" t="str">
        <f>IF(B52="", "", TEXT(B52, "mmmm"))</f>
        <v>May</v>
      </c>
      <c r="G52">
        <f>IF(B52="", "", YEAR(B52))</f>
        <v>2025</v>
      </c>
      <c r="H52" t="s">
        <v>255</v>
      </c>
      <c r="I52" t="s">
        <v>131</v>
      </c>
      <c r="J52" t="s">
        <v>23</v>
      </c>
      <c r="K52" t="s">
        <v>37</v>
      </c>
      <c r="L52" t="s">
        <v>96</v>
      </c>
      <c r="M52" t="s">
        <v>97</v>
      </c>
      <c r="N52" t="s">
        <v>74</v>
      </c>
      <c r="O52" t="s">
        <v>79</v>
      </c>
      <c r="P52" t="s">
        <v>256</v>
      </c>
      <c r="Q52" t="s">
        <v>58</v>
      </c>
      <c r="R52">
        <v>1</v>
      </c>
      <c r="S52" s="15">
        <v>2382.8000000000002</v>
      </c>
      <c r="T52" s="4">
        <v>0.15</v>
      </c>
      <c r="U52" s="3" t="str">
        <f>IF(T52&lt;0, "negative_discount", IF(AND(T52&gt;0.5, T52&lt;=1), "high_discount", ""))</f>
        <v/>
      </c>
      <c r="V52" s="11">
        <v>2025.38</v>
      </c>
      <c r="W52" s="12">
        <v>2025.38</v>
      </c>
      <c r="X52" s="11">
        <v>1140.6500000000001</v>
      </c>
      <c r="Y52" s="11">
        <v>884.73</v>
      </c>
      <c r="Z52" s="11">
        <f>ROUND(W52-X52,2)</f>
        <v>884.73</v>
      </c>
      <c r="AA52" s="4">
        <f>IF(W52=0,0,Z52/W52)</f>
        <v>0.43682173221815163</v>
      </c>
      <c r="AB52" t="s">
        <v>31</v>
      </c>
      <c r="AC52" t="s">
        <v>32</v>
      </c>
      <c r="AD52" t="str">
        <f>IF(AND(E52="", T52&gt;=0, T52&lt;=0.5, K52&lt;&gt;"Unknown", Q52&lt;&gt;"Unknown"), "CLEAN", _xlfn.CONCAT("WARNING: ", IF(E52&lt;&gt;"","invalid_date",""), IF(T52&lt;0,"negative_discount",""), IF(AND(T52&gt;0.5,T52&lt;=1),"high_discount",""), IF(K52="Unknown","missing_region",""), IF(Q52="Unknown","missing_ship_mode","")))</f>
        <v>CLEAN</v>
      </c>
      <c r="AE52" t="str">
        <f>IF(COUNTIF($AF$2:$AF$926,AF52)&gt;1,"DUPLICATE","UNIQUE")</f>
        <v>UNIQUE</v>
      </c>
      <c r="AF52" t="str">
        <f>A52&amp;"|"&amp;B52&amp;"|"&amp;H52&amp;"|"&amp;I52&amp;"|"&amp;R52&amp;"|"&amp;S52&amp;"|"&amp;V52</f>
        <v>ORD-2025-10051|2025-05-11|CUST-8787|Sneha Kapoor|1|2382.8|2025.38</v>
      </c>
      <c r="AG52" t="str">
        <f>IF(COUNTIF($A$2:$A$913,A52)&gt;1,"TRUE","FALSE")</f>
        <v>FALSE</v>
      </c>
    </row>
    <row r="53" spans="1:33">
      <c r="A53" t="s">
        <v>257</v>
      </c>
      <c r="B53" t="s">
        <v>2690</v>
      </c>
      <c r="C53" t="s">
        <v>2902</v>
      </c>
      <c r="D53">
        <f>IF(OR(B53="", C53=""), "", (C53 - B53))</f>
        <v>5</v>
      </c>
      <c r="E53" t="str">
        <f>IF(C53&lt;B53, "INVALID: Ship date before order date", "")</f>
        <v/>
      </c>
      <c r="F53" t="str">
        <f>IF(B53="", "", TEXT(B53, "mmmm"))</f>
        <v>April</v>
      </c>
      <c r="G53">
        <f>IF(B53="", "", YEAR(B53))</f>
        <v>2024</v>
      </c>
      <c r="H53" t="s">
        <v>258</v>
      </c>
      <c r="I53" t="s">
        <v>61</v>
      </c>
      <c r="J53" t="s">
        <v>89</v>
      </c>
      <c r="K53" t="s">
        <v>53</v>
      </c>
      <c r="L53" t="s">
        <v>54</v>
      </c>
      <c r="M53" t="s">
        <v>55</v>
      </c>
      <c r="N53" t="s">
        <v>27</v>
      </c>
      <c r="O53" t="s">
        <v>47</v>
      </c>
      <c r="P53" t="s">
        <v>259</v>
      </c>
      <c r="Q53" t="s">
        <v>58</v>
      </c>
      <c r="R53">
        <v>6</v>
      </c>
      <c r="S53" s="15">
        <v>1528.08</v>
      </c>
      <c r="T53" s="4">
        <v>0</v>
      </c>
      <c r="U53" s="3" t="str">
        <f>IF(T53&lt;0, "negative_discount", IF(AND(T53&gt;0.5, T53&lt;=1), "high_discount", ""))</f>
        <v/>
      </c>
      <c r="V53" s="11">
        <v>9168.48</v>
      </c>
      <c r="W53" s="12">
        <v>9168.48</v>
      </c>
      <c r="X53" s="11">
        <v>7439.77</v>
      </c>
      <c r="Y53" s="11">
        <v>1728.71</v>
      </c>
      <c r="Z53" s="11">
        <f>ROUND(W53-X53,2)</f>
        <v>1728.71</v>
      </c>
      <c r="AA53" s="4">
        <f>IF(W53=0,0,Z53/W53)</f>
        <v>0.18854924698532363</v>
      </c>
      <c r="AB53" t="s">
        <v>31</v>
      </c>
      <c r="AC53" t="s">
        <v>32</v>
      </c>
      <c r="AD53" t="str">
        <f>IF(AND(E53="", T53&gt;=0, T53&lt;=0.5, K53&lt;&gt;"Unknown", Q53&lt;&gt;"Unknown"), "CLEAN", _xlfn.CONCAT("WARNING: ", IF(E53&lt;&gt;"","invalid_date",""), IF(T53&lt;0,"negative_discount",""), IF(AND(T53&gt;0.5,T53&lt;=1),"high_discount",""), IF(K53="Unknown","missing_region",""), IF(Q53="Unknown","missing_ship_mode","")))</f>
        <v>CLEAN</v>
      </c>
      <c r="AE53" t="str">
        <f>IF(COUNTIF($AF$2:$AF$926,AF53)&gt;1,"DUPLICATE","UNIQUE")</f>
        <v>UNIQUE</v>
      </c>
      <c r="AF53" t="str">
        <f>A53&amp;"|"&amp;B53&amp;"|"&amp;H53&amp;"|"&amp;I53&amp;"|"&amp;R53&amp;"|"&amp;S53&amp;"|"&amp;V53</f>
        <v>ORD-2024-10052|2024-04-24|CUST-3557|Ananya Rao|6|1528.08|9168.48</v>
      </c>
      <c r="AG53" t="str">
        <f>IF(COUNTIF($A$2:$A$913,A53)&gt;1,"TRUE","FALSE")</f>
        <v>FALSE</v>
      </c>
    </row>
    <row r="54" spans="1:33">
      <c r="A54" t="s">
        <v>260</v>
      </c>
      <c r="B54" t="s">
        <v>2691</v>
      </c>
      <c r="C54" t="s">
        <v>261</v>
      </c>
      <c r="D54">
        <f>IF(OR(B54="", C54=""), "", (C54 - B54))</f>
        <v>2</v>
      </c>
      <c r="E54" t="str">
        <f>IF(C54&lt;B54, "INVALID: Ship date before order date", "")</f>
        <v/>
      </c>
      <c r="F54" t="str">
        <f>IF(B54="", "", TEXT(B54, "mmmm"))</f>
        <v>October</v>
      </c>
      <c r="G54">
        <f>IF(B54="", "", YEAR(B54))</f>
        <v>2024</v>
      </c>
      <c r="H54" t="s">
        <v>262</v>
      </c>
      <c r="I54" t="s">
        <v>263</v>
      </c>
      <c r="J54" t="s">
        <v>36</v>
      </c>
      <c r="K54" t="s">
        <v>24</v>
      </c>
      <c r="L54" t="s">
        <v>25</v>
      </c>
      <c r="M54" t="s">
        <v>26</v>
      </c>
      <c r="N54" t="s">
        <v>40</v>
      </c>
      <c r="O54" t="s">
        <v>65</v>
      </c>
      <c r="P54" t="s">
        <v>264</v>
      </c>
      <c r="Q54" t="s">
        <v>49</v>
      </c>
      <c r="R54">
        <v>9</v>
      </c>
      <c r="S54" s="15">
        <v>1399.63</v>
      </c>
      <c r="T54" s="4">
        <v>0</v>
      </c>
      <c r="U54" s="3" t="str">
        <f>IF(T54&lt;0, "negative_discount", IF(AND(T54&gt;0.5, T54&lt;=1), "high_discount", ""))</f>
        <v/>
      </c>
      <c r="V54" s="11">
        <v>12596.67</v>
      </c>
      <c r="W54" s="12">
        <v>12596.67</v>
      </c>
      <c r="X54" s="11">
        <v>10603.29</v>
      </c>
      <c r="Y54" s="11">
        <v>1993.38</v>
      </c>
      <c r="Z54" s="11">
        <f>ROUND(W54-X54,2)</f>
        <v>1993.38</v>
      </c>
      <c r="AA54" s="4">
        <f>IF(W54=0,0,Z54/W54)</f>
        <v>0.1582465842163048</v>
      </c>
      <c r="AB54" t="s">
        <v>151</v>
      </c>
      <c r="AC54" t="s">
        <v>67</v>
      </c>
      <c r="AD54" t="str">
        <f>IF(AND(E54="", T54&gt;=0, T54&lt;=0.5, K54&lt;&gt;"Unknown", Q54&lt;&gt;"Unknown"), "CLEAN", _xlfn.CONCAT("WARNING: ", IF(E54&lt;&gt;"","invalid_date",""), IF(T54&lt;0,"negative_discount",""), IF(AND(T54&gt;0.5,T54&lt;=1),"high_discount",""), IF(K54="Unknown","missing_region",""), IF(Q54="Unknown","missing_ship_mode","")))</f>
        <v>CLEAN</v>
      </c>
      <c r="AE54" t="str">
        <f>IF(COUNTIF($AF$2:$AF$926,AF54)&gt;1,"DUPLICATE","UNIQUE")</f>
        <v>UNIQUE</v>
      </c>
      <c r="AF54" t="str">
        <f>A54&amp;"|"&amp;B54&amp;"|"&amp;H54&amp;"|"&amp;I54&amp;"|"&amp;R54&amp;"|"&amp;S54&amp;"|"&amp;V54</f>
        <v>ORD-2024-10053|2024-10-26|CUST-2778|Kabir Singh|9|1399.63|12596.67</v>
      </c>
      <c r="AG54" t="str">
        <f>IF(COUNTIF($A$2:$A$913,A54)&gt;1,"TRUE","FALSE")</f>
        <v>FALSE</v>
      </c>
    </row>
    <row r="55" spans="1:33">
      <c r="A55" t="s">
        <v>2992</v>
      </c>
      <c r="B55" t="s">
        <v>265</v>
      </c>
      <c r="C55" t="s">
        <v>265</v>
      </c>
      <c r="D55">
        <f>IF(OR(B55="", C55=""), "", (C55 - B55))</f>
        <v>0</v>
      </c>
      <c r="E55" t="str">
        <f>IF(C55&lt;B55, "INVALID: Ship date before order date", "")</f>
        <v/>
      </c>
      <c r="F55" t="str">
        <f>IF(B55="", "", TEXT(B55, "mmmm"))</f>
        <v>March</v>
      </c>
      <c r="G55">
        <f>IF(B55="", "", YEAR(B55))</f>
        <v>2025</v>
      </c>
      <c r="H55" t="s">
        <v>266</v>
      </c>
      <c r="I55" t="s">
        <v>263</v>
      </c>
      <c r="J55" t="s">
        <v>93</v>
      </c>
      <c r="K55" t="s">
        <v>62</v>
      </c>
      <c r="L55" t="s">
        <v>176</v>
      </c>
      <c r="M55" t="s">
        <v>177</v>
      </c>
      <c r="N55" t="s">
        <v>27</v>
      </c>
      <c r="O55" t="s">
        <v>122</v>
      </c>
      <c r="P55" t="s">
        <v>267</v>
      </c>
      <c r="Q55" t="s">
        <v>49</v>
      </c>
      <c r="R55">
        <v>5</v>
      </c>
      <c r="S55" s="15">
        <v>1207.47</v>
      </c>
      <c r="T55" s="4">
        <v>0.15</v>
      </c>
      <c r="U55" s="3" t="str">
        <f>IF(T55&lt;0, "negative_discount", IF(AND(T55&gt;0.5, T55&lt;=1), "high_discount", ""))</f>
        <v/>
      </c>
      <c r="V55" s="11">
        <v>5131.75</v>
      </c>
      <c r="W55" s="12">
        <v>5131.75</v>
      </c>
      <c r="X55" s="11">
        <v>2838.68</v>
      </c>
      <c r="Y55" s="11">
        <v>2293.0700000000002</v>
      </c>
      <c r="Z55" s="11">
        <f>ROUND(W55-X55,2)</f>
        <v>2293.0700000000002</v>
      </c>
      <c r="AA55" s="4">
        <f>IF(W55=0,0,Z55/W55)</f>
        <v>0.44683977200759978</v>
      </c>
      <c r="AB55" t="s">
        <v>31</v>
      </c>
      <c r="AC55" t="s">
        <v>32</v>
      </c>
      <c r="AD55" t="str">
        <f>IF(AND(E55="", T55&gt;=0, T55&lt;=0.5, K55&lt;&gt;"Unknown", Q55&lt;&gt;"Unknown"), "CLEAN", _xlfn.CONCAT("WARNING: ", IF(E55&lt;&gt;"","invalid_date",""), IF(T55&lt;0,"negative_discount",""), IF(AND(T55&gt;0.5,T55&lt;=1),"high_discount",""), IF(K55="Unknown","missing_region",""), IF(Q55="Unknown","missing_ship_mode","")))</f>
        <v>CLEAN</v>
      </c>
      <c r="AE55" t="str">
        <f>IF(COUNTIF($AF$2:$AF$926,AF55)&gt;1,"DUPLICATE","UNIQUE")</f>
        <v>UNIQUE</v>
      </c>
      <c r="AF55" t="str">
        <f>A55&amp;"|"&amp;B55&amp;"|"&amp;H55&amp;"|"&amp;I55&amp;"|"&amp;R55&amp;"|"&amp;S55&amp;"|"&amp;V55</f>
        <v>ORD-2025-10054|2025-03-31|CUST-7195|Kabir Singh|5|1207.47|5131.75</v>
      </c>
      <c r="AG55" t="str">
        <f>IF(COUNTIF($A$2:$A$913,A55)&gt;1,"TRUE","FALSE")</f>
        <v>FALSE</v>
      </c>
    </row>
    <row r="56" spans="1:33">
      <c r="A56" t="s">
        <v>2993</v>
      </c>
      <c r="B56" t="s">
        <v>1031</v>
      </c>
      <c r="C56" t="s">
        <v>268</v>
      </c>
      <c r="D56">
        <f>IF(OR(B56="", C56=""), "", (C56 - B56))</f>
        <v>3</v>
      </c>
      <c r="E56" t="str">
        <f>IF(C56&lt;B56, "INVALID: Ship date before order date", "")</f>
        <v/>
      </c>
      <c r="F56" t="str">
        <f>IF(B56="", "", TEXT(B56, "mmmm"))</f>
        <v>May</v>
      </c>
      <c r="G56">
        <f>IF(B56="", "", YEAR(B56))</f>
        <v>2025</v>
      </c>
      <c r="H56" t="s">
        <v>269</v>
      </c>
      <c r="I56" t="s">
        <v>52</v>
      </c>
      <c r="J56" t="s">
        <v>89</v>
      </c>
      <c r="K56" t="s">
        <v>53</v>
      </c>
      <c r="L56" t="s">
        <v>246</v>
      </c>
      <c r="M56" t="s">
        <v>247</v>
      </c>
      <c r="N56" t="s">
        <v>27</v>
      </c>
      <c r="O56" t="s">
        <v>90</v>
      </c>
      <c r="P56" t="s">
        <v>270</v>
      </c>
      <c r="Q56" t="s">
        <v>43</v>
      </c>
      <c r="R56">
        <v>8</v>
      </c>
      <c r="S56" s="15">
        <v>474.37</v>
      </c>
      <c r="T56" s="4">
        <v>0.1</v>
      </c>
      <c r="U56" s="3" t="str">
        <f>IF(T56&lt;0, "negative_discount", IF(AND(T56&gt;0.5, T56&lt;=1), "high_discount", ""))</f>
        <v/>
      </c>
      <c r="V56" s="11">
        <v>3415.46</v>
      </c>
      <c r="W56" s="12">
        <v>3415.46</v>
      </c>
      <c r="X56" s="11">
        <v>1993.23</v>
      </c>
      <c r="Y56" s="11">
        <v>1422.23</v>
      </c>
      <c r="Z56" s="11">
        <f>ROUND(W56-X56,2)</f>
        <v>1422.23</v>
      </c>
      <c r="AA56" s="4">
        <f>IF(W56=0,0,Z56/W56)</f>
        <v>0.4164095026731392</v>
      </c>
      <c r="AB56" t="s">
        <v>151</v>
      </c>
      <c r="AC56" t="s">
        <v>67</v>
      </c>
      <c r="AD56" t="str">
        <f>IF(AND(E56="", T56&gt;=0, T56&lt;=0.5, K56&lt;&gt;"Unknown", Q56&lt;&gt;"Unknown"), "CLEAN", _xlfn.CONCAT("WARNING: ", IF(E56&lt;&gt;"","invalid_date",""), IF(T56&lt;0,"negative_discount",""), IF(AND(T56&gt;0.5,T56&lt;=1),"high_discount",""), IF(K56="Unknown","missing_region",""), IF(Q56="Unknown","missing_ship_mode","")))</f>
        <v>CLEAN</v>
      </c>
      <c r="AE56" t="str">
        <f>IF(COUNTIF($AF$2:$AF$926,AF56)&gt;1,"DUPLICATE","UNIQUE")</f>
        <v>UNIQUE</v>
      </c>
      <c r="AF56" t="str">
        <f>A56&amp;"|"&amp;B56&amp;"|"&amp;H56&amp;"|"&amp;I56&amp;"|"&amp;R56&amp;"|"&amp;S56&amp;"|"&amp;V56</f>
        <v>ORD-2025-10055|2025-05-30|CUST-9039|Arjun Bose|8|474.37|3415.46</v>
      </c>
      <c r="AG56" t="str">
        <f>IF(COUNTIF($A$2:$A$913,A56)&gt;1,"TRUE","FALSE")</f>
        <v>FALSE</v>
      </c>
    </row>
    <row r="57" spans="1:33">
      <c r="A57" t="s">
        <v>2994</v>
      </c>
      <c r="B57" t="s">
        <v>2692</v>
      </c>
      <c r="C57" t="s">
        <v>2825</v>
      </c>
      <c r="D57">
        <f>IF(OR(B57="", C57=""), "", (C57 - B57))</f>
        <v>59</v>
      </c>
      <c r="E57" t="str">
        <f>IF(C57&lt;B57, "INVALID: Ship date before order date", "")</f>
        <v/>
      </c>
      <c r="F57" t="str">
        <f>IF(B57="", "", TEXT(B57, "mmmm"))</f>
        <v>January</v>
      </c>
      <c r="G57">
        <f>IF(B57="", "", YEAR(B57))</f>
        <v>2025</v>
      </c>
      <c r="H57" t="s">
        <v>271</v>
      </c>
      <c r="I57" t="s">
        <v>35</v>
      </c>
      <c r="J57" t="s">
        <v>36</v>
      </c>
      <c r="K57" t="s">
        <v>53</v>
      </c>
      <c r="L57" t="s">
        <v>83</v>
      </c>
      <c r="M57" t="s">
        <v>84</v>
      </c>
      <c r="N57" t="s">
        <v>74</v>
      </c>
      <c r="O57" t="s">
        <v>272</v>
      </c>
      <c r="P57" t="s">
        <v>273</v>
      </c>
      <c r="Q57" t="s">
        <v>43</v>
      </c>
      <c r="R57">
        <v>3</v>
      </c>
      <c r="S57" s="15">
        <v>1516.24</v>
      </c>
      <c r="T57" s="4">
        <v>0.25</v>
      </c>
      <c r="U57" s="3" t="str">
        <f>IF(T57&lt;0, "negative_discount", IF(AND(T57&gt;0.5, T57&lt;=1), "high_discount", ""))</f>
        <v/>
      </c>
      <c r="V57" s="11">
        <v>3411.54</v>
      </c>
      <c r="W57" s="12">
        <v>3411.54</v>
      </c>
      <c r="X57" s="11">
        <v>2803.13</v>
      </c>
      <c r="Y57" s="11">
        <v>608.41</v>
      </c>
      <c r="Z57" s="11">
        <f>ROUND(W57-X57,2)</f>
        <v>608.41</v>
      </c>
      <c r="AA57" s="4">
        <f>IF(W57=0,0,Z57/W57)</f>
        <v>0.17833881472883215</v>
      </c>
      <c r="AB57" t="s">
        <v>31</v>
      </c>
      <c r="AC57" t="s">
        <v>32</v>
      </c>
      <c r="AD57" t="str">
        <f>IF(AND(E57="", T57&gt;=0, T57&lt;=0.5, K57&lt;&gt;"Unknown", Q57&lt;&gt;"Unknown"), "CLEAN", _xlfn.CONCAT("WARNING: ", IF(E57&lt;&gt;"","invalid_date",""), IF(T57&lt;0,"negative_discount",""), IF(AND(T57&gt;0.5,T57&lt;=1),"high_discount",""), IF(K57="Unknown","missing_region",""), IF(Q57="Unknown","missing_ship_mode","")))</f>
        <v>CLEAN</v>
      </c>
      <c r="AE57" t="str">
        <f>IF(COUNTIF($AF$2:$AF$926,AF57)&gt;1,"DUPLICATE","UNIQUE")</f>
        <v>UNIQUE</v>
      </c>
      <c r="AF57" t="str">
        <f>A57&amp;"|"&amp;B57&amp;"|"&amp;H57&amp;"|"&amp;I57&amp;"|"&amp;R57&amp;"|"&amp;S57&amp;"|"&amp;V57</f>
        <v>ORD-2025-10056|2025-01-07|CUST-9821|Mira Das|3|1516.24|3411.54</v>
      </c>
      <c r="AG57" t="str">
        <f>IF(COUNTIF($A$2:$A$913,A57)&gt;1,"TRUE","FALSE")</f>
        <v>FALSE</v>
      </c>
    </row>
    <row r="58" spans="1:33">
      <c r="A58" t="s">
        <v>2995</v>
      </c>
      <c r="B58" t="s">
        <v>274</v>
      </c>
      <c r="C58" t="s">
        <v>1662</v>
      </c>
      <c r="D58">
        <f>IF(OR(B58="", C58=""), "", (C58 - B58))</f>
        <v>147</v>
      </c>
      <c r="E58" t="str">
        <f>IF(C58&lt;B58, "INVALID: Ship date before order date", "")</f>
        <v/>
      </c>
      <c r="F58" t="str">
        <f>IF(B58="", "", TEXT(B58, "mmmm"))</f>
        <v>January</v>
      </c>
      <c r="G58">
        <f>IF(B58="", "", YEAR(B58))</f>
        <v>2025</v>
      </c>
      <c r="H58" t="s">
        <v>275</v>
      </c>
      <c r="I58" t="s">
        <v>22</v>
      </c>
      <c r="J58" t="s">
        <v>23</v>
      </c>
      <c r="K58" t="s">
        <v>53</v>
      </c>
      <c r="L58" t="s">
        <v>171</v>
      </c>
      <c r="M58" t="s">
        <v>172</v>
      </c>
      <c r="N58" t="s">
        <v>27</v>
      </c>
      <c r="O58" t="s">
        <v>149</v>
      </c>
      <c r="P58" t="s">
        <v>276</v>
      </c>
      <c r="Q58" t="s">
        <v>30</v>
      </c>
      <c r="R58">
        <v>3</v>
      </c>
      <c r="S58" s="15">
        <v>3155.61</v>
      </c>
      <c r="T58" s="4">
        <v>0</v>
      </c>
      <c r="U58" s="3" t="str">
        <f>IF(T58&lt;0, "negative_discount", IF(AND(T58&gt;0.5, T58&lt;=1), "high_discount", ""))</f>
        <v/>
      </c>
      <c r="V58" s="11">
        <v>9466.83</v>
      </c>
      <c r="W58" s="12">
        <v>9466.83</v>
      </c>
      <c r="X58" s="11">
        <v>6557.83</v>
      </c>
      <c r="Y58" s="11">
        <v>2909</v>
      </c>
      <c r="Z58" s="11">
        <f>ROUND(W58-X58,2)</f>
        <v>2909</v>
      </c>
      <c r="AA58" s="4">
        <f>IF(W58=0,0,Z58/W58)</f>
        <v>0.30728343067320318</v>
      </c>
      <c r="AB58" t="s">
        <v>99</v>
      </c>
      <c r="AC58" t="s">
        <v>67</v>
      </c>
      <c r="AD58" t="str">
        <f>IF(AND(E58="", T58&gt;=0, T58&lt;=0.5, K58&lt;&gt;"Unknown", Q58&lt;&gt;"Unknown"), "CLEAN", _xlfn.CONCAT("WARNING: ", IF(E58&lt;&gt;"","invalid_date",""), IF(T58&lt;0,"negative_discount",""), IF(AND(T58&gt;0.5,T58&lt;=1),"high_discount",""), IF(K58="Unknown","missing_region",""), IF(Q58="Unknown","missing_ship_mode","")))</f>
        <v>CLEAN</v>
      </c>
      <c r="AE58" t="str">
        <f>IF(COUNTIF($AF$2:$AF$926,AF58)&gt;1,"DUPLICATE","UNIQUE")</f>
        <v>UNIQUE</v>
      </c>
      <c r="AF58" t="str">
        <f>A58&amp;"|"&amp;B58&amp;"|"&amp;H58&amp;"|"&amp;I58&amp;"|"&amp;R58&amp;"|"&amp;S58&amp;"|"&amp;V58</f>
        <v>ORD-2025-10057|2025-01-05|CUST-8701|Karan Malhotra|3|3155.61|9466.83</v>
      </c>
      <c r="AG58" t="str">
        <f>IF(COUNTIF($A$2:$A$913,A58)&gt;1,"TRUE","FALSE")</f>
        <v>FALSE</v>
      </c>
    </row>
    <row r="59" spans="1:33">
      <c r="A59" t="s">
        <v>277</v>
      </c>
      <c r="B59" t="s">
        <v>278</v>
      </c>
      <c r="C59" t="s">
        <v>464</v>
      </c>
      <c r="D59">
        <f>IF(OR(B59="", C59=""), "", (C59 - B59))</f>
        <v>8</v>
      </c>
      <c r="E59" t="str">
        <f>IF(C59&lt;B59, "INVALID: Ship date before order date", "")</f>
        <v/>
      </c>
      <c r="F59" t="str">
        <f>IF(B59="", "", TEXT(B59, "mmmm"))</f>
        <v>February</v>
      </c>
      <c r="G59">
        <f>IF(B59="", "", YEAR(B59))</f>
        <v>2024</v>
      </c>
      <c r="H59" t="s">
        <v>279</v>
      </c>
      <c r="I59" t="s">
        <v>112</v>
      </c>
      <c r="J59" t="s">
        <v>23</v>
      </c>
      <c r="K59" t="s">
        <v>62</v>
      </c>
      <c r="L59" t="s">
        <v>185</v>
      </c>
      <c r="M59" t="s">
        <v>186</v>
      </c>
      <c r="N59" t="s">
        <v>40</v>
      </c>
      <c r="O59" t="s">
        <v>65</v>
      </c>
      <c r="P59" t="s">
        <v>280</v>
      </c>
      <c r="Q59" t="s">
        <v>43</v>
      </c>
      <c r="R59">
        <v>5</v>
      </c>
      <c r="S59" s="15">
        <v>255.87</v>
      </c>
      <c r="T59" s="4">
        <v>0</v>
      </c>
      <c r="U59" s="3" t="str">
        <f>IF(T59&lt;0, "negative_discount", IF(AND(T59&gt;0.5, T59&lt;=1), "high_discount", ""))</f>
        <v/>
      </c>
      <c r="V59" s="11">
        <v>1279.3499999999999</v>
      </c>
      <c r="W59" s="12">
        <v>1279.3499999999999</v>
      </c>
      <c r="X59" s="11">
        <v>1091.54</v>
      </c>
      <c r="Y59" s="11">
        <v>187.81</v>
      </c>
      <c r="Z59" s="11">
        <f>ROUND(W59-X59,2)</f>
        <v>187.81</v>
      </c>
      <c r="AA59" s="4">
        <f>IF(W59=0,0,Z59/W59)</f>
        <v>0.14680110993864073</v>
      </c>
      <c r="AB59" t="s">
        <v>31</v>
      </c>
      <c r="AC59" t="s">
        <v>32</v>
      </c>
      <c r="AD59" t="str">
        <f>IF(AND(E59="", T59&gt;=0, T59&lt;=0.5, K59&lt;&gt;"Unknown", Q59&lt;&gt;"Unknown"), "CLEAN", _xlfn.CONCAT("WARNING: ", IF(E59&lt;&gt;"","invalid_date",""), IF(T59&lt;0,"negative_discount",""), IF(AND(T59&gt;0.5,T59&lt;=1),"high_discount",""), IF(K59="Unknown","missing_region",""), IF(Q59="Unknown","missing_ship_mode","")))</f>
        <v>CLEAN</v>
      </c>
      <c r="AE59" t="str">
        <f>IF(COUNTIF($AF$2:$AF$926,AF59)&gt;1,"DUPLICATE","UNIQUE")</f>
        <v>UNIQUE</v>
      </c>
      <c r="AF59" t="str">
        <f>A59&amp;"|"&amp;B59&amp;"|"&amp;H59&amp;"|"&amp;I59&amp;"|"&amp;R59&amp;"|"&amp;S59&amp;"|"&amp;V59</f>
        <v>ORD-2024-10058|2024-02-07|CUST-9941|Priya Menon|5|255.87|1279.35</v>
      </c>
      <c r="AG59" t="str">
        <f>IF(COUNTIF($A$2:$A$913,A59)&gt;1,"TRUE","FALSE")</f>
        <v>FALSE</v>
      </c>
    </row>
    <row r="60" spans="1:33">
      <c r="A60" t="s">
        <v>281</v>
      </c>
      <c r="B60" t="s">
        <v>282</v>
      </c>
      <c r="C60" t="s">
        <v>283</v>
      </c>
      <c r="D60">
        <f>IF(OR(B60="", C60=""), "", (C60 - B60))</f>
        <v>6</v>
      </c>
      <c r="E60" t="str">
        <f>IF(C60&lt;B60, "INVALID: Ship date before order date", "")</f>
        <v/>
      </c>
      <c r="F60" t="str">
        <f>IF(B60="", "", TEXT(B60, "mmmm"))</f>
        <v>September</v>
      </c>
      <c r="G60">
        <f>IF(B60="", "", YEAR(B60))</f>
        <v>2024</v>
      </c>
      <c r="H60" t="s">
        <v>284</v>
      </c>
      <c r="I60" t="s">
        <v>46</v>
      </c>
      <c r="J60" t="s">
        <v>93</v>
      </c>
      <c r="K60" t="s">
        <v>24</v>
      </c>
      <c r="L60" t="s">
        <v>25</v>
      </c>
      <c r="M60" t="s">
        <v>26</v>
      </c>
      <c r="N60" t="s">
        <v>27</v>
      </c>
      <c r="O60" t="s">
        <v>122</v>
      </c>
      <c r="P60" t="s">
        <v>285</v>
      </c>
      <c r="Q60" t="s">
        <v>2970</v>
      </c>
      <c r="R60">
        <v>9</v>
      </c>
      <c r="S60" s="15">
        <v>1389.48</v>
      </c>
      <c r="T60" s="4">
        <v>0.1</v>
      </c>
      <c r="U60" s="3" t="str">
        <f>IF(T60&lt;0, "negative_discount", IF(AND(T60&gt;0.5, T60&lt;=1), "high_discount", ""))</f>
        <v/>
      </c>
      <c r="V60" s="11">
        <v>11254.79</v>
      </c>
      <c r="W60" s="12">
        <v>11254.79</v>
      </c>
      <c r="X60" s="11">
        <v>6578.06</v>
      </c>
      <c r="Y60" s="11">
        <v>4676.7299999999996</v>
      </c>
      <c r="Z60" s="11">
        <f>ROUND(W60-X60,2)</f>
        <v>4676.7299999999996</v>
      </c>
      <c r="AA60" s="4">
        <f>IF(W60=0,0,Z60/W60)</f>
        <v>0.41553240886769094</v>
      </c>
      <c r="AB60" t="s">
        <v>109</v>
      </c>
      <c r="AC60" t="s">
        <v>100</v>
      </c>
      <c r="AD60" t="str">
        <f>IF(AND(E60="", T60&gt;=0, T60&lt;=0.5, K60&lt;&gt;"Unknown", Q60&lt;&gt;"Unknown"), "CLEAN", _xlfn.CONCAT("WARNING: ", IF(E60&lt;&gt;"","invalid_date",""), IF(T60&lt;0,"negative_discount",""), IF(AND(T60&gt;0.5,T60&lt;=1),"high_discount",""), IF(K60="Unknown","missing_region",""), IF(Q60="Unknown","missing_ship_mode","")))</f>
        <v>WARNING: missing_ship_mode</v>
      </c>
      <c r="AE60" t="str">
        <f>IF(COUNTIF($AF$2:$AF$926,AF60)&gt;1,"DUPLICATE","UNIQUE")</f>
        <v>UNIQUE</v>
      </c>
      <c r="AF60" t="str">
        <f>A60&amp;"|"&amp;B60&amp;"|"&amp;H60&amp;"|"&amp;I60&amp;"|"&amp;R60&amp;"|"&amp;S60&amp;"|"&amp;V60</f>
        <v>ORD-2024-10059|2024-09-01|CUST-3983|Isha Nair|9|1389.48|11254.79</v>
      </c>
      <c r="AG60" t="str">
        <f>IF(COUNTIF($A$2:$A$913,A60)&gt;1,"TRUE","FALSE")</f>
        <v>FALSE</v>
      </c>
    </row>
    <row r="61" spans="1:33">
      <c r="A61" t="s">
        <v>286</v>
      </c>
      <c r="B61" t="s">
        <v>2693</v>
      </c>
      <c r="C61" t="s">
        <v>2753</v>
      </c>
      <c r="D61">
        <f>IF(OR(B61="", C61=""), "", (C61 - B61))</f>
        <v>5</v>
      </c>
      <c r="E61" t="str">
        <f>IF(C61&lt;B61, "INVALID: Ship date before order date", "")</f>
        <v/>
      </c>
      <c r="F61" t="str">
        <f>IF(B61="", "", TEXT(B61, "mmmm"))</f>
        <v>July</v>
      </c>
      <c r="G61">
        <f>IF(B61="", "", YEAR(B61))</f>
        <v>2024</v>
      </c>
      <c r="H61" t="s">
        <v>287</v>
      </c>
      <c r="I61" t="s">
        <v>112</v>
      </c>
      <c r="J61" t="s">
        <v>89</v>
      </c>
      <c r="K61" t="s">
        <v>37</v>
      </c>
      <c r="L61" t="s">
        <v>163</v>
      </c>
      <c r="M61" t="s">
        <v>164</v>
      </c>
      <c r="N61" t="s">
        <v>27</v>
      </c>
      <c r="O61" t="s">
        <v>90</v>
      </c>
      <c r="P61" t="s">
        <v>288</v>
      </c>
      <c r="Q61" t="s">
        <v>43</v>
      </c>
      <c r="R61">
        <v>5</v>
      </c>
      <c r="S61" s="15">
        <v>4133.8500000000004</v>
      </c>
      <c r="T61" s="4">
        <v>0.2</v>
      </c>
      <c r="U61" s="3" t="str">
        <f>IF(T61&lt;0, "negative_discount", IF(AND(T61&gt;0.5, T61&lt;=1), "high_discount", ""))</f>
        <v/>
      </c>
      <c r="V61" s="11">
        <v>16535.400000000001</v>
      </c>
      <c r="W61" s="12">
        <v>16535.400000000001</v>
      </c>
      <c r="X61" s="11">
        <v>12990.21</v>
      </c>
      <c r="Y61" s="11">
        <v>3545.19</v>
      </c>
      <c r="Z61" s="11">
        <f>ROUND(W61-X61,2)</f>
        <v>3545.19</v>
      </c>
      <c r="AA61" s="4">
        <f>IF(W61=0,0,Z61/W61)</f>
        <v>0.21440001451431473</v>
      </c>
      <c r="AB61" t="s">
        <v>31</v>
      </c>
      <c r="AC61" t="s">
        <v>67</v>
      </c>
      <c r="AD61" t="str">
        <f>IF(AND(E61="", T61&gt;=0, T61&lt;=0.5, K61&lt;&gt;"Unknown", Q61&lt;&gt;"Unknown"), "CLEAN", _xlfn.CONCAT("WARNING: ", IF(E61&lt;&gt;"","invalid_date",""), IF(T61&lt;0,"negative_discount",""), IF(AND(T61&gt;0.5,T61&lt;=1),"high_discount",""), IF(K61="Unknown","missing_region",""), IF(Q61="Unknown","missing_ship_mode","")))</f>
        <v>CLEAN</v>
      </c>
      <c r="AE61" t="str">
        <f>IF(COUNTIF($AF$2:$AF$926,AF61)&gt;1,"DUPLICATE","UNIQUE")</f>
        <v>UNIQUE</v>
      </c>
      <c r="AF61" t="str">
        <f>A61&amp;"|"&amp;B61&amp;"|"&amp;H61&amp;"|"&amp;I61&amp;"|"&amp;R61&amp;"|"&amp;S61&amp;"|"&amp;V61</f>
        <v>ORD-2024-10060|2024-07-20|CUST-2418|Priya Menon|5|4133.85|16535.4</v>
      </c>
      <c r="AG61" t="str">
        <f>IF(COUNTIF($A$2:$A$913,A61)&gt;1,"TRUE","FALSE")</f>
        <v>FALSE</v>
      </c>
    </row>
    <row r="62" spans="1:33">
      <c r="A62" t="s">
        <v>289</v>
      </c>
      <c r="B62" t="s">
        <v>2694</v>
      </c>
      <c r="C62" t="s">
        <v>290</v>
      </c>
      <c r="D62">
        <f>IF(OR(B62="", C62=""), "", (C62 - B62))</f>
        <v>6</v>
      </c>
      <c r="E62" t="str">
        <f>IF(C62&lt;B62, "INVALID: Ship date before order date", "")</f>
        <v/>
      </c>
      <c r="F62" t="str">
        <f>IF(B62="", "", TEXT(B62, "mmmm"))</f>
        <v>July</v>
      </c>
      <c r="G62">
        <f>IF(B62="", "", YEAR(B62))</f>
        <v>2024</v>
      </c>
      <c r="H62" t="s">
        <v>291</v>
      </c>
      <c r="I62" t="s">
        <v>61</v>
      </c>
      <c r="J62" t="s">
        <v>89</v>
      </c>
      <c r="K62" t="s">
        <v>37</v>
      </c>
      <c r="L62" t="s">
        <v>163</v>
      </c>
      <c r="M62" t="s">
        <v>164</v>
      </c>
      <c r="N62" t="s">
        <v>27</v>
      </c>
      <c r="O62" t="s">
        <v>90</v>
      </c>
      <c r="P62" t="s">
        <v>292</v>
      </c>
      <c r="Q62" t="s">
        <v>43</v>
      </c>
      <c r="R62">
        <v>3</v>
      </c>
      <c r="S62" s="15">
        <v>275.76</v>
      </c>
      <c r="T62" s="4">
        <v>0.2</v>
      </c>
      <c r="U62" s="3" t="str">
        <f>IF(T62&lt;0, "negative_discount", IF(AND(T62&gt;0.5, T62&lt;=1), "high_discount", ""))</f>
        <v/>
      </c>
      <c r="V62" s="11">
        <v>661.82</v>
      </c>
      <c r="W62" s="12">
        <v>661.82</v>
      </c>
      <c r="X62" s="11">
        <v>481.47</v>
      </c>
      <c r="Y62" s="11">
        <v>180.35</v>
      </c>
      <c r="Z62" s="11">
        <f>ROUND(W62-X62,2)</f>
        <v>180.35</v>
      </c>
      <c r="AA62" s="4">
        <f>IF(W62=0,0,Z62/W62)</f>
        <v>0.2725061194886827</v>
      </c>
      <c r="AB62" t="s">
        <v>99</v>
      </c>
      <c r="AC62" t="s">
        <v>67</v>
      </c>
      <c r="AD62" t="str">
        <f>IF(AND(E62="", T62&gt;=0, T62&lt;=0.5, K62&lt;&gt;"Unknown", Q62&lt;&gt;"Unknown"), "CLEAN", _xlfn.CONCAT("WARNING: ", IF(E62&lt;&gt;"","invalid_date",""), IF(T62&lt;0,"negative_discount",""), IF(AND(T62&gt;0.5,T62&lt;=1),"high_discount",""), IF(K62="Unknown","missing_region",""), IF(Q62="Unknown","missing_ship_mode","")))</f>
        <v>CLEAN</v>
      </c>
      <c r="AE62" t="str">
        <f>IF(COUNTIF($AF$2:$AF$926,AF62)&gt;1,"DUPLICATE","UNIQUE")</f>
        <v>UNIQUE</v>
      </c>
      <c r="AF62" t="str">
        <f>A62&amp;"|"&amp;B62&amp;"|"&amp;H62&amp;"|"&amp;I62&amp;"|"&amp;R62&amp;"|"&amp;S62&amp;"|"&amp;V62</f>
        <v>ORD-2024-10061|2024-07-13|CUST-2892|Ananya Rao|3|275.76|661.82</v>
      </c>
      <c r="AG62" t="str">
        <f>IF(COUNTIF($A$2:$A$913,A62)&gt;1,"TRUE","FALSE")</f>
        <v>FALSE</v>
      </c>
    </row>
    <row r="63" spans="1:33">
      <c r="A63" t="s">
        <v>293</v>
      </c>
      <c r="B63" t="s">
        <v>2695</v>
      </c>
      <c r="C63" t="s">
        <v>2695</v>
      </c>
      <c r="D63">
        <f>IF(OR(B63="", C63=""), "", (C63 - B63))</f>
        <v>0</v>
      </c>
      <c r="E63" t="str">
        <f>IF(C63&lt;B63, "INVALID: Ship date before order date", "")</f>
        <v/>
      </c>
      <c r="F63" t="str">
        <f>IF(B63="", "", TEXT(B63, "mmmm"))</f>
        <v>April</v>
      </c>
      <c r="G63">
        <f>IF(B63="", "", YEAR(B63))</f>
        <v>2024</v>
      </c>
      <c r="H63" t="s">
        <v>294</v>
      </c>
      <c r="I63" t="s">
        <v>71</v>
      </c>
      <c r="J63" t="s">
        <v>93</v>
      </c>
      <c r="K63" t="s">
        <v>37</v>
      </c>
      <c r="L63" t="s">
        <v>142</v>
      </c>
      <c r="M63" t="s">
        <v>143</v>
      </c>
      <c r="N63" t="s">
        <v>40</v>
      </c>
      <c r="O63" t="s">
        <v>153</v>
      </c>
      <c r="P63" t="s">
        <v>295</v>
      </c>
      <c r="Q63" t="s">
        <v>58</v>
      </c>
      <c r="R63">
        <v>1</v>
      </c>
      <c r="S63" s="15">
        <v>949.59</v>
      </c>
      <c r="T63" s="4">
        <v>0</v>
      </c>
      <c r="U63" s="3" t="str">
        <f>IF(T63&lt;0, "negative_discount", IF(AND(T63&gt;0.5, T63&lt;=1), "high_discount", ""))</f>
        <v/>
      </c>
      <c r="V63" s="11">
        <v>949.59</v>
      </c>
      <c r="W63" s="12">
        <v>949.59</v>
      </c>
      <c r="X63" s="11">
        <v>751.25</v>
      </c>
      <c r="Y63" s="11">
        <v>198.34</v>
      </c>
      <c r="Z63" s="11">
        <f>ROUND(W63-X63,2)</f>
        <v>198.34</v>
      </c>
      <c r="AA63" s="4">
        <f>IF(W63=0,0,Z63/W63)</f>
        <v>0.20886909087079686</v>
      </c>
      <c r="AB63" t="s">
        <v>31</v>
      </c>
      <c r="AC63" t="s">
        <v>32</v>
      </c>
      <c r="AD63" t="str">
        <f>IF(AND(E63="", T63&gt;=0, T63&lt;=0.5, K63&lt;&gt;"Unknown", Q63&lt;&gt;"Unknown"), "CLEAN", _xlfn.CONCAT("WARNING: ", IF(E63&lt;&gt;"","invalid_date",""), IF(T63&lt;0,"negative_discount",""), IF(AND(T63&gt;0.5,T63&lt;=1),"high_discount",""), IF(K63="Unknown","missing_region",""), IF(Q63="Unknown","missing_ship_mode","")))</f>
        <v>CLEAN</v>
      </c>
      <c r="AE63" t="str">
        <f>IF(COUNTIF($AF$2:$AF$926,AF63)&gt;1,"DUPLICATE","UNIQUE")</f>
        <v>UNIQUE</v>
      </c>
      <c r="AF63" t="str">
        <f>A63&amp;"|"&amp;B63&amp;"|"&amp;H63&amp;"|"&amp;I63&amp;"|"&amp;R63&amp;"|"&amp;S63&amp;"|"&amp;V63</f>
        <v>ORD-2024-10062|2024-04-16|CUST-7008|Vikram Iyer|1|949.59|949.59</v>
      </c>
      <c r="AG63" t="str">
        <f>IF(COUNTIF($A$2:$A$913,A63)&gt;1,"TRUE","FALSE")</f>
        <v>FALSE</v>
      </c>
    </row>
    <row r="64" spans="1:33">
      <c r="A64" t="s">
        <v>296</v>
      </c>
      <c r="B64" t="s">
        <v>1874</v>
      </c>
      <c r="C64" t="s">
        <v>328</v>
      </c>
      <c r="D64">
        <f>IF(OR(B64="", C64=""), "", (C64 - B64))</f>
        <v>-262</v>
      </c>
      <c r="E64" t="str">
        <f>IF(C64&lt;B64, "INVALID: Ship date before order date", "")</f>
        <v>INVALID: Ship date before order date</v>
      </c>
      <c r="F64" t="str">
        <f>IF(B64="", "", TEXT(B64, "mmmm"))</f>
        <v>October</v>
      </c>
      <c r="G64">
        <f>IF(B64="", "", YEAR(B64))</f>
        <v>2024</v>
      </c>
      <c r="H64" t="s">
        <v>297</v>
      </c>
      <c r="I64" t="s">
        <v>131</v>
      </c>
      <c r="J64" t="s">
        <v>93</v>
      </c>
      <c r="K64" t="s">
        <v>24</v>
      </c>
      <c r="L64" t="s">
        <v>25</v>
      </c>
      <c r="M64" t="s">
        <v>26</v>
      </c>
      <c r="N64" t="s">
        <v>74</v>
      </c>
      <c r="O64" t="s">
        <v>168</v>
      </c>
      <c r="P64" t="s">
        <v>298</v>
      </c>
      <c r="Q64" t="s">
        <v>58</v>
      </c>
      <c r="R64">
        <v>9</v>
      </c>
      <c r="S64" s="15">
        <v>3042.29</v>
      </c>
      <c r="T64" s="4">
        <v>0.2</v>
      </c>
      <c r="U64" s="3" t="str">
        <f>IF(T64&lt;0, "negative_discount", IF(AND(T64&gt;0.5, T64&lt;=1), "high_discount", ""))</f>
        <v/>
      </c>
      <c r="V64" s="11">
        <v>21904.49</v>
      </c>
      <c r="W64" s="12">
        <v>21904.49</v>
      </c>
      <c r="X64" s="11">
        <v>13570.55</v>
      </c>
      <c r="Y64" s="11">
        <v>8333.94</v>
      </c>
      <c r="Z64" s="11">
        <f>ROUND(W64-X64,2)</f>
        <v>8333.94</v>
      </c>
      <c r="AA64" s="4">
        <f>IF(W64=0,0,Z64/W64)</f>
        <v>0.38046720101677783</v>
      </c>
      <c r="AB64" t="s">
        <v>31</v>
      </c>
      <c r="AC64" t="s">
        <v>32</v>
      </c>
      <c r="AD64" t="str">
        <f>IF(AND(E64="", T64&gt;=0, T64&lt;=0.5, K64&lt;&gt;"Unknown", Q64&lt;&gt;"Unknown"), "CLEAN", _xlfn.CONCAT("WARNING: ", IF(E64&lt;&gt;"","invalid_date",""), IF(T64&lt;0,"negative_discount",""), IF(AND(T64&gt;0.5,T64&lt;=1),"high_discount",""), IF(K64="Unknown","missing_region",""), IF(Q64="Unknown","missing_ship_mode","")))</f>
        <v>WARNING: invalid_date</v>
      </c>
      <c r="AE64" t="str">
        <f>IF(COUNTIF($AF$2:$AF$926,AF64)&gt;1,"DUPLICATE","UNIQUE")</f>
        <v>UNIQUE</v>
      </c>
      <c r="AF64" t="str">
        <f>A64&amp;"|"&amp;B64&amp;"|"&amp;H64&amp;"|"&amp;I64&amp;"|"&amp;R64&amp;"|"&amp;S64&amp;"|"&amp;V64</f>
        <v>ORD-2024-10063|2024-10-30|CUST-4900|Sneha Kapoor|9|3042.29|21904.49</v>
      </c>
      <c r="AG64" t="str">
        <f>IF(COUNTIF($A$2:$A$913,A64)&gt;1,"TRUE","FALSE")</f>
        <v>FALSE</v>
      </c>
    </row>
    <row r="65" spans="1:33">
      <c r="A65" t="s">
        <v>299</v>
      </c>
      <c r="B65" t="s">
        <v>300</v>
      </c>
      <c r="C65" t="s">
        <v>2837</v>
      </c>
      <c r="D65">
        <f>IF(OR(B65="", C65=""), "", (C65 - B65))</f>
        <v>-23</v>
      </c>
      <c r="E65" t="str">
        <f>IF(C65&lt;B65, "INVALID: Ship date before order date", "")</f>
        <v>INVALID: Ship date before order date</v>
      </c>
      <c r="F65" t="str">
        <f>IF(B65="", "", TEXT(B65, "mmmm"))</f>
        <v>January</v>
      </c>
      <c r="G65">
        <f>IF(B65="", "", YEAR(B65))</f>
        <v>2024</v>
      </c>
      <c r="H65" t="s">
        <v>301</v>
      </c>
      <c r="I65" t="s">
        <v>131</v>
      </c>
      <c r="J65" t="s">
        <v>93</v>
      </c>
      <c r="K65" t="s">
        <v>24</v>
      </c>
      <c r="L65" t="s">
        <v>234</v>
      </c>
      <c r="M65" t="s">
        <v>235</v>
      </c>
      <c r="N65" t="s">
        <v>27</v>
      </c>
      <c r="O65" t="s">
        <v>149</v>
      </c>
      <c r="P65" t="s">
        <v>302</v>
      </c>
      <c r="Q65" t="s">
        <v>43</v>
      </c>
      <c r="R65">
        <v>2</v>
      </c>
      <c r="S65" s="15">
        <v>2832.77</v>
      </c>
      <c r="T65" s="4">
        <v>0.15</v>
      </c>
      <c r="U65" s="3" t="str">
        <f>IF(T65&lt;0, "negative_discount", IF(AND(T65&gt;0.5, T65&lt;=1), "high_discount", ""))</f>
        <v/>
      </c>
      <c r="V65" s="11">
        <v>4815.71</v>
      </c>
      <c r="W65" s="12">
        <v>4815.71</v>
      </c>
      <c r="X65" s="11">
        <v>3027.75</v>
      </c>
      <c r="Y65" s="11">
        <v>1917.47</v>
      </c>
      <c r="Z65" s="11">
        <f>ROUND(W65-X65,2)</f>
        <v>1787.96</v>
      </c>
      <c r="AA65" s="4">
        <f>IF(W65=0,0,Z65/W65)</f>
        <v>0.37127650959048614</v>
      </c>
      <c r="AB65" t="s">
        <v>31</v>
      </c>
      <c r="AC65" t="s">
        <v>32</v>
      </c>
      <c r="AD65" t="str">
        <f>IF(AND(E65="", T65&gt;=0, T65&lt;=0.5, K65&lt;&gt;"Unknown", Q65&lt;&gt;"Unknown"), "CLEAN", _xlfn.CONCAT("WARNING: ", IF(E65&lt;&gt;"","invalid_date",""), IF(T65&lt;0,"negative_discount",""), IF(AND(T65&gt;0.5,T65&lt;=1),"high_discount",""), IF(K65="Unknown","missing_region",""), IF(Q65="Unknown","missing_ship_mode","")))</f>
        <v>WARNING: invalid_date</v>
      </c>
      <c r="AE65" t="str">
        <f>IF(COUNTIF($AF$2:$AF$926,AF65)&gt;1,"DUPLICATE","UNIQUE")</f>
        <v>UNIQUE</v>
      </c>
      <c r="AF65" t="str">
        <f>A65&amp;"|"&amp;B65&amp;"|"&amp;H65&amp;"|"&amp;I65&amp;"|"&amp;R65&amp;"|"&amp;S65&amp;"|"&amp;V65</f>
        <v>ORD-2024-10064|2024-01-25|CUST-5382|Sneha Kapoor|2|2832.77|4815.71</v>
      </c>
      <c r="AG65" t="str">
        <f>IF(COUNTIF($A$2:$A$913,A65)&gt;1,"TRUE","FALSE")</f>
        <v>FALSE</v>
      </c>
    </row>
    <row r="66" spans="1:33">
      <c r="A66" t="s">
        <v>303</v>
      </c>
      <c r="B66" t="s">
        <v>304</v>
      </c>
      <c r="C66" t="s">
        <v>2784</v>
      </c>
      <c r="D66">
        <f>IF(OR(B66="", C66=""), "", (C66 - B66))</f>
        <v>6</v>
      </c>
      <c r="E66" t="str">
        <f>IF(C66&lt;B66, "INVALID: Ship date before order date", "")</f>
        <v/>
      </c>
      <c r="F66" t="str">
        <f>IF(B66="", "", TEXT(B66, "mmmm"))</f>
        <v>December</v>
      </c>
      <c r="G66">
        <f>IF(B66="", "", YEAR(B66))</f>
        <v>2024</v>
      </c>
      <c r="H66" t="s">
        <v>305</v>
      </c>
      <c r="I66" t="s">
        <v>126</v>
      </c>
      <c r="J66" t="s">
        <v>89</v>
      </c>
      <c r="K66" t="s">
        <v>37</v>
      </c>
      <c r="L66" t="s">
        <v>226</v>
      </c>
      <c r="M66" t="s">
        <v>227</v>
      </c>
      <c r="N66" t="s">
        <v>27</v>
      </c>
      <c r="O66" t="s">
        <v>28</v>
      </c>
      <c r="P66" t="s">
        <v>306</v>
      </c>
      <c r="Q66" t="s">
        <v>49</v>
      </c>
      <c r="R66">
        <v>7</v>
      </c>
      <c r="S66" s="15">
        <v>447.84</v>
      </c>
      <c r="T66" s="4">
        <v>0</v>
      </c>
      <c r="U66" s="3" t="str">
        <f>IF(T66&lt;0, "negative_discount", IF(AND(T66&gt;0.5, T66&lt;=1), "high_discount", ""))</f>
        <v/>
      </c>
      <c r="V66" s="11">
        <v>3134.88</v>
      </c>
      <c r="W66" s="12">
        <v>3134.88</v>
      </c>
      <c r="X66" s="11">
        <v>2367.63</v>
      </c>
      <c r="Y66" s="11">
        <v>767.25</v>
      </c>
      <c r="Z66" s="11">
        <f>ROUND(W66-X66,2)</f>
        <v>767.25</v>
      </c>
      <c r="AA66" s="4">
        <f>IF(W66=0,0,Z66/W66)</f>
        <v>0.2447462103812586</v>
      </c>
      <c r="AB66" t="s">
        <v>99</v>
      </c>
      <c r="AC66" t="s">
        <v>100</v>
      </c>
      <c r="AD66" t="str">
        <f>IF(AND(E66="", T66&gt;=0, T66&lt;=0.5, K66&lt;&gt;"Unknown", Q66&lt;&gt;"Unknown"), "CLEAN", _xlfn.CONCAT("WARNING: ", IF(E66&lt;&gt;"","invalid_date",""), IF(T66&lt;0,"negative_discount",""), IF(AND(T66&gt;0.5,T66&lt;=1),"high_discount",""), IF(K66="Unknown","missing_region",""), IF(Q66="Unknown","missing_ship_mode","")))</f>
        <v>CLEAN</v>
      </c>
      <c r="AE66" t="str">
        <f>IF(COUNTIF($AF$2:$AF$926,AF66)&gt;1,"DUPLICATE","UNIQUE")</f>
        <v>UNIQUE</v>
      </c>
      <c r="AF66" t="str">
        <f>A66&amp;"|"&amp;B66&amp;"|"&amp;H66&amp;"|"&amp;I66&amp;"|"&amp;R66&amp;"|"&amp;S66&amp;"|"&amp;V66</f>
        <v>ORD-2024-10065|2024-12-23|CUST-2749|Aarav Sharma|7|447.84|3134.88</v>
      </c>
      <c r="AG66" t="str">
        <f>IF(COUNTIF($A$2:$A$913,A66)&gt;1,"TRUE","FALSE")</f>
        <v>FALSE</v>
      </c>
    </row>
    <row r="67" spans="1:33">
      <c r="A67" t="s">
        <v>307</v>
      </c>
      <c r="B67" t="s">
        <v>2533</v>
      </c>
      <c r="C67" t="s">
        <v>308</v>
      </c>
      <c r="D67">
        <f>IF(OR(B67="", C67=""), "", (C67 - B67))</f>
        <v>5</v>
      </c>
      <c r="E67" t="str">
        <f>IF(C67&lt;B67, "INVALID: Ship date before order date", "")</f>
        <v/>
      </c>
      <c r="F67" t="str">
        <f>IF(B67="", "", TEXT(B67, "mmmm"))</f>
        <v>April</v>
      </c>
      <c r="G67">
        <f>IF(B67="", "", YEAR(B67))</f>
        <v>2024</v>
      </c>
      <c r="H67" t="s">
        <v>309</v>
      </c>
      <c r="I67" t="s">
        <v>35</v>
      </c>
      <c r="J67" t="s">
        <v>93</v>
      </c>
      <c r="K67" t="s">
        <v>62</v>
      </c>
      <c r="L67" t="s">
        <v>63</v>
      </c>
      <c r="M67" t="s">
        <v>64</v>
      </c>
      <c r="N67" t="s">
        <v>27</v>
      </c>
      <c r="O67" t="s">
        <v>28</v>
      </c>
      <c r="P67" t="s">
        <v>310</v>
      </c>
      <c r="Q67" t="s">
        <v>30</v>
      </c>
      <c r="R67">
        <v>1</v>
      </c>
      <c r="S67" s="15">
        <v>4280.1899999999996</v>
      </c>
      <c r="T67" s="4">
        <v>0.05</v>
      </c>
      <c r="U67" s="3" t="str">
        <f>IF(T67&lt;0, "negative_discount", IF(AND(T67&gt;0.5, T67&lt;=1), "high_discount", ""))</f>
        <v/>
      </c>
      <c r="V67" s="11">
        <v>4066.18</v>
      </c>
      <c r="W67" s="12">
        <v>4066.18</v>
      </c>
      <c r="X67" s="11">
        <v>2628.92</v>
      </c>
      <c r="Y67" s="11">
        <v>1437.26</v>
      </c>
      <c r="Z67" s="11">
        <f>ROUND(W67-X67,2)</f>
        <v>1437.26</v>
      </c>
      <c r="AA67" s="4">
        <f>IF(W67=0,0,Z67/W67)</f>
        <v>0.35346689029998674</v>
      </c>
      <c r="AB67" t="s">
        <v>31</v>
      </c>
      <c r="AC67" t="s">
        <v>32</v>
      </c>
      <c r="AD67" t="str">
        <f>IF(AND(E67="", T67&gt;=0, T67&lt;=0.5, K67&lt;&gt;"Unknown", Q67&lt;&gt;"Unknown"), "CLEAN", _xlfn.CONCAT("WARNING: ", IF(E67&lt;&gt;"","invalid_date",""), IF(T67&lt;0,"negative_discount",""), IF(AND(T67&gt;0.5,T67&lt;=1),"high_discount",""), IF(K67="Unknown","missing_region",""), IF(Q67="Unknown","missing_ship_mode","")))</f>
        <v>CLEAN</v>
      </c>
      <c r="AE67" t="str">
        <f>IF(COUNTIF($AF$2:$AF$926,AF67)&gt;1,"DUPLICATE","UNIQUE")</f>
        <v>UNIQUE</v>
      </c>
      <c r="AF67" t="str">
        <f>A67&amp;"|"&amp;B67&amp;"|"&amp;H67&amp;"|"&amp;I67&amp;"|"&amp;R67&amp;"|"&amp;S67&amp;"|"&amp;V67</f>
        <v>ORD-2024-10066|2024-04-22|CUST-2463|Mira Das|1|4280.19|4066.18</v>
      </c>
      <c r="AG67" t="str">
        <f>IF(COUNTIF($A$2:$A$913,A67)&gt;1,"TRUE","FALSE")</f>
        <v>FALSE</v>
      </c>
    </row>
    <row r="68" spans="1:33">
      <c r="A68" t="s">
        <v>2996</v>
      </c>
      <c r="B68" t="s">
        <v>1308</v>
      </c>
      <c r="C68" t="s">
        <v>59</v>
      </c>
      <c r="D68">
        <f>IF(OR(B68="", C68=""), "", (C68 - B68))</f>
        <v>4</v>
      </c>
      <c r="E68" t="str">
        <f>IF(C68&lt;B68, "INVALID: Ship date before order date", "")</f>
        <v/>
      </c>
      <c r="F68" t="str">
        <f>IF(B68="", "", TEXT(B68, "mmmm"))</f>
        <v>August</v>
      </c>
      <c r="G68">
        <f>IF(B68="", "", YEAR(B68))</f>
        <v>2025</v>
      </c>
      <c r="H68" t="s">
        <v>311</v>
      </c>
      <c r="I68" t="s">
        <v>22</v>
      </c>
      <c r="J68" t="s">
        <v>36</v>
      </c>
      <c r="K68" t="s">
        <v>53</v>
      </c>
      <c r="L68" t="s">
        <v>246</v>
      </c>
      <c r="M68" t="s">
        <v>247</v>
      </c>
      <c r="N68" t="s">
        <v>74</v>
      </c>
      <c r="O68" t="s">
        <v>75</v>
      </c>
      <c r="P68" t="s">
        <v>312</v>
      </c>
      <c r="Q68" t="s">
        <v>43</v>
      </c>
      <c r="R68">
        <v>7</v>
      </c>
      <c r="S68" s="15">
        <v>1057.46</v>
      </c>
      <c r="T68" s="4">
        <v>0.05</v>
      </c>
      <c r="U68" s="3" t="str">
        <f>IF(T68&lt;0, "negative_discount", IF(AND(T68&gt;0.5, T68&lt;=1), "high_discount", ""))</f>
        <v/>
      </c>
      <c r="V68" s="11">
        <v>7032.11</v>
      </c>
      <c r="W68" s="12">
        <v>7032.11</v>
      </c>
      <c r="X68" s="11">
        <v>4610.34</v>
      </c>
      <c r="Y68" s="11">
        <v>2421.77</v>
      </c>
      <c r="Z68" s="11">
        <f>ROUND(W68-X68,2)</f>
        <v>2421.77</v>
      </c>
      <c r="AA68" s="4">
        <f>IF(W68=0,0,Z68/W68)</f>
        <v>0.34438738870694574</v>
      </c>
      <c r="AB68" t="s">
        <v>31</v>
      </c>
      <c r="AC68" t="s">
        <v>32</v>
      </c>
      <c r="AD68" t="str">
        <f>IF(AND(E68="", T68&gt;=0, T68&lt;=0.5, K68&lt;&gt;"Unknown", Q68&lt;&gt;"Unknown"), "CLEAN", _xlfn.CONCAT("WARNING: ", IF(E68&lt;&gt;"","invalid_date",""), IF(T68&lt;0,"negative_discount",""), IF(AND(T68&gt;0.5,T68&lt;=1),"high_discount",""), IF(K68="Unknown","missing_region",""), IF(Q68="Unknown","missing_ship_mode","")))</f>
        <v>CLEAN</v>
      </c>
      <c r="AE68" t="str">
        <f>IF(COUNTIF($AF$2:$AF$926,AF68)&gt;1,"DUPLICATE","UNIQUE")</f>
        <v>UNIQUE</v>
      </c>
      <c r="AF68" t="str">
        <f>A68&amp;"|"&amp;B68&amp;"|"&amp;H68&amp;"|"&amp;I68&amp;"|"&amp;R68&amp;"|"&amp;S68&amp;"|"&amp;V68</f>
        <v>ORD-2025-10067|2025-08-28|CUST-1504|Karan Malhotra|7|1057.46|7032.11</v>
      </c>
      <c r="AG68" t="str">
        <f>IF(COUNTIF($A$2:$A$913,A68)&gt;1,"TRUE","FALSE")</f>
        <v>FALSE</v>
      </c>
    </row>
    <row r="69" spans="1:33">
      <c r="A69" t="s">
        <v>2997</v>
      </c>
      <c r="B69" t="s">
        <v>2696</v>
      </c>
      <c r="C69" t="s">
        <v>2810</v>
      </c>
      <c r="D69">
        <f>IF(OR(B69="", C69=""), "", (C69 - B69))</f>
        <v>149</v>
      </c>
      <c r="E69" t="str">
        <f>IF(C69&lt;B69, "INVALID: Ship date before order date", "")</f>
        <v/>
      </c>
      <c r="F69" t="str">
        <f>IF(B69="", "", TEXT(B69, "mmmm"))</f>
        <v>February</v>
      </c>
      <c r="G69">
        <f>IF(B69="", "", YEAR(B69))</f>
        <v>2025</v>
      </c>
      <c r="H69" t="s">
        <v>313</v>
      </c>
      <c r="I69" t="s">
        <v>263</v>
      </c>
      <c r="J69" t="s">
        <v>23</v>
      </c>
      <c r="K69" t="s">
        <v>24</v>
      </c>
      <c r="L69" t="s">
        <v>234</v>
      </c>
      <c r="M69" t="s">
        <v>235</v>
      </c>
      <c r="N69" t="s">
        <v>27</v>
      </c>
      <c r="O69" t="s">
        <v>28</v>
      </c>
      <c r="P69" t="s">
        <v>314</v>
      </c>
      <c r="Q69" t="s">
        <v>49</v>
      </c>
      <c r="R69">
        <v>7</v>
      </c>
      <c r="S69" s="15">
        <v>3609.34</v>
      </c>
      <c r="T69" s="4">
        <v>0.05</v>
      </c>
      <c r="U69" s="3" t="str">
        <f>IF(T69&lt;0, "negative_discount", IF(AND(T69&gt;0.5, T69&lt;=1), "high_discount", ""))</f>
        <v/>
      </c>
      <c r="V69" s="11">
        <v>24002.11</v>
      </c>
      <c r="W69" s="12">
        <v>24002.11</v>
      </c>
      <c r="X69" s="11">
        <v>18707.57</v>
      </c>
      <c r="Y69" s="11">
        <v>5294.54</v>
      </c>
      <c r="Z69" s="11">
        <f>ROUND(W69-X69,2)</f>
        <v>5294.54</v>
      </c>
      <c r="AA69" s="4">
        <f>IF(W69=0,0,Z69/W69)</f>
        <v>0.2205864401088071</v>
      </c>
      <c r="AB69" t="s">
        <v>31</v>
      </c>
      <c r="AC69" t="s">
        <v>32</v>
      </c>
      <c r="AD69" t="str">
        <f>IF(AND(E69="", T69&gt;=0, T69&lt;=0.5, K69&lt;&gt;"Unknown", Q69&lt;&gt;"Unknown"), "CLEAN", _xlfn.CONCAT("WARNING: ", IF(E69&lt;&gt;"","invalid_date",""), IF(T69&lt;0,"negative_discount",""), IF(AND(T69&gt;0.5,T69&lt;=1),"high_discount",""), IF(K69="Unknown","missing_region",""), IF(Q69="Unknown","missing_ship_mode","")))</f>
        <v>CLEAN</v>
      </c>
      <c r="AE69" t="str">
        <f>IF(COUNTIF($AF$2:$AF$926,AF69)&gt;1,"DUPLICATE","UNIQUE")</f>
        <v>UNIQUE</v>
      </c>
      <c r="AF69" t="str">
        <f>A69&amp;"|"&amp;B69&amp;"|"&amp;H69&amp;"|"&amp;I69&amp;"|"&amp;R69&amp;"|"&amp;S69&amp;"|"&amp;V69</f>
        <v>ORD-2025-10068|2025-02-03|CUST-8282|Kabir Singh|7|3609.34|24002.11</v>
      </c>
      <c r="AG69" t="str">
        <f>IF(COUNTIF($A$2:$A$913,A69)&gt;1,"TRUE","FALSE")</f>
        <v>FALSE</v>
      </c>
    </row>
    <row r="70" spans="1:33">
      <c r="A70" t="s">
        <v>315</v>
      </c>
      <c r="B70" t="s">
        <v>2681</v>
      </c>
      <c r="C70" t="s">
        <v>664</v>
      </c>
      <c r="D70">
        <f>IF(OR(B70="", C70=""), "", (C70 - B70))</f>
        <v>3</v>
      </c>
      <c r="E70" t="str">
        <f>IF(C70&lt;B70, "INVALID: Ship date before order date", "")</f>
        <v/>
      </c>
      <c r="F70" t="str">
        <f>IF(B70="", "", TEXT(B70, "mmmm"))</f>
        <v>November</v>
      </c>
      <c r="G70">
        <f>IF(B70="", "", YEAR(B70))</f>
        <v>2024</v>
      </c>
      <c r="H70" t="s">
        <v>316</v>
      </c>
      <c r="I70" t="s">
        <v>46</v>
      </c>
      <c r="J70" t="s">
        <v>89</v>
      </c>
      <c r="K70" t="s">
        <v>37</v>
      </c>
      <c r="L70" t="s">
        <v>226</v>
      </c>
      <c r="M70" t="s">
        <v>227</v>
      </c>
      <c r="N70" t="s">
        <v>27</v>
      </c>
      <c r="O70" t="s">
        <v>122</v>
      </c>
      <c r="P70" t="s">
        <v>317</v>
      </c>
      <c r="Q70" t="s">
        <v>30</v>
      </c>
      <c r="R70">
        <v>9</v>
      </c>
      <c r="S70" s="15">
        <v>2211.12</v>
      </c>
      <c r="T70" s="4">
        <v>0</v>
      </c>
      <c r="U70" s="3" t="str">
        <f>IF(T70&lt;0, "negative_discount", IF(AND(T70&gt;0.5, T70&lt;=1), "high_discount", ""))</f>
        <v/>
      </c>
      <c r="V70" s="11">
        <v>19900.080000000002</v>
      </c>
      <c r="W70" s="12">
        <v>19900.080000000002</v>
      </c>
      <c r="X70" s="11">
        <v>10962.66</v>
      </c>
      <c r="Y70" s="11">
        <v>8937.42</v>
      </c>
      <c r="Z70" s="11">
        <f>ROUND(W70-X70,2)</f>
        <v>8937.42</v>
      </c>
      <c r="AA70" s="4">
        <f>IF(W70=0,0,Z70/W70)</f>
        <v>0.44911477742803041</v>
      </c>
      <c r="AB70" t="s">
        <v>151</v>
      </c>
      <c r="AC70" t="s">
        <v>100</v>
      </c>
      <c r="AD70" t="str">
        <f>IF(AND(E70="", T70&gt;=0, T70&lt;=0.5, K70&lt;&gt;"Unknown", Q70&lt;&gt;"Unknown"), "CLEAN", _xlfn.CONCAT("WARNING: ", IF(E70&lt;&gt;"","invalid_date",""), IF(T70&lt;0,"negative_discount",""), IF(AND(T70&gt;0.5,T70&lt;=1),"high_discount",""), IF(K70="Unknown","missing_region",""), IF(Q70="Unknown","missing_ship_mode","")))</f>
        <v>CLEAN</v>
      </c>
      <c r="AE70" t="str">
        <f>IF(COUNTIF($AF$2:$AF$926,AF70)&gt;1,"DUPLICATE","UNIQUE")</f>
        <v>UNIQUE</v>
      </c>
      <c r="AF70" t="str">
        <f>A70&amp;"|"&amp;B70&amp;"|"&amp;H70&amp;"|"&amp;I70&amp;"|"&amp;R70&amp;"|"&amp;S70&amp;"|"&amp;V70</f>
        <v>ORD-2024-10069|2024-11-10|CUST-6054|Isha Nair|9|2211.12|19900.08</v>
      </c>
      <c r="AG70" t="str">
        <f>IF(COUNTIF($A$2:$A$913,A70)&gt;1,"TRUE","FALSE")</f>
        <v>FALSE</v>
      </c>
    </row>
    <row r="71" spans="1:33">
      <c r="A71" t="s">
        <v>318</v>
      </c>
      <c r="B71" t="s">
        <v>1574</v>
      </c>
      <c r="C71" t="s">
        <v>2532</v>
      </c>
      <c r="D71">
        <f>IF(OR(B71="", C71=""), "", (C71 - B71))</f>
        <v>5</v>
      </c>
      <c r="E71" t="str">
        <f>IF(C71&lt;B71, "INVALID: Ship date before order date", "")</f>
        <v/>
      </c>
      <c r="F71" t="str">
        <f>IF(B71="", "", TEXT(B71, "mmmm"))</f>
        <v>April</v>
      </c>
      <c r="G71">
        <f>IF(B71="", "", YEAR(B71))</f>
        <v>2024</v>
      </c>
      <c r="H71" t="s">
        <v>319</v>
      </c>
      <c r="I71" t="s">
        <v>78</v>
      </c>
      <c r="J71" t="s">
        <v>36</v>
      </c>
      <c r="K71" t="s">
        <v>62</v>
      </c>
      <c r="L71" t="s">
        <v>176</v>
      </c>
      <c r="M71" t="s">
        <v>177</v>
      </c>
      <c r="N71" t="s">
        <v>74</v>
      </c>
      <c r="O71" t="s">
        <v>272</v>
      </c>
      <c r="P71" t="s">
        <v>320</v>
      </c>
      <c r="Q71" t="s">
        <v>43</v>
      </c>
      <c r="R71">
        <v>7</v>
      </c>
      <c r="S71" s="15">
        <v>3417.09</v>
      </c>
      <c r="T71" s="4">
        <v>0.1</v>
      </c>
      <c r="U71" s="3" t="str">
        <f>IF(T71&lt;0, "negative_discount", IF(AND(T71&gt;0.5, T71&lt;=1), "high_discount", ""))</f>
        <v/>
      </c>
      <c r="V71" s="11">
        <v>21527.67</v>
      </c>
      <c r="W71" s="12">
        <v>21527.67</v>
      </c>
      <c r="X71" s="11">
        <v>18287.580000000002</v>
      </c>
      <c r="Y71" s="11">
        <v>3240.09</v>
      </c>
      <c r="Z71" s="11">
        <f>ROUND(W71-X71,2)</f>
        <v>3240.09</v>
      </c>
      <c r="AA71" s="4">
        <f>IF(W71=0,0,Z71/W71)</f>
        <v>0.15050815996343311</v>
      </c>
      <c r="AB71" t="s">
        <v>99</v>
      </c>
      <c r="AC71" t="s">
        <v>100</v>
      </c>
      <c r="AD71" t="str">
        <f>IF(AND(E71="", T71&gt;=0, T71&lt;=0.5, K71&lt;&gt;"Unknown", Q71&lt;&gt;"Unknown"), "CLEAN", _xlfn.CONCAT("WARNING: ", IF(E71&lt;&gt;"","invalid_date",""), IF(T71&lt;0,"negative_discount",""), IF(AND(T71&gt;0.5,T71&lt;=1),"high_discount",""), IF(K71="Unknown","missing_region",""), IF(Q71="Unknown","missing_ship_mode","")))</f>
        <v>CLEAN</v>
      </c>
      <c r="AE71" t="str">
        <f>IF(COUNTIF($AF$2:$AF$926,AF71)&gt;1,"DUPLICATE","UNIQUE")</f>
        <v>UNIQUE</v>
      </c>
      <c r="AF71" t="str">
        <f>A71&amp;"|"&amp;B71&amp;"|"&amp;H71&amp;"|"&amp;I71&amp;"|"&amp;R71&amp;"|"&amp;S71&amp;"|"&amp;V71</f>
        <v>ORD-2024-10070|2024-04-09|CUST-5979|Neha Gupta|7|3417.09|21527.67</v>
      </c>
      <c r="AG71" t="str">
        <f>IF(COUNTIF($A$2:$A$913,A71)&gt;1,"TRUE","FALSE")</f>
        <v>FALSE</v>
      </c>
    </row>
    <row r="72" spans="1:33">
      <c r="A72" t="s">
        <v>2998</v>
      </c>
      <c r="B72" t="s">
        <v>321</v>
      </c>
      <c r="C72" t="s">
        <v>2617</v>
      </c>
      <c r="D72">
        <f>IF(OR(B72="", C72=""), "", (C72 - B72))</f>
        <v>5</v>
      </c>
      <c r="E72" t="str">
        <f>IF(C72&lt;B72, "INVALID: Ship date before order date", "")</f>
        <v/>
      </c>
      <c r="F72" t="str">
        <f>IF(B72="", "", TEXT(B72, "mmmm"))</f>
        <v>August</v>
      </c>
      <c r="G72">
        <f>IF(B72="", "", YEAR(B72))</f>
        <v>2025</v>
      </c>
      <c r="H72" t="s">
        <v>322</v>
      </c>
      <c r="I72" t="s">
        <v>22</v>
      </c>
      <c r="J72" t="s">
        <v>89</v>
      </c>
      <c r="K72" t="s">
        <v>53</v>
      </c>
      <c r="L72" t="s">
        <v>83</v>
      </c>
      <c r="M72" t="s">
        <v>84</v>
      </c>
      <c r="N72" t="s">
        <v>74</v>
      </c>
      <c r="O72" t="s">
        <v>168</v>
      </c>
      <c r="P72" t="s">
        <v>323</v>
      </c>
      <c r="Q72" t="s">
        <v>49</v>
      </c>
      <c r="R72">
        <v>2</v>
      </c>
      <c r="S72" s="15">
        <v>905.87</v>
      </c>
      <c r="T72" s="4">
        <v>0.15</v>
      </c>
      <c r="U72" s="3" t="str">
        <f>IF(T72&lt;0, "negative_discount", IF(AND(T72&gt;0.5, T72&lt;=1), "high_discount", ""))</f>
        <v/>
      </c>
      <c r="V72" s="11">
        <v>1539.98</v>
      </c>
      <c r="W72" s="12">
        <v>1539.98</v>
      </c>
      <c r="X72" s="11">
        <v>1070.2</v>
      </c>
      <c r="Y72" s="11">
        <v>469.78</v>
      </c>
      <c r="Z72" s="11">
        <f>ROUND(W72-X72,2)</f>
        <v>469.78</v>
      </c>
      <c r="AA72" s="4">
        <f>IF(W72=0,0,Z72/W72)</f>
        <v>0.30505590981701058</v>
      </c>
      <c r="AB72" t="s">
        <v>31</v>
      </c>
      <c r="AC72" t="s">
        <v>32</v>
      </c>
      <c r="AD72" t="str">
        <f>IF(AND(E72="", T72&gt;=0, T72&lt;=0.5, K72&lt;&gt;"Unknown", Q72&lt;&gt;"Unknown"), "CLEAN", _xlfn.CONCAT("WARNING: ", IF(E72&lt;&gt;"","invalid_date",""), IF(T72&lt;0,"negative_discount",""), IF(AND(T72&gt;0.5,T72&lt;=1),"high_discount",""), IF(K72="Unknown","missing_region",""), IF(Q72="Unknown","missing_ship_mode","")))</f>
        <v>CLEAN</v>
      </c>
      <c r="AE72" t="str">
        <f>IF(COUNTIF($AF$2:$AF$926,AF72)&gt;1,"DUPLICATE","UNIQUE")</f>
        <v>UNIQUE</v>
      </c>
      <c r="AF72" t="str">
        <f>A72&amp;"|"&amp;B72&amp;"|"&amp;H72&amp;"|"&amp;I72&amp;"|"&amp;R72&amp;"|"&amp;S72&amp;"|"&amp;V72</f>
        <v>ORD-2025-10071|2025-08-22|CUST-5582|Karan Malhotra|2|905.87|1539.98</v>
      </c>
      <c r="AG72" t="str">
        <f>IF(COUNTIF($A$2:$A$913,A72)&gt;1,"TRUE","FALSE")</f>
        <v>FALSE</v>
      </c>
    </row>
    <row r="73" spans="1:33">
      <c r="A73" t="s">
        <v>2999</v>
      </c>
      <c r="B73" t="s">
        <v>2697</v>
      </c>
      <c r="C73" t="s">
        <v>324</v>
      </c>
      <c r="D73">
        <f>IF(OR(B73="", C73=""), "", (C73 - B73))</f>
        <v>7</v>
      </c>
      <c r="E73" t="str">
        <f>IF(C73&lt;B73, "INVALID: Ship date before order date", "")</f>
        <v/>
      </c>
      <c r="F73" t="str">
        <f>IF(B73="", "", TEXT(B73, "mmmm"))</f>
        <v>April</v>
      </c>
      <c r="G73">
        <f>IF(B73="", "", YEAR(B73))</f>
        <v>2025</v>
      </c>
      <c r="H73" t="s">
        <v>325</v>
      </c>
      <c r="I73" t="s">
        <v>35</v>
      </c>
      <c r="J73" t="s">
        <v>36</v>
      </c>
      <c r="K73" t="s">
        <v>62</v>
      </c>
      <c r="L73" t="s">
        <v>185</v>
      </c>
      <c r="M73" t="s">
        <v>186</v>
      </c>
      <c r="N73" t="s">
        <v>74</v>
      </c>
      <c r="O73" t="s">
        <v>272</v>
      </c>
      <c r="P73" t="s">
        <v>326</v>
      </c>
      <c r="Q73" t="s">
        <v>58</v>
      </c>
      <c r="R73">
        <v>6</v>
      </c>
      <c r="S73" s="15">
        <v>2027.32</v>
      </c>
      <c r="T73" s="4">
        <v>0.1</v>
      </c>
      <c r="U73" s="3" t="str">
        <f>IF(T73&lt;0, "negative_discount", IF(AND(T73&gt;0.5, T73&lt;=1), "high_discount", ""))</f>
        <v/>
      </c>
      <c r="V73" s="11">
        <v>10947.53</v>
      </c>
      <c r="W73" s="12">
        <v>10947.53</v>
      </c>
      <c r="X73" s="11">
        <v>6447.36</v>
      </c>
      <c r="Y73" s="11">
        <v>4500.17</v>
      </c>
      <c r="Z73" s="11">
        <f>ROUND(W73-X73,2)</f>
        <v>4500.17</v>
      </c>
      <c r="AA73" s="4">
        <f>IF(W73=0,0,Z73/W73)</f>
        <v>0.41106715396075644</v>
      </c>
      <c r="AB73" t="s">
        <v>31</v>
      </c>
      <c r="AC73" t="s">
        <v>32</v>
      </c>
      <c r="AD73" t="str">
        <f>IF(AND(E73="", T73&gt;=0, T73&lt;=0.5, K73&lt;&gt;"Unknown", Q73&lt;&gt;"Unknown"), "CLEAN", _xlfn.CONCAT("WARNING: ", IF(E73&lt;&gt;"","invalid_date",""), IF(T73&lt;0,"negative_discount",""), IF(AND(T73&gt;0.5,T73&lt;=1),"high_discount",""), IF(K73="Unknown","missing_region",""), IF(Q73="Unknown","missing_ship_mode","")))</f>
        <v>CLEAN</v>
      </c>
      <c r="AE73" t="str">
        <f>IF(COUNTIF($AF$2:$AF$926,AF73)&gt;1,"DUPLICATE","UNIQUE")</f>
        <v>UNIQUE</v>
      </c>
      <c r="AF73" t="str">
        <f>A73&amp;"|"&amp;B73&amp;"|"&amp;H73&amp;"|"&amp;I73&amp;"|"&amp;R73&amp;"|"&amp;S73&amp;"|"&amp;V73</f>
        <v>ORD-2025-10072|2025-04-16|CUST-3308|Mira Das|6|2027.32|10947.53</v>
      </c>
      <c r="AG73" t="str">
        <f>IF(COUNTIF($A$2:$A$913,A73)&gt;1,"TRUE","FALSE")</f>
        <v>FALSE</v>
      </c>
    </row>
    <row r="74" spans="1:33">
      <c r="A74" t="s">
        <v>327</v>
      </c>
      <c r="B74" t="s">
        <v>328</v>
      </c>
      <c r="C74" t="s">
        <v>278</v>
      </c>
      <c r="D74">
        <f>IF(OR(B74="", C74=""), "", (C74 - B74))</f>
        <v>-4</v>
      </c>
      <c r="E74" t="str">
        <f>IF(C74&lt;B74, "INVALID: Ship date before order date", "")</f>
        <v>INVALID: Ship date before order date</v>
      </c>
      <c r="F74" t="str">
        <f>IF(B74="", "", TEXT(B74, "mmmm"))</f>
        <v>February</v>
      </c>
      <c r="G74">
        <f>IF(B74="", "", YEAR(B74))</f>
        <v>2024</v>
      </c>
      <c r="H74" t="s">
        <v>329</v>
      </c>
      <c r="I74" t="s">
        <v>22</v>
      </c>
      <c r="J74" t="s">
        <v>93</v>
      </c>
      <c r="K74" t="s">
        <v>53</v>
      </c>
      <c r="L74" t="s">
        <v>246</v>
      </c>
      <c r="M74" t="s">
        <v>247</v>
      </c>
      <c r="N74" t="s">
        <v>40</v>
      </c>
      <c r="O74" t="s">
        <v>41</v>
      </c>
      <c r="P74" t="s">
        <v>330</v>
      </c>
      <c r="Q74" t="s">
        <v>49</v>
      </c>
      <c r="R74">
        <v>7</v>
      </c>
      <c r="S74" s="15">
        <v>2287.4699999999998</v>
      </c>
      <c r="T74" s="4">
        <v>0.15</v>
      </c>
      <c r="U74" s="3" t="str">
        <f>IF(T74&lt;0, "negative_discount", IF(AND(T74&gt;0.5, T74&lt;=1), "high_discount", ""))</f>
        <v/>
      </c>
      <c r="V74" s="11">
        <v>13610.45</v>
      </c>
      <c r="W74" s="12">
        <v>13610.45</v>
      </c>
      <c r="X74" s="11">
        <v>10039.049999999999</v>
      </c>
      <c r="Y74" s="11">
        <v>3571.4</v>
      </c>
      <c r="Z74" s="11">
        <f>ROUND(W74-X74,2)</f>
        <v>3571.4</v>
      </c>
      <c r="AA74" s="4">
        <f>IF(W74=0,0,Z74/W74)</f>
        <v>0.26240131663537941</v>
      </c>
      <c r="AB74" t="s">
        <v>31</v>
      </c>
      <c r="AC74" t="s">
        <v>32</v>
      </c>
      <c r="AD74" t="str">
        <f>IF(AND(E74="", T74&gt;=0, T74&lt;=0.5, K74&lt;&gt;"Unknown", Q74&lt;&gt;"Unknown"), "CLEAN", _xlfn.CONCAT("WARNING: ", IF(E74&lt;&gt;"","invalid_date",""), IF(T74&lt;0,"negative_discount",""), IF(AND(T74&gt;0.5,T74&lt;=1),"high_discount",""), IF(K74="Unknown","missing_region",""), IF(Q74="Unknown","missing_ship_mode","")))</f>
        <v>WARNING: invalid_date</v>
      </c>
      <c r="AE74" t="str">
        <f>IF(COUNTIF($AF$2:$AF$926,AF74)&gt;1,"DUPLICATE","UNIQUE")</f>
        <v>UNIQUE</v>
      </c>
      <c r="AF74" t="str">
        <f>A74&amp;"|"&amp;B74&amp;"|"&amp;H74&amp;"|"&amp;I74&amp;"|"&amp;R74&amp;"|"&amp;S74&amp;"|"&amp;V74</f>
        <v>ORD-2024-10073|2024-02-11|CUST-5018|Karan Malhotra|7|2287.47|13610.45</v>
      </c>
      <c r="AG74" t="str">
        <f>IF(COUNTIF($A$2:$A$913,A74)&gt;1,"TRUE","FALSE")</f>
        <v>FALSE</v>
      </c>
    </row>
    <row r="75" spans="1:33">
      <c r="A75" t="s">
        <v>3000</v>
      </c>
      <c r="B75" t="s">
        <v>2698</v>
      </c>
      <c r="C75" t="s">
        <v>2887</v>
      </c>
      <c r="D75">
        <f>IF(OR(B75="", C75=""), "", (C75 - B75))</f>
        <v>5</v>
      </c>
      <c r="E75" t="str">
        <f>IF(C75&lt;B75, "INVALID: Ship date before order date", "")</f>
        <v/>
      </c>
      <c r="F75" t="str">
        <f>IF(B75="", "", TEXT(B75, "mmmm"))</f>
        <v>March</v>
      </c>
      <c r="G75">
        <f>IF(B75="", "", YEAR(B75))</f>
        <v>2025</v>
      </c>
      <c r="H75" t="s">
        <v>331</v>
      </c>
      <c r="I75" t="s">
        <v>131</v>
      </c>
      <c r="J75" t="s">
        <v>89</v>
      </c>
      <c r="K75" t="s">
        <v>37</v>
      </c>
      <c r="L75" t="s">
        <v>96</v>
      </c>
      <c r="M75" t="s">
        <v>97</v>
      </c>
      <c r="N75" t="s">
        <v>40</v>
      </c>
      <c r="O75" t="s">
        <v>153</v>
      </c>
      <c r="P75" t="s">
        <v>332</v>
      </c>
      <c r="Q75" t="s">
        <v>49</v>
      </c>
      <c r="R75">
        <v>5</v>
      </c>
      <c r="S75" s="15">
        <v>1425.74</v>
      </c>
      <c r="T75" s="4">
        <v>0</v>
      </c>
      <c r="U75" s="3" t="str">
        <f>IF(T75&lt;0, "negative_discount", IF(AND(T75&gt;0.5, T75&lt;=1), "high_discount", ""))</f>
        <v/>
      </c>
      <c r="V75" s="11">
        <v>7128.7</v>
      </c>
      <c r="W75" s="12">
        <v>7128.7</v>
      </c>
      <c r="X75" s="11">
        <v>4382.1499999999996</v>
      </c>
      <c r="Y75" s="11">
        <v>2746.55</v>
      </c>
      <c r="Z75" s="11">
        <f>ROUND(W75-X75,2)</f>
        <v>2746.55</v>
      </c>
      <c r="AA75" s="4">
        <f>IF(W75=0,0,Z75/W75)</f>
        <v>0.38528062620113068</v>
      </c>
      <c r="AB75" t="s">
        <v>31</v>
      </c>
      <c r="AC75" t="s">
        <v>32</v>
      </c>
      <c r="AD75" t="str">
        <f>IF(AND(E75="", T75&gt;=0, T75&lt;=0.5, K75&lt;&gt;"Unknown", Q75&lt;&gt;"Unknown"), "CLEAN", _xlfn.CONCAT("WARNING: ", IF(E75&lt;&gt;"","invalid_date",""), IF(T75&lt;0,"negative_discount",""), IF(AND(T75&gt;0.5,T75&lt;=1),"high_discount",""), IF(K75="Unknown","missing_region",""), IF(Q75="Unknown","missing_ship_mode","")))</f>
        <v>CLEAN</v>
      </c>
      <c r="AE75" t="str">
        <f>IF(COUNTIF($AF$2:$AF$926,AF75)&gt;1,"DUPLICATE","UNIQUE")</f>
        <v>UNIQUE</v>
      </c>
      <c r="AF75" t="str">
        <f>A75&amp;"|"&amp;B75&amp;"|"&amp;H75&amp;"|"&amp;I75&amp;"|"&amp;R75&amp;"|"&amp;S75&amp;"|"&amp;V75</f>
        <v>ORD-2025-10074|2025-03-29|CUST-2342|Sneha Kapoor|5|1425.74|7128.7</v>
      </c>
      <c r="AG75" t="str">
        <f>IF(COUNTIF($A$2:$A$913,A75)&gt;1,"TRUE","FALSE")</f>
        <v>FALSE</v>
      </c>
    </row>
    <row r="76" spans="1:33">
      <c r="A76" t="s">
        <v>3001</v>
      </c>
      <c r="B76" t="s">
        <v>1205</v>
      </c>
      <c r="C76" t="s">
        <v>333</v>
      </c>
      <c r="D76">
        <f>IF(OR(B76="", C76=""), "", (C76 - B76))</f>
        <v>2</v>
      </c>
      <c r="E76" t="str">
        <f>IF(C76&lt;B76, "INVALID: Ship date before order date", "")</f>
        <v/>
      </c>
      <c r="F76" t="str">
        <f>IF(B76="", "", TEXT(B76, "mmmm"))</f>
        <v>February</v>
      </c>
      <c r="G76">
        <f>IF(B76="", "", YEAR(B76))</f>
        <v>2025</v>
      </c>
      <c r="H76" t="s">
        <v>334</v>
      </c>
      <c r="I76" t="s">
        <v>71</v>
      </c>
      <c r="J76" t="s">
        <v>36</v>
      </c>
      <c r="K76" t="s">
        <v>37</v>
      </c>
      <c r="L76" t="s">
        <v>96</v>
      </c>
      <c r="M76" t="s">
        <v>97</v>
      </c>
      <c r="N76" t="s">
        <v>40</v>
      </c>
      <c r="O76" t="s">
        <v>65</v>
      </c>
      <c r="P76" t="s">
        <v>335</v>
      </c>
      <c r="Q76" t="s">
        <v>58</v>
      </c>
      <c r="R76">
        <v>6</v>
      </c>
      <c r="S76" s="15">
        <v>551.64</v>
      </c>
      <c r="T76" s="4">
        <v>0</v>
      </c>
      <c r="U76" s="3" t="str">
        <f>IF(T76&lt;0, "negative_discount", IF(AND(T76&gt;0.5, T76&lt;=1), "high_discount", ""))</f>
        <v/>
      </c>
      <c r="V76" s="11">
        <v>3309.84</v>
      </c>
      <c r="W76" s="12">
        <v>3309.84</v>
      </c>
      <c r="X76" s="11">
        <v>2671.08</v>
      </c>
      <c r="Y76" s="11">
        <v>638.76</v>
      </c>
      <c r="Z76" s="11">
        <f>ROUND(W76-X76,2)</f>
        <v>638.76</v>
      </c>
      <c r="AA76" s="4">
        <f>IF(W76=0,0,Z76/W76)</f>
        <v>0.19298818069755636</v>
      </c>
      <c r="AB76" t="s">
        <v>31</v>
      </c>
      <c r="AC76" t="s">
        <v>32</v>
      </c>
      <c r="AD76" t="str">
        <f>IF(AND(E76="", T76&gt;=0, T76&lt;=0.5, K76&lt;&gt;"Unknown", Q76&lt;&gt;"Unknown"), "CLEAN", _xlfn.CONCAT("WARNING: ", IF(E76&lt;&gt;"","invalid_date",""), IF(T76&lt;0,"negative_discount",""), IF(AND(T76&gt;0.5,T76&lt;=1),"high_discount",""), IF(K76="Unknown","missing_region",""), IF(Q76="Unknown","missing_ship_mode","")))</f>
        <v>CLEAN</v>
      </c>
      <c r="AE76" t="str">
        <f>IF(COUNTIF($AF$2:$AF$926,AF76)&gt;1,"DUPLICATE","UNIQUE")</f>
        <v>UNIQUE</v>
      </c>
      <c r="AF76" t="str">
        <f>A76&amp;"|"&amp;B76&amp;"|"&amp;H76&amp;"|"&amp;I76&amp;"|"&amp;R76&amp;"|"&amp;S76&amp;"|"&amp;V76</f>
        <v>ORD-2025-10075|2025-02-27|CUST-6201|Vikram Iyer|6|551.64|3309.84</v>
      </c>
      <c r="AG76" t="str">
        <f>IF(COUNTIF($A$2:$A$913,A76)&gt;1,"TRUE","FALSE")</f>
        <v>FALSE</v>
      </c>
    </row>
    <row r="77" spans="1:33">
      <c r="A77" t="s">
        <v>3002</v>
      </c>
      <c r="B77" t="s">
        <v>321</v>
      </c>
      <c r="C77" t="s">
        <v>2617</v>
      </c>
      <c r="D77">
        <f>IF(OR(B77="", C77=""), "", (C77 - B77))</f>
        <v>5</v>
      </c>
      <c r="E77" t="str">
        <f>IF(C77&lt;B77, "INVALID: Ship date before order date", "")</f>
        <v/>
      </c>
      <c r="F77" t="str">
        <f>IF(B77="", "", TEXT(B77, "mmmm"))</f>
        <v>August</v>
      </c>
      <c r="G77">
        <f>IF(B77="", "", YEAR(B77))</f>
        <v>2025</v>
      </c>
      <c r="H77" t="s">
        <v>336</v>
      </c>
      <c r="I77" t="s">
        <v>112</v>
      </c>
      <c r="J77" t="s">
        <v>36</v>
      </c>
      <c r="K77" t="s">
        <v>37</v>
      </c>
      <c r="L77" t="s">
        <v>38</v>
      </c>
      <c r="M77" t="s">
        <v>39</v>
      </c>
      <c r="N77" t="s">
        <v>27</v>
      </c>
      <c r="O77" t="s">
        <v>90</v>
      </c>
      <c r="P77" t="s">
        <v>337</v>
      </c>
      <c r="Q77" t="s">
        <v>49</v>
      </c>
      <c r="R77">
        <v>3</v>
      </c>
      <c r="S77" s="15">
        <v>3294.82</v>
      </c>
      <c r="T77" s="4">
        <v>0.2</v>
      </c>
      <c r="U77" s="3" t="str">
        <f>IF(T77&lt;0, "negative_discount", IF(AND(T77&gt;0.5, T77&lt;=1), "high_discount", ""))</f>
        <v/>
      </c>
      <c r="V77" s="11">
        <v>7907.57</v>
      </c>
      <c r="W77" s="12">
        <v>7907.57</v>
      </c>
      <c r="X77" s="11">
        <v>5391.18</v>
      </c>
      <c r="Y77" s="11">
        <v>2516.39</v>
      </c>
      <c r="Z77" s="11">
        <f>ROUND(W77-X77,2)</f>
        <v>2516.39</v>
      </c>
      <c r="AA77" s="4">
        <f>IF(W77=0,0,Z77/W77)</f>
        <v>0.3182254472612952</v>
      </c>
      <c r="AB77" t="s">
        <v>31</v>
      </c>
      <c r="AC77" t="s">
        <v>32</v>
      </c>
      <c r="AD77" t="str">
        <f>IF(AND(E77="", T77&gt;=0, T77&lt;=0.5, K77&lt;&gt;"Unknown", Q77&lt;&gt;"Unknown"), "CLEAN", _xlfn.CONCAT("WARNING: ", IF(E77&lt;&gt;"","invalid_date",""), IF(T77&lt;0,"negative_discount",""), IF(AND(T77&gt;0.5,T77&lt;=1),"high_discount",""), IF(K77="Unknown","missing_region",""), IF(Q77="Unknown","missing_ship_mode","")))</f>
        <v>CLEAN</v>
      </c>
      <c r="AE77" t="str">
        <f>IF(COUNTIF($AF$2:$AF$926,AF77)&gt;1,"DUPLICATE","UNIQUE")</f>
        <v>UNIQUE</v>
      </c>
      <c r="AF77" t="str">
        <f>A77&amp;"|"&amp;B77&amp;"|"&amp;H77&amp;"|"&amp;I77&amp;"|"&amp;R77&amp;"|"&amp;S77&amp;"|"&amp;V77</f>
        <v>ORD-2025-10076|2025-08-22|CUST-5808|Priya Menon|3|3294.82|7907.57</v>
      </c>
      <c r="AG77" t="str">
        <f>IF(COUNTIF($A$2:$A$913,A77)&gt;1,"TRUE","FALSE")</f>
        <v>FALSE</v>
      </c>
    </row>
    <row r="78" spans="1:33">
      <c r="A78" t="s">
        <v>338</v>
      </c>
      <c r="B78" t="s">
        <v>2699</v>
      </c>
      <c r="C78" t="s">
        <v>2903</v>
      </c>
      <c r="D78">
        <f>IF(OR(B78="", C78=""), "", (C78 - B78))</f>
        <v>8</v>
      </c>
      <c r="E78" t="str">
        <f>IF(C78&lt;B78, "INVALID: Ship date before order date", "")</f>
        <v/>
      </c>
      <c r="F78" t="str">
        <f>IF(B78="", "", TEXT(B78, "mmmm"))</f>
        <v>November</v>
      </c>
      <c r="G78">
        <f>IF(B78="", "", YEAR(B78))</f>
        <v>2024</v>
      </c>
      <c r="H78" t="s">
        <v>339</v>
      </c>
      <c r="I78" t="s">
        <v>61</v>
      </c>
      <c r="J78" t="s">
        <v>89</v>
      </c>
      <c r="K78" t="s">
        <v>37</v>
      </c>
      <c r="L78" t="s">
        <v>226</v>
      </c>
      <c r="M78" t="s">
        <v>227</v>
      </c>
      <c r="N78" t="s">
        <v>27</v>
      </c>
      <c r="O78" t="s">
        <v>90</v>
      </c>
      <c r="P78" t="s">
        <v>340</v>
      </c>
      <c r="Q78" t="s">
        <v>30</v>
      </c>
      <c r="R78">
        <v>3</v>
      </c>
      <c r="S78" s="15">
        <v>3406.27</v>
      </c>
      <c r="T78" s="4">
        <v>0</v>
      </c>
      <c r="U78" s="3" t="str">
        <f>IF(T78&lt;0, "negative_discount", IF(AND(T78&gt;0.5, T78&lt;=1), "high_discount", ""))</f>
        <v/>
      </c>
      <c r="V78" s="11">
        <v>10218.81</v>
      </c>
      <c r="W78" s="12">
        <v>10218.81</v>
      </c>
      <c r="X78" s="11">
        <v>7616.97</v>
      </c>
      <c r="Y78" s="11">
        <v>2601.84</v>
      </c>
      <c r="Z78" s="11">
        <f>ROUND(W78-X78,2)</f>
        <v>2601.84</v>
      </c>
      <c r="AA78" s="4">
        <f>IF(W78=0,0,Z78/W78)</f>
        <v>0.25461281695226745</v>
      </c>
      <c r="AB78" t="s">
        <v>31</v>
      </c>
      <c r="AC78" t="s">
        <v>32</v>
      </c>
      <c r="AD78" t="str">
        <f>IF(AND(E78="", T78&gt;=0, T78&lt;=0.5, K78&lt;&gt;"Unknown", Q78&lt;&gt;"Unknown"), "CLEAN", _xlfn.CONCAT("WARNING: ", IF(E78&lt;&gt;"","invalid_date",""), IF(T78&lt;0,"negative_discount",""), IF(AND(T78&gt;0.5,T78&lt;=1),"high_discount",""), IF(K78="Unknown","missing_region",""), IF(Q78="Unknown","missing_ship_mode","")))</f>
        <v>CLEAN</v>
      </c>
      <c r="AE78" t="str">
        <f>IF(COUNTIF($AF$2:$AF$926,AF78)&gt;1,"DUPLICATE","UNIQUE")</f>
        <v>UNIQUE</v>
      </c>
      <c r="AF78" t="str">
        <f>A78&amp;"|"&amp;B78&amp;"|"&amp;H78&amp;"|"&amp;I78&amp;"|"&amp;R78&amp;"|"&amp;S78&amp;"|"&amp;V78</f>
        <v>ORD-2024-10077|2024-11-03|CUST-2642|Ananya Rao|3|3406.27|10218.81</v>
      </c>
      <c r="AG78" t="str">
        <f>IF(COUNTIF($A$2:$A$913,A78)&gt;1,"TRUE","FALSE")</f>
        <v>FALSE</v>
      </c>
    </row>
    <row r="79" spans="1:33">
      <c r="A79" t="s">
        <v>3003</v>
      </c>
      <c r="B79" t="s">
        <v>2700</v>
      </c>
      <c r="C79" t="s">
        <v>2904</v>
      </c>
      <c r="D79">
        <f>IF(OR(B79="", C79=""), "", (C79 - B79))</f>
        <v>152</v>
      </c>
      <c r="E79" t="str">
        <f>IF(C79&lt;B79, "INVALID: Ship date before order date", "")</f>
        <v/>
      </c>
      <c r="F79" t="str">
        <f>IF(B79="", "", TEXT(B79, "mmmm"))</f>
        <v>July</v>
      </c>
      <c r="G79">
        <f>IF(B79="", "", YEAR(B79))</f>
        <v>2025</v>
      </c>
      <c r="H79" t="s">
        <v>341</v>
      </c>
      <c r="I79" t="s">
        <v>139</v>
      </c>
      <c r="J79" t="s">
        <v>93</v>
      </c>
      <c r="K79" t="s">
        <v>24</v>
      </c>
      <c r="L79" t="s">
        <v>134</v>
      </c>
      <c r="M79" t="s">
        <v>135</v>
      </c>
      <c r="N79" t="s">
        <v>40</v>
      </c>
      <c r="O79" t="s">
        <v>56</v>
      </c>
      <c r="P79" t="s">
        <v>342</v>
      </c>
      <c r="Q79" t="s">
        <v>58</v>
      </c>
      <c r="R79">
        <v>1</v>
      </c>
      <c r="S79" s="15">
        <v>2582.1999999999998</v>
      </c>
      <c r="T79" s="4">
        <v>0.15</v>
      </c>
      <c r="U79" s="3" t="str">
        <f>IF(T79&lt;0, "negative_discount", IF(AND(T79&gt;0.5, T79&lt;=1), "high_discount", ""))</f>
        <v/>
      </c>
      <c r="V79" s="11">
        <v>2194.87</v>
      </c>
      <c r="W79" s="12">
        <v>2194.87</v>
      </c>
      <c r="X79" s="11">
        <v>1223.17</v>
      </c>
      <c r="Y79" s="11">
        <v>971.7</v>
      </c>
      <c r="Z79" s="11">
        <f>ROUND(W79-X79,2)</f>
        <v>971.7</v>
      </c>
      <c r="AA79" s="4">
        <f>IF(W79=0,0,Z79/W79)</f>
        <v>0.44271414707932594</v>
      </c>
      <c r="AB79" t="s">
        <v>99</v>
      </c>
      <c r="AC79" t="s">
        <v>67</v>
      </c>
      <c r="AD79" t="str">
        <f>IF(AND(E79="", T79&gt;=0, T79&lt;=0.5, K79&lt;&gt;"Unknown", Q79&lt;&gt;"Unknown"), "CLEAN", _xlfn.CONCAT("WARNING: ", IF(E79&lt;&gt;"","invalid_date",""), IF(T79&lt;0,"negative_discount",""), IF(AND(T79&gt;0.5,T79&lt;=1),"high_discount",""), IF(K79="Unknown","missing_region",""), IF(Q79="Unknown","missing_ship_mode","")))</f>
        <v>CLEAN</v>
      </c>
      <c r="AE79" t="str">
        <f>IF(COUNTIF($AF$2:$AF$926,AF79)&gt;1,"DUPLICATE","UNIQUE")</f>
        <v>UNIQUE</v>
      </c>
      <c r="AF79" t="str">
        <f>A79&amp;"|"&amp;B79&amp;"|"&amp;H79&amp;"|"&amp;I79&amp;"|"&amp;R79&amp;"|"&amp;S79&amp;"|"&amp;V79</f>
        <v>ORD-2025-10078|2025-07-08|CUST-4385|Rohan Mehta|1|2582.2|2194.87</v>
      </c>
      <c r="AG79" t="str">
        <f>IF(COUNTIF($A$2:$A$913,A79)&gt;1,"TRUE","FALSE")</f>
        <v>FALSE</v>
      </c>
    </row>
    <row r="80" spans="1:33">
      <c r="A80" t="s">
        <v>3004</v>
      </c>
      <c r="B80" t="s">
        <v>417</v>
      </c>
      <c r="C80" t="s">
        <v>2094</v>
      </c>
      <c r="D80">
        <f>IF(OR(B80="", C80=""), "", (C80 - B80))</f>
        <v>5</v>
      </c>
      <c r="E80" t="str">
        <f>IF(C80&lt;B80, "INVALID: Ship date before order date", "")</f>
        <v/>
      </c>
      <c r="F80" t="str">
        <f>IF(B80="", "", TEXT(B80, "mmmm"))</f>
        <v>July</v>
      </c>
      <c r="G80">
        <f>IF(B80="", "", YEAR(B80))</f>
        <v>2025</v>
      </c>
      <c r="H80" t="s">
        <v>343</v>
      </c>
      <c r="I80" t="s">
        <v>131</v>
      </c>
      <c r="J80" t="s">
        <v>89</v>
      </c>
      <c r="K80" t="s">
        <v>37</v>
      </c>
      <c r="L80" t="s">
        <v>96</v>
      </c>
      <c r="M80" t="s">
        <v>97</v>
      </c>
      <c r="N80" t="s">
        <v>40</v>
      </c>
      <c r="O80" t="s">
        <v>41</v>
      </c>
      <c r="P80" t="s">
        <v>344</v>
      </c>
      <c r="Q80" t="s">
        <v>49</v>
      </c>
      <c r="R80">
        <v>5</v>
      </c>
      <c r="S80" s="15">
        <v>2129.5100000000002</v>
      </c>
      <c r="T80" s="4">
        <v>0.15</v>
      </c>
      <c r="U80" s="3" t="str">
        <f>IF(T80&lt;0, "negative_discount", IF(AND(T80&gt;0.5, T80&lt;=1), "high_discount", ""))</f>
        <v/>
      </c>
      <c r="V80" s="11">
        <v>9050.42</v>
      </c>
      <c r="W80" s="12">
        <v>9050.42</v>
      </c>
      <c r="X80" s="11">
        <v>6778.85</v>
      </c>
      <c r="Y80" s="11">
        <v>2271.5700000000002</v>
      </c>
      <c r="Z80" s="11">
        <f>ROUND(W80-X80,2)</f>
        <v>2271.5700000000002</v>
      </c>
      <c r="AA80" s="4">
        <f>IF(W80=0,0,Z80/W80)</f>
        <v>0.25099056176398443</v>
      </c>
      <c r="AB80" t="s">
        <v>31</v>
      </c>
      <c r="AC80" t="s">
        <v>32</v>
      </c>
      <c r="AD80" t="str">
        <f>IF(AND(E80="", T80&gt;=0, T80&lt;=0.5, K80&lt;&gt;"Unknown", Q80&lt;&gt;"Unknown"), "CLEAN", _xlfn.CONCAT("WARNING: ", IF(E80&lt;&gt;"","invalid_date",""), IF(T80&lt;0,"negative_discount",""), IF(AND(T80&gt;0.5,T80&lt;=1),"high_discount",""), IF(K80="Unknown","missing_region",""), IF(Q80="Unknown","missing_ship_mode","")))</f>
        <v>CLEAN</v>
      </c>
      <c r="AE80" t="str">
        <f>IF(COUNTIF($AF$2:$AF$926,AF80)&gt;1,"DUPLICATE","UNIQUE")</f>
        <v>UNIQUE</v>
      </c>
      <c r="AF80" t="str">
        <f>A80&amp;"|"&amp;B80&amp;"|"&amp;H80&amp;"|"&amp;I80&amp;"|"&amp;R80&amp;"|"&amp;S80&amp;"|"&amp;V80</f>
        <v>ORD-2025-10079|2025-07-16|CUST-8043|Sneha Kapoor|5|2129.51|9050.42</v>
      </c>
      <c r="AG80" t="str">
        <f>IF(COUNTIF($A$2:$A$913,A80)&gt;1,"TRUE","FALSE")</f>
        <v>FALSE</v>
      </c>
    </row>
    <row r="81" spans="1:33">
      <c r="A81" t="s">
        <v>3005</v>
      </c>
      <c r="B81" t="s">
        <v>345</v>
      </c>
      <c r="C81" t="s">
        <v>346</v>
      </c>
      <c r="D81">
        <f>IF(OR(B81="", C81=""), "", (C81 - B81))</f>
        <v>6</v>
      </c>
      <c r="E81" t="str">
        <f>IF(C81&lt;B81, "INVALID: Ship date before order date", "")</f>
        <v/>
      </c>
      <c r="F81" t="str">
        <f>IF(B81="", "", TEXT(B81, "mmmm"))</f>
        <v>September</v>
      </c>
      <c r="G81">
        <f>IF(B81="", "", YEAR(B81))</f>
        <v>2025</v>
      </c>
      <c r="H81" t="s">
        <v>347</v>
      </c>
      <c r="I81" t="s">
        <v>158</v>
      </c>
      <c r="J81" t="s">
        <v>93</v>
      </c>
      <c r="K81" t="s">
        <v>53</v>
      </c>
      <c r="L81" t="s">
        <v>246</v>
      </c>
      <c r="M81" t="s">
        <v>247</v>
      </c>
      <c r="N81" t="s">
        <v>40</v>
      </c>
      <c r="O81" t="s">
        <v>65</v>
      </c>
      <c r="P81" t="s">
        <v>348</v>
      </c>
      <c r="Q81" t="s">
        <v>43</v>
      </c>
      <c r="R81">
        <v>9</v>
      </c>
      <c r="S81" s="15">
        <v>4131.5200000000004</v>
      </c>
      <c r="T81" s="4">
        <v>0.1</v>
      </c>
      <c r="U81" s="3" t="str">
        <f>IF(T81&lt;0, "negative_discount", IF(AND(T81&gt;0.5, T81&lt;=1), "high_discount", ""))</f>
        <v/>
      </c>
      <c r="V81" s="11">
        <v>33465.31</v>
      </c>
      <c r="W81" s="12">
        <v>33465.31</v>
      </c>
      <c r="X81" s="11">
        <v>24781.26</v>
      </c>
      <c r="Y81" s="11">
        <v>8684.0499999999993</v>
      </c>
      <c r="Z81" s="11">
        <f>ROUND(W81-X81,2)</f>
        <v>8684.0499999999993</v>
      </c>
      <c r="AA81" s="4">
        <f>IF(W81=0,0,Z81/W81)</f>
        <v>0.25949408506898636</v>
      </c>
      <c r="AB81" t="s">
        <v>31</v>
      </c>
      <c r="AC81" t="s">
        <v>32</v>
      </c>
      <c r="AD81" t="str">
        <f>IF(AND(E81="", T81&gt;=0, T81&lt;=0.5, K81&lt;&gt;"Unknown", Q81&lt;&gt;"Unknown"), "CLEAN", _xlfn.CONCAT("WARNING: ", IF(E81&lt;&gt;"","invalid_date",""), IF(T81&lt;0,"negative_discount",""), IF(AND(T81&gt;0.5,T81&lt;=1),"high_discount",""), IF(K81="Unknown","missing_region",""), IF(Q81="Unknown","missing_ship_mode","")))</f>
        <v>CLEAN</v>
      </c>
      <c r="AE81" t="str">
        <f>IF(COUNTIF($AF$2:$AF$926,AF81)&gt;1,"DUPLICATE","UNIQUE")</f>
        <v>UNIQUE</v>
      </c>
      <c r="AF81" t="str">
        <f>A81&amp;"|"&amp;B81&amp;"|"&amp;H81&amp;"|"&amp;I81&amp;"|"&amp;R81&amp;"|"&amp;S81&amp;"|"&amp;V81</f>
        <v>ORD-2025-10080|2025-09-27|CUST-9978|Diya Patel|9|4131.52|33465.31</v>
      </c>
      <c r="AG81" t="str">
        <f>IF(COUNTIF($A$2:$A$913,A81)&gt;1,"TRUE","FALSE")</f>
        <v>FALSE</v>
      </c>
    </row>
    <row r="82" spans="1:33">
      <c r="A82" t="s">
        <v>349</v>
      </c>
      <c r="B82" t="s">
        <v>350</v>
      </c>
      <c r="C82" t="s">
        <v>351</v>
      </c>
      <c r="D82">
        <f>IF(OR(B82="", C82=""), "", (C82 - B82))</f>
        <v>4</v>
      </c>
      <c r="E82" t="str">
        <f>IF(C82&lt;B82, "INVALID: Ship date before order date", "")</f>
        <v/>
      </c>
      <c r="F82" t="str">
        <f>IF(B82="", "", TEXT(B82, "mmmm"))</f>
        <v>August</v>
      </c>
      <c r="G82">
        <f>IF(B82="", "", YEAR(B82))</f>
        <v>2024</v>
      </c>
      <c r="H82" t="s">
        <v>352</v>
      </c>
      <c r="I82" t="s">
        <v>126</v>
      </c>
      <c r="J82" t="s">
        <v>36</v>
      </c>
      <c r="K82" t="s">
        <v>24</v>
      </c>
      <c r="L82" t="s">
        <v>353</v>
      </c>
      <c r="M82" t="s">
        <v>354</v>
      </c>
      <c r="N82" t="s">
        <v>27</v>
      </c>
      <c r="O82" t="s">
        <v>122</v>
      </c>
      <c r="P82" t="s">
        <v>355</v>
      </c>
      <c r="Q82" t="s">
        <v>30</v>
      </c>
      <c r="R82">
        <v>4</v>
      </c>
      <c r="S82" s="15">
        <v>1182.32</v>
      </c>
      <c r="T82" s="4">
        <v>0.1</v>
      </c>
      <c r="U82" s="3" t="str">
        <f>IF(T82&lt;0, "negative_discount", IF(AND(T82&gt;0.5, T82&lt;=1), "high_discount", ""))</f>
        <v/>
      </c>
      <c r="V82" s="11">
        <v>4256.3500000000004</v>
      </c>
      <c r="W82" s="12">
        <v>4256.3500000000004</v>
      </c>
      <c r="X82" s="11">
        <v>2495.33</v>
      </c>
      <c r="Y82" s="11">
        <v>1761.02</v>
      </c>
      <c r="Z82" s="11">
        <f>ROUND(W82-X82,2)</f>
        <v>1761.02</v>
      </c>
      <c r="AA82" s="4">
        <f>IF(W82=0,0,Z82/W82)</f>
        <v>0.41373947161300173</v>
      </c>
      <c r="AB82" t="s">
        <v>109</v>
      </c>
      <c r="AC82" t="s">
        <v>100</v>
      </c>
      <c r="AD82" t="str">
        <f>IF(AND(E82="", T82&gt;=0, T82&lt;=0.5, K82&lt;&gt;"Unknown", Q82&lt;&gt;"Unknown"), "CLEAN", _xlfn.CONCAT("WARNING: ", IF(E82&lt;&gt;"","invalid_date",""), IF(T82&lt;0,"negative_discount",""), IF(AND(T82&gt;0.5,T82&lt;=1),"high_discount",""), IF(K82="Unknown","missing_region",""), IF(Q82="Unknown","missing_ship_mode","")))</f>
        <v>CLEAN</v>
      </c>
      <c r="AE82" t="str">
        <f>IF(COUNTIF($AF$2:$AF$926,AF82)&gt;1,"DUPLICATE","UNIQUE")</f>
        <v>UNIQUE</v>
      </c>
      <c r="AF82" t="str">
        <f>A82&amp;"|"&amp;B82&amp;"|"&amp;H82&amp;"|"&amp;I82&amp;"|"&amp;R82&amp;"|"&amp;S82&amp;"|"&amp;V82</f>
        <v>ORD-2024-10081|2024-08-10|CUST-2094|Aarav Sharma|4|1182.32|4256.35</v>
      </c>
      <c r="AG82" t="str">
        <f>IF(COUNTIF($A$2:$A$913,A82)&gt;1,"TRUE","FALSE")</f>
        <v>FALSE</v>
      </c>
    </row>
    <row r="83" spans="1:33">
      <c r="A83" t="s">
        <v>3006</v>
      </c>
      <c r="B83" t="s">
        <v>356</v>
      </c>
      <c r="C83" t="s">
        <v>2857</v>
      </c>
      <c r="D83">
        <f>IF(OR(B83="", C83=""), "", (C83 - B83))</f>
        <v>1</v>
      </c>
      <c r="E83" t="str">
        <f>IF(C83&lt;B83, "INVALID: Ship date before order date", "")</f>
        <v/>
      </c>
      <c r="F83" t="str">
        <f>IF(B83="", "", TEXT(B83, "mmmm"))</f>
        <v>March</v>
      </c>
      <c r="G83">
        <f>IF(B83="", "", YEAR(B83))</f>
        <v>2025</v>
      </c>
      <c r="H83" t="s">
        <v>357</v>
      </c>
      <c r="I83" t="s">
        <v>22</v>
      </c>
      <c r="J83" t="s">
        <v>93</v>
      </c>
      <c r="K83" t="s">
        <v>62</v>
      </c>
      <c r="L83" t="s">
        <v>185</v>
      </c>
      <c r="M83" t="s">
        <v>186</v>
      </c>
      <c r="N83" t="s">
        <v>27</v>
      </c>
      <c r="O83" t="s">
        <v>90</v>
      </c>
      <c r="P83" t="s">
        <v>358</v>
      </c>
      <c r="Q83" t="s">
        <v>43</v>
      </c>
      <c r="R83">
        <v>3</v>
      </c>
      <c r="S83" s="15">
        <v>1841.91</v>
      </c>
      <c r="T83" s="4">
        <v>0</v>
      </c>
      <c r="U83" s="3" t="str">
        <f>IF(T83&lt;0, "negative_discount", IF(AND(T83&gt;0.5, T83&lt;=1), "high_discount", ""))</f>
        <v/>
      </c>
      <c r="V83" s="11">
        <v>5525.73</v>
      </c>
      <c r="W83" s="12">
        <v>5525.73</v>
      </c>
      <c r="X83" s="11">
        <v>3093.42</v>
      </c>
      <c r="Y83" s="11">
        <v>2432.31</v>
      </c>
      <c r="Z83" s="11">
        <f>ROUND(W83-X83,2)</f>
        <v>2432.31</v>
      </c>
      <c r="AA83" s="4">
        <f>IF(W83=0,0,Z83/W83)</f>
        <v>0.44017894468242208</v>
      </c>
      <c r="AB83" t="s">
        <v>31</v>
      </c>
      <c r="AC83" t="s">
        <v>32</v>
      </c>
      <c r="AD83" t="str">
        <f>IF(AND(E83="", T83&gt;=0, T83&lt;=0.5, K83&lt;&gt;"Unknown", Q83&lt;&gt;"Unknown"), "CLEAN", _xlfn.CONCAT("WARNING: ", IF(E83&lt;&gt;"","invalid_date",""), IF(T83&lt;0,"negative_discount",""), IF(AND(T83&gt;0.5,T83&lt;=1),"high_discount",""), IF(K83="Unknown","missing_region",""), IF(Q83="Unknown","missing_ship_mode","")))</f>
        <v>CLEAN</v>
      </c>
      <c r="AE83" t="str">
        <f>IF(COUNTIF($AF$2:$AF$926,AF83)&gt;1,"DUPLICATE","UNIQUE")</f>
        <v>UNIQUE</v>
      </c>
      <c r="AF83" t="str">
        <f>A83&amp;"|"&amp;B83&amp;"|"&amp;H83&amp;"|"&amp;I83&amp;"|"&amp;R83&amp;"|"&amp;S83&amp;"|"&amp;V83</f>
        <v>ORD-2025-10082|2025-03-16|CUST-7907|Karan Malhotra|3|1841.91|5525.73</v>
      </c>
      <c r="AG83" t="str">
        <f>IF(COUNTIF($A$2:$A$913,A83)&gt;1,"TRUE","FALSE")</f>
        <v>FALSE</v>
      </c>
    </row>
    <row r="84" spans="1:33">
      <c r="A84" t="s">
        <v>359</v>
      </c>
      <c r="B84" t="s">
        <v>360</v>
      </c>
      <c r="C84" t="s">
        <v>2449</v>
      </c>
      <c r="D84">
        <f>IF(OR(B84="", C84=""), "", (C84 - B84))</f>
        <v>-117</v>
      </c>
      <c r="E84" t="str">
        <f>IF(C84&lt;B84, "INVALID: Ship date before order date", "")</f>
        <v>INVALID: Ship date before order date</v>
      </c>
      <c r="F84" t="str">
        <f>IF(B84="", "", TEXT(B84, "mmmm"))</f>
        <v>August</v>
      </c>
      <c r="G84">
        <f>IF(B84="", "", YEAR(B84))</f>
        <v>2024</v>
      </c>
      <c r="H84" t="s">
        <v>361</v>
      </c>
      <c r="I84" t="s">
        <v>52</v>
      </c>
      <c r="J84" t="s">
        <v>23</v>
      </c>
      <c r="K84" t="s">
        <v>24</v>
      </c>
      <c r="L84" t="s">
        <v>134</v>
      </c>
      <c r="M84" t="s">
        <v>135</v>
      </c>
      <c r="N84" t="s">
        <v>74</v>
      </c>
      <c r="O84" t="s">
        <v>79</v>
      </c>
      <c r="P84" t="s">
        <v>362</v>
      </c>
      <c r="Q84" t="s">
        <v>30</v>
      </c>
      <c r="R84">
        <v>6</v>
      </c>
      <c r="S84" s="15">
        <v>1001.73</v>
      </c>
      <c r="T84" s="4">
        <v>0</v>
      </c>
      <c r="U84" s="3" t="str">
        <f>IF(T84&lt;0, "negative_discount", IF(AND(T84&gt;0.5, T84&lt;=1), "high_discount", ""))</f>
        <v/>
      </c>
      <c r="V84" s="11">
        <v>6010.38</v>
      </c>
      <c r="W84" s="12">
        <v>6010.38</v>
      </c>
      <c r="X84" s="11">
        <v>3762.85</v>
      </c>
      <c r="Y84" s="11">
        <v>2247.5300000000002</v>
      </c>
      <c r="Z84" s="11">
        <f>ROUND(W84-X84,2)</f>
        <v>2247.5300000000002</v>
      </c>
      <c r="AA84" s="4">
        <f>IF(W84=0,0,Z84/W84)</f>
        <v>0.37394141468592673</v>
      </c>
      <c r="AB84" t="s">
        <v>151</v>
      </c>
      <c r="AC84" t="s">
        <v>100</v>
      </c>
      <c r="AD84" t="str">
        <f>IF(AND(E84="", T84&gt;=0, T84&lt;=0.5, K84&lt;&gt;"Unknown", Q84&lt;&gt;"Unknown"), "CLEAN", _xlfn.CONCAT("WARNING: ", IF(E84&lt;&gt;"","invalid_date",""), IF(T84&lt;0,"negative_discount",""), IF(AND(T84&gt;0.5,T84&lt;=1),"high_discount",""), IF(K84="Unknown","missing_region",""), IF(Q84="Unknown","missing_ship_mode","")))</f>
        <v>WARNING: invalid_date</v>
      </c>
      <c r="AE84" t="str">
        <f>IF(COUNTIF($AF$2:$AF$926,AF84)&gt;1,"DUPLICATE","UNIQUE")</f>
        <v>UNIQUE</v>
      </c>
      <c r="AF84" t="str">
        <f>A84&amp;"|"&amp;B84&amp;"|"&amp;H84&amp;"|"&amp;I84&amp;"|"&amp;R84&amp;"|"&amp;S84&amp;"|"&amp;V84</f>
        <v>ORD-2024-10083|2024-08-03|CUST-6516|Arjun Bose|6|1001.73|6010.38</v>
      </c>
      <c r="AG84" t="str">
        <f>IF(COUNTIF($A$2:$A$913,A84)&gt;1,"TRUE","FALSE")</f>
        <v>FALSE</v>
      </c>
    </row>
    <row r="85" spans="1:33">
      <c r="A85" t="s">
        <v>363</v>
      </c>
      <c r="B85" t="s">
        <v>2691</v>
      </c>
      <c r="C85" t="s">
        <v>982</v>
      </c>
      <c r="D85">
        <f>IF(OR(B85="", C85=""), "", (C85 - B85))</f>
        <v>3</v>
      </c>
      <c r="E85" t="str">
        <f>IF(C85&lt;B85, "INVALID: Ship date before order date", "")</f>
        <v/>
      </c>
      <c r="F85" t="str">
        <f>IF(B85="", "", TEXT(B85, "mmmm"))</f>
        <v>October</v>
      </c>
      <c r="G85">
        <f>IF(B85="", "", YEAR(B85))</f>
        <v>2024</v>
      </c>
      <c r="H85" t="s">
        <v>364</v>
      </c>
      <c r="I85" t="s">
        <v>88</v>
      </c>
      <c r="J85" t="s">
        <v>93</v>
      </c>
      <c r="K85" t="s">
        <v>62</v>
      </c>
      <c r="L85" t="s">
        <v>63</v>
      </c>
      <c r="M85" t="s">
        <v>64</v>
      </c>
      <c r="N85" t="s">
        <v>40</v>
      </c>
      <c r="O85" t="s">
        <v>41</v>
      </c>
      <c r="P85" t="s">
        <v>365</v>
      </c>
      <c r="Q85" t="s">
        <v>30</v>
      </c>
      <c r="R85">
        <v>9</v>
      </c>
      <c r="S85" s="15">
        <v>131.74</v>
      </c>
      <c r="T85" s="4">
        <v>0.2</v>
      </c>
      <c r="U85" s="3" t="str">
        <f>IF(T85&lt;0, "negative_discount", IF(AND(T85&gt;0.5, T85&lt;=1), "high_discount", ""))</f>
        <v/>
      </c>
      <c r="V85" s="11">
        <v>948.53</v>
      </c>
      <c r="W85" s="12">
        <v>948.53</v>
      </c>
      <c r="X85" s="11">
        <v>674.62</v>
      </c>
      <c r="Y85" s="11">
        <v>273.91000000000003</v>
      </c>
      <c r="Z85" s="11">
        <f>ROUND(W85-X85,2)</f>
        <v>273.91000000000003</v>
      </c>
      <c r="AA85" s="4">
        <f>IF(W85=0,0,Z85/W85)</f>
        <v>0.28877315424920669</v>
      </c>
      <c r="AB85" t="s">
        <v>31</v>
      </c>
      <c r="AC85" t="s">
        <v>32</v>
      </c>
      <c r="AD85" t="str">
        <f>IF(AND(E85="", T85&gt;=0, T85&lt;=0.5, K85&lt;&gt;"Unknown", Q85&lt;&gt;"Unknown"), "CLEAN", _xlfn.CONCAT("WARNING: ", IF(E85&lt;&gt;"","invalid_date",""), IF(T85&lt;0,"negative_discount",""), IF(AND(T85&gt;0.5,T85&lt;=1),"high_discount",""), IF(K85="Unknown","missing_region",""), IF(Q85="Unknown","missing_ship_mode","")))</f>
        <v>CLEAN</v>
      </c>
      <c r="AE85" t="str">
        <f>IF(COUNTIF($AF$2:$AF$926,AF85)&gt;1,"DUPLICATE","UNIQUE")</f>
        <v>UNIQUE</v>
      </c>
      <c r="AF85" t="str">
        <f>A85&amp;"|"&amp;B85&amp;"|"&amp;H85&amp;"|"&amp;I85&amp;"|"&amp;R85&amp;"|"&amp;S85&amp;"|"&amp;V85</f>
        <v>ORD-2024-10084|2024-10-26|CUST-4989|Aditi Sen|9|131.74|948.53</v>
      </c>
      <c r="AG85" t="str">
        <f>IF(COUNTIF($A$2:$A$913,A85)&gt;1,"TRUE","FALSE")</f>
        <v>FALSE</v>
      </c>
    </row>
    <row r="86" spans="1:33">
      <c r="A86" t="s">
        <v>366</v>
      </c>
      <c r="B86" t="s">
        <v>939</v>
      </c>
      <c r="C86" t="s">
        <v>367</v>
      </c>
      <c r="D86">
        <f>IF(OR(B86="", C86=""), "", (C86 - B86))</f>
        <v>2</v>
      </c>
      <c r="E86" t="str">
        <f>IF(C86&lt;B86, "INVALID: Ship date before order date", "")</f>
        <v/>
      </c>
      <c r="F86" t="str">
        <f>IF(B86="", "", TEXT(B86, "mmmm"))</f>
        <v>October</v>
      </c>
      <c r="G86">
        <f>IF(B86="", "", YEAR(B86))</f>
        <v>2024</v>
      </c>
      <c r="H86" t="s">
        <v>368</v>
      </c>
      <c r="I86" t="s">
        <v>139</v>
      </c>
      <c r="J86" t="s">
        <v>89</v>
      </c>
      <c r="K86" t="s">
        <v>53</v>
      </c>
      <c r="L86" t="s">
        <v>246</v>
      </c>
      <c r="M86" t="s">
        <v>247</v>
      </c>
      <c r="N86" t="s">
        <v>74</v>
      </c>
      <c r="O86" t="s">
        <v>168</v>
      </c>
      <c r="P86" t="s">
        <v>369</v>
      </c>
      <c r="Q86" t="s">
        <v>30</v>
      </c>
      <c r="R86">
        <v>6</v>
      </c>
      <c r="S86" s="15">
        <v>570.28</v>
      </c>
      <c r="T86" s="4">
        <v>0.2</v>
      </c>
      <c r="U86" s="3" t="str">
        <f>IF(T86&lt;0, "negative_discount", IF(AND(T86&gt;0.5, T86&lt;=1), "high_discount", ""))</f>
        <v/>
      </c>
      <c r="V86" s="11">
        <v>2737.34</v>
      </c>
      <c r="W86" s="12">
        <v>2737.34</v>
      </c>
      <c r="X86" s="11">
        <v>2085.44</v>
      </c>
      <c r="Y86" s="11">
        <v>651.9</v>
      </c>
      <c r="Z86" s="11">
        <f>ROUND(W86-X86,2)</f>
        <v>651.9</v>
      </c>
      <c r="AA86" s="4">
        <f>IF(W86=0,0,Z86/W86)</f>
        <v>0.23815090562370766</v>
      </c>
      <c r="AB86" t="s">
        <v>31</v>
      </c>
      <c r="AC86" t="s">
        <v>32</v>
      </c>
      <c r="AD86" t="str">
        <f>IF(AND(E86="", T86&gt;=0, T86&lt;=0.5, K86&lt;&gt;"Unknown", Q86&lt;&gt;"Unknown"), "CLEAN", _xlfn.CONCAT("WARNING: ", IF(E86&lt;&gt;"","invalid_date",""), IF(T86&lt;0,"negative_discount",""), IF(AND(T86&gt;0.5,T86&lt;=1),"high_discount",""), IF(K86="Unknown","missing_region",""), IF(Q86="Unknown","missing_ship_mode","")))</f>
        <v>CLEAN</v>
      </c>
      <c r="AE86" t="str">
        <f>IF(COUNTIF($AF$2:$AF$926,AF86)&gt;1,"DUPLICATE","UNIQUE")</f>
        <v>UNIQUE</v>
      </c>
      <c r="AF86" t="str">
        <f>A86&amp;"|"&amp;B86&amp;"|"&amp;H86&amp;"|"&amp;I86&amp;"|"&amp;R86&amp;"|"&amp;S86&amp;"|"&amp;V86</f>
        <v>ORD-2024-10085|2024-10-01|CUST-3758|Rohan Mehta|6|570.28|2737.34</v>
      </c>
      <c r="AG86" t="str">
        <f>IF(COUNTIF($A$2:$A$913,A86)&gt;1,"TRUE","FALSE")</f>
        <v>FALSE</v>
      </c>
    </row>
    <row r="87" spans="1:33">
      <c r="A87" t="s">
        <v>370</v>
      </c>
      <c r="B87" t="s">
        <v>371</v>
      </c>
      <c r="C87" t="s">
        <v>2905</v>
      </c>
      <c r="D87">
        <f>IF(OR(B87="", C87=""), "", (C87 - B87))</f>
        <v>6</v>
      </c>
      <c r="E87" t="str">
        <f>IF(C87&lt;B87, "INVALID: Ship date before order date", "")</f>
        <v/>
      </c>
      <c r="F87" t="str">
        <f>IF(B87="", "", TEXT(B87, "mmmm"))</f>
        <v>July</v>
      </c>
      <c r="G87">
        <f>IF(B87="", "", YEAR(B87))</f>
        <v>2024</v>
      </c>
      <c r="H87" t="s">
        <v>372</v>
      </c>
      <c r="I87" t="s">
        <v>263</v>
      </c>
      <c r="J87" t="s">
        <v>89</v>
      </c>
      <c r="K87" t="s">
        <v>24</v>
      </c>
      <c r="L87" t="s">
        <v>353</v>
      </c>
      <c r="M87" t="s">
        <v>354</v>
      </c>
      <c r="N87" t="s">
        <v>27</v>
      </c>
      <c r="O87" t="s">
        <v>149</v>
      </c>
      <c r="P87" t="s">
        <v>373</v>
      </c>
      <c r="Q87" t="s">
        <v>58</v>
      </c>
      <c r="R87">
        <v>1</v>
      </c>
      <c r="S87" s="15">
        <v>608.64</v>
      </c>
      <c r="T87" s="4">
        <v>0</v>
      </c>
      <c r="U87" s="3" t="str">
        <f>IF(T87&lt;0, "negative_discount", IF(AND(T87&gt;0.5, T87&lt;=1), "high_discount", ""))</f>
        <v/>
      </c>
      <c r="V87" s="11">
        <v>608.64</v>
      </c>
      <c r="W87" s="12">
        <v>608.64</v>
      </c>
      <c r="X87" s="11">
        <v>343.99</v>
      </c>
      <c r="Y87" s="11">
        <v>264.64999999999998</v>
      </c>
      <c r="Z87" s="11">
        <f>ROUND(W87-X87,2)</f>
        <v>264.64999999999998</v>
      </c>
      <c r="AA87" s="4">
        <f>IF(W87=0,0,Z87/W87)</f>
        <v>0.43482189800210302</v>
      </c>
      <c r="AB87" t="s">
        <v>31</v>
      </c>
      <c r="AC87" t="s">
        <v>67</v>
      </c>
      <c r="AD87" t="str">
        <f>IF(AND(E87="", T87&gt;=0, T87&lt;=0.5, K87&lt;&gt;"Unknown", Q87&lt;&gt;"Unknown"), "CLEAN", _xlfn.CONCAT("WARNING: ", IF(E87&lt;&gt;"","invalid_date",""), IF(T87&lt;0,"negative_discount",""), IF(AND(T87&gt;0.5,T87&lt;=1),"high_discount",""), IF(K87="Unknown","missing_region",""), IF(Q87="Unknown","missing_ship_mode","")))</f>
        <v>CLEAN</v>
      </c>
      <c r="AE87" t="str">
        <f>IF(COUNTIF($AF$2:$AF$926,AF87)&gt;1,"DUPLICATE","UNIQUE")</f>
        <v>UNIQUE</v>
      </c>
      <c r="AF87" t="str">
        <f>A87&amp;"|"&amp;B87&amp;"|"&amp;H87&amp;"|"&amp;I87&amp;"|"&amp;R87&amp;"|"&amp;S87&amp;"|"&amp;V87</f>
        <v>ORD-2024-10086|2024-07-30|CUST-6702|Kabir Singh|1|608.64|608.64</v>
      </c>
      <c r="AG87" t="str">
        <f>IF(COUNTIF($A$2:$A$913,A87)&gt;1,"TRUE","FALSE")</f>
        <v>FALSE</v>
      </c>
    </row>
    <row r="88" spans="1:33">
      <c r="A88" t="s">
        <v>374</v>
      </c>
      <c r="B88" t="s">
        <v>2121</v>
      </c>
      <c r="C88" t="s">
        <v>2121</v>
      </c>
      <c r="D88">
        <f>IF(OR(B88="", C88=""), "", (C88 - B88))</f>
        <v>0</v>
      </c>
      <c r="E88" t="str">
        <f>IF(C88&lt;B88, "INVALID: Ship date before order date", "")</f>
        <v/>
      </c>
      <c r="F88" t="str">
        <f>IF(B88="", "", TEXT(B88, "mmmm"))</f>
        <v>July</v>
      </c>
      <c r="G88">
        <f>IF(B88="", "", YEAR(B88))</f>
        <v>2024</v>
      </c>
      <c r="H88" t="s">
        <v>375</v>
      </c>
      <c r="I88" t="s">
        <v>61</v>
      </c>
      <c r="J88" t="s">
        <v>36</v>
      </c>
      <c r="K88" t="s">
        <v>24</v>
      </c>
      <c r="L88" t="s">
        <v>353</v>
      </c>
      <c r="M88" t="s">
        <v>354</v>
      </c>
      <c r="N88" t="s">
        <v>74</v>
      </c>
      <c r="O88" t="s">
        <v>79</v>
      </c>
      <c r="P88" t="s">
        <v>376</v>
      </c>
      <c r="Q88" t="s">
        <v>30</v>
      </c>
      <c r="R88">
        <v>3</v>
      </c>
      <c r="S88" s="15">
        <v>885.28</v>
      </c>
      <c r="T88" s="4">
        <v>0.1</v>
      </c>
      <c r="U88" s="3" t="str">
        <f>IF(T88&lt;0, "negative_discount", IF(AND(T88&gt;0.5, T88&lt;=1), "high_discount", ""))</f>
        <v/>
      </c>
      <c r="V88" s="11">
        <v>2390.2600000000002</v>
      </c>
      <c r="W88" s="12">
        <v>2390.2600000000002</v>
      </c>
      <c r="X88" s="11">
        <v>1495.94</v>
      </c>
      <c r="Y88" s="11">
        <v>894.32</v>
      </c>
      <c r="Z88" s="11">
        <f>ROUND(W88-X88,2)</f>
        <v>894.32</v>
      </c>
      <c r="AA88" s="4">
        <f>IF(W88=0,0,Z88/W88)</f>
        <v>0.37415176591667848</v>
      </c>
      <c r="AB88" t="s">
        <v>99</v>
      </c>
      <c r="AC88" t="s">
        <v>67</v>
      </c>
      <c r="AD88" t="str">
        <f>IF(AND(E88="", T88&gt;=0, T88&lt;=0.5, K88&lt;&gt;"Unknown", Q88&lt;&gt;"Unknown"), "CLEAN", _xlfn.CONCAT("WARNING: ", IF(E88&lt;&gt;"","invalid_date",""), IF(T88&lt;0,"negative_discount",""), IF(AND(T88&gt;0.5,T88&lt;=1),"high_discount",""), IF(K88="Unknown","missing_region",""), IF(Q88="Unknown","missing_ship_mode","")))</f>
        <v>CLEAN</v>
      </c>
      <c r="AE88" t="str">
        <f>IF(COUNTIF($AF$2:$AF$926,AF88)&gt;1,"DUPLICATE","UNIQUE")</f>
        <v>UNIQUE</v>
      </c>
      <c r="AF88" t="str">
        <f>A88&amp;"|"&amp;B88&amp;"|"&amp;H88&amp;"|"&amp;I88&amp;"|"&amp;R88&amp;"|"&amp;S88&amp;"|"&amp;V88</f>
        <v>ORD-2024-10087|2024-07-01|CUST-9148|Ananya Rao|3|885.28|2390.26</v>
      </c>
      <c r="AG88" t="str">
        <f>IF(COUNTIF($A$2:$A$913,A88)&gt;1,"TRUE","FALSE")</f>
        <v>FALSE</v>
      </c>
    </row>
    <row r="89" spans="1:33">
      <c r="A89" t="s">
        <v>377</v>
      </c>
      <c r="B89" t="s">
        <v>1660</v>
      </c>
      <c r="C89" t="s">
        <v>360</v>
      </c>
      <c r="D89">
        <f>IF(OR(B89="", C89=""), "", (C89 - B89))</f>
        <v>177</v>
      </c>
      <c r="E89" t="str">
        <f>IF(C89&lt;B89, "INVALID: Ship date before order date", "")</f>
        <v/>
      </c>
      <c r="F89" t="str">
        <f>IF(B89="", "", TEXT(B89, "mmmm"))</f>
        <v>February</v>
      </c>
      <c r="G89">
        <f>IF(B89="", "", YEAR(B89))</f>
        <v>2024</v>
      </c>
      <c r="H89" t="s">
        <v>378</v>
      </c>
      <c r="I89" t="s">
        <v>71</v>
      </c>
      <c r="J89" t="s">
        <v>23</v>
      </c>
      <c r="K89" t="s">
        <v>37</v>
      </c>
      <c r="L89" t="s">
        <v>163</v>
      </c>
      <c r="M89" t="s">
        <v>164</v>
      </c>
      <c r="N89" t="s">
        <v>27</v>
      </c>
      <c r="O89" t="s">
        <v>149</v>
      </c>
      <c r="P89" t="s">
        <v>379</v>
      </c>
      <c r="Q89" t="s">
        <v>58</v>
      </c>
      <c r="R89">
        <v>7</v>
      </c>
      <c r="S89" s="15">
        <v>3345.22</v>
      </c>
      <c r="T89" s="4">
        <v>0</v>
      </c>
      <c r="U89" s="3" t="str">
        <f>IF(T89&lt;0, "negative_discount", IF(AND(T89&gt;0.5, T89&lt;=1), "high_discount", ""))</f>
        <v/>
      </c>
      <c r="V89" s="11">
        <v>23416.54</v>
      </c>
      <c r="W89" s="12">
        <v>23416.54</v>
      </c>
      <c r="X89" s="11">
        <v>15490.89</v>
      </c>
      <c r="Y89" s="11">
        <v>7925.65</v>
      </c>
      <c r="Z89" s="11">
        <f>ROUND(W89-X89,2)</f>
        <v>7925.65</v>
      </c>
      <c r="AA89" s="4">
        <f>IF(W89=0,0,Z89/W89)</f>
        <v>0.33846375254414185</v>
      </c>
      <c r="AB89" t="s">
        <v>31</v>
      </c>
      <c r="AC89" t="s">
        <v>32</v>
      </c>
      <c r="AD89" t="str">
        <f>IF(AND(E89="", T89&gt;=0, T89&lt;=0.5, K89&lt;&gt;"Unknown", Q89&lt;&gt;"Unknown"), "CLEAN", _xlfn.CONCAT("WARNING: ", IF(E89&lt;&gt;"","invalid_date",""), IF(T89&lt;0,"negative_discount",""), IF(AND(T89&gt;0.5,T89&lt;=1),"high_discount",""), IF(K89="Unknown","missing_region",""), IF(Q89="Unknown","missing_ship_mode","")))</f>
        <v>CLEAN</v>
      </c>
      <c r="AE89" t="str">
        <f>IF(COUNTIF($AF$2:$AF$926,AF89)&gt;1,"DUPLICATE","UNIQUE")</f>
        <v>UNIQUE</v>
      </c>
      <c r="AF89" t="str">
        <f>A89&amp;"|"&amp;B89&amp;"|"&amp;H89&amp;"|"&amp;I89&amp;"|"&amp;R89&amp;"|"&amp;S89&amp;"|"&amp;V89</f>
        <v>ORD-2024-10088|2024-02-08|CUST-5829|Vikram Iyer|7|3345.22|23416.54</v>
      </c>
      <c r="AG89" t="str">
        <f>IF(COUNTIF($A$2:$A$913,A89)&gt;1,"TRUE","FALSE")</f>
        <v>FALSE</v>
      </c>
    </row>
    <row r="90" spans="1:33">
      <c r="A90" t="s">
        <v>380</v>
      </c>
      <c r="B90" t="s">
        <v>2051</v>
      </c>
      <c r="C90" t="s">
        <v>2906</v>
      </c>
      <c r="D90">
        <f>IF(OR(B90="", C90=""), "", (C90 - B90))</f>
        <v>3</v>
      </c>
      <c r="E90" t="str">
        <f>IF(C90&lt;B90, "INVALID: Ship date before order date", "")</f>
        <v/>
      </c>
      <c r="F90" t="str">
        <f>IF(B90="", "", TEXT(B90, "mmmm"))</f>
        <v>March</v>
      </c>
      <c r="G90">
        <f>IF(B90="", "", YEAR(B90))</f>
        <v>2024</v>
      </c>
      <c r="H90" t="s">
        <v>381</v>
      </c>
      <c r="I90" t="s">
        <v>139</v>
      </c>
      <c r="J90" t="s">
        <v>36</v>
      </c>
      <c r="K90" t="s">
        <v>62</v>
      </c>
      <c r="L90" t="s">
        <v>63</v>
      </c>
      <c r="M90" t="s">
        <v>64</v>
      </c>
      <c r="N90" t="s">
        <v>40</v>
      </c>
      <c r="O90" t="s">
        <v>153</v>
      </c>
      <c r="P90" t="s">
        <v>382</v>
      </c>
      <c r="Q90" t="s">
        <v>58</v>
      </c>
      <c r="R90">
        <v>2</v>
      </c>
      <c r="S90" s="15">
        <v>3284.75</v>
      </c>
      <c r="T90" s="4">
        <v>0.05</v>
      </c>
      <c r="U90" s="3" t="str">
        <f>IF(T90&lt;0, "negative_discount", IF(AND(T90&gt;0.5, T90&lt;=1), "high_discount", ""))</f>
        <v/>
      </c>
      <c r="V90" s="11">
        <v>6241.02</v>
      </c>
      <c r="W90" s="12">
        <v>6241.03</v>
      </c>
      <c r="X90" s="11">
        <v>5345.88</v>
      </c>
      <c r="Y90" s="11">
        <v>895.14</v>
      </c>
      <c r="Z90" s="11">
        <f>ROUND(W90-X90,2)</f>
        <v>895.15</v>
      </c>
      <c r="AA90" s="4">
        <f>IF(W90=0,0,Z90/W90)</f>
        <v>0.14342985052146842</v>
      </c>
      <c r="AB90" t="s">
        <v>31</v>
      </c>
      <c r="AC90" t="s">
        <v>32</v>
      </c>
      <c r="AD90" t="str">
        <f>IF(AND(E90="", T90&gt;=0, T90&lt;=0.5, K90&lt;&gt;"Unknown", Q90&lt;&gt;"Unknown"), "CLEAN", _xlfn.CONCAT("WARNING: ", IF(E90&lt;&gt;"","invalid_date",""), IF(T90&lt;0,"negative_discount",""), IF(AND(T90&gt;0.5,T90&lt;=1),"high_discount",""), IF(K90="Unknown","missing_region",""), IF(Q90="Unknown","missing_ship_mode","")))</f>
        <v>CLEAN</v>
      </c>
      <c r="AE90" t="str">
        <f>IF(COUNTIF($AF$2:$AF$926,AF90)&gt;1,"DUPLICATE","UNIQUE")</f>
        <v>UNIQUE</v>
      </c>
      <c r="AF90" t="str">
        <f>A90&amp;"|"&amp;B90&amp;"|"&amp;H90&amp;"|"&amp;I90&amp;"|"&amp;R90&amp;"|"&amp;S90&amp;"|"&amp;V90</f>
        <v>ORD-2024-10089|2024-03-24|CUST-6059|Rohan Mehta|2|3284.75|6241.02</v>
      </c>
      <c r="AG90" t="str">
        <f>IF(COUNTIF($A$2:$A$913,A90)&gt;1,"TRUE","FALSE")</f>
        <v>FALSE</v>
      </c>
    </row>
    <row r="91" spans="1:33">
      <c r="A91" t="s">
        <v>383</v>
      </c>
      <c r="B91" t="s">
        <v>2061</v>
      </c>
      <c r="C91" t="s">
        <v>2061</v>
      </c>
      <c r="D91">
        <f>IF(OR(B91="", C91=""), "", (C91 - B91))</f>
        <v>0</v>
      </c>
      <c r="E91" t="str">
        <f>IF(C91&lt;B91, "INVALID: Ship date before order date", "")</f>
        <v/>
      </c>
      <c r="F91" t="str">
        <f>IF(B91="", "", TEXT(B91, "mmmm"))</f>
        <v>September</v>
      </c>
      <c r="G91">
        <f>IF(B91="", "", YEAR(B91))</f>
        <v>2024</v>
      </c>
      <c r="H91" t="s">
        <v>384</v>
      </c>
      <c r="I91" t="s">
        <v>263</v>
      </c>
      <c r="J91" t="s">
        <v>23</v>
      </c>
      <c r="K91" t="s">
        <v>53</v>
      </c>
      <c r="L91" t="s">
        <v>83</v>
      </c>
      <c r="M91" t="s">
        <v>84</v>
      </c>
      <c r="N91" t="s">
        <v>40</v>
      </c>
      <c r="O91" t="s">
        <v>153</v>
      </c>
      <c r="P91" t="s">
        <v>385</v>
      </c>
      <c r="Q91" t="s">
        <v>58</v>
      </c>
      <c r="R91">
        <v>7</v>
      </c>
      <c r="S91" s="15">
        <v>3761.09</v>
      </c>
      <c r="T91" s="4">
        <v>0.2</v>
      </c>
      <c r="U91" s="3" t="str">
        <f>IF(T91&lt;0, "negative_discount", IF(AND(T91&gt;0.5, T91&lt;=1), "high_discount", ""))</f>
        <v/>
      </c>
      <c r="V91" s="11">
        <v>21062.1</v>
      </c>
      <c r="W91" s="12">
        <v>21062.1</v>
      </c>
      <c r="X91" s="11">
        <v>12057.13</v>
      </c>
      <c r="Y91" s="11">
        <v>9004.9699999999993</v>
      </c>
      <c r="Z91" s="11">
        <f>ROUND(W91-X91,2)</f>
        <v>9004.9699999999993</v>
      </c>
      <c r="AA91" s="4">
        <f>IF(W91=0,0,Z91/W91)</f>
        <v>0.42754378718171504</v>
      </c>
      <c r="AB91" t="s">
        <v>109</v>
      </c>
      <c r="AC91" t="s">
        <v>67</v>
      </c>
      <c r="AD91" t="str">
        <f>IF(AND(E91="", T91&gt;=0, T91&lt;=0.5, K91&lt;&gt;"Unknown", Q91&lt;&gt;"Unknown"), "CLEAN", _xlfn.CONCAT("WARNING: ", IF(E91&lt;&gt;"","invalid_date",""), IF(T91&lt;0,"negative_discount",""), IF(AND(T91&gt;0.5,T91&lt;=1),"high_discount",""), IF(K91="Unknown","missing_region",""), IF(Q91="Unknown","missing_ship_mode","")))</f>
        <v>CLEAN</v>
      </c>
      <c r="AE91" t="str">
        <f>IF(COUNTIF($AF$2:$AF$926,AF91)&gt;1,"DUPLICATE","UNIQUE")</f>
        <v>UNIQUE</v>
      </c>
      <c r="AF91" t="str">
        <f>A91&amp;"|"&amp;B91&amp;"|"&amp;H91&amp;"|"&amp;I91&amp;"|"&amp;R91&amp;"|"&amp;S91&amp;"|"&amp;V91</f>
        <v>ORD-2024-10090|2024-09-05|CUST-7744|Kabir Singh|7|3761.09|21062.1</v>
      </c>
      <c r="AG91" t="str">
        <f>IF(COUNTIF($A$2:$A$913,A91)&gt;1,"TRUE","FALSE")</f>
        <v>FALSE</v>
      </c>
    </row>
    <row r="92" spans="1:33" ht="16">
      <c r="A92" s="7" t="s">
        <v>3007</v>
      </c>
      <c r="B92" t="s">
        <v>519</v>
      </c>
      <c r="C92" t="s">
        <v>2674</v>
      </c>
      <c r="D92">
        <f>IF(OR(B92="", C92=""), "", (C92 - B92))</f>
        <v>5</v>
      </c>
      <c r="E92" t="str">
        <f>IF(C92&lt;B92, "INVALID: Ship date before order date", "")</f>
        <v/>
      </c>
      <c r="F92" t="str">
        <f>IF(B92="", "", TEXT(B92, "mmmm"))</f>
        <v>August</v>
      </c>
      <c r="G92">
        <f>IF(B92="", "", YEAR(B92))</f>
        <v>2025</v>
      </c>
      <c r="H92" t="s">
        <v>386</v>
      </c>
      <c r="I92" t="s">
        <v>126</v>
      </c>
      <c r="J92" t="s">
        <v>36</v>
      </c>
      <c r="K92" t="s">
        <v>37</v>
      </c>
      <c r="L92" t="s">
        <v>142</v>
      </c>
      <c r="M92" t="s">
        <v>143</v>
      </c>
      <c r="N92" t="s">
        <v>74</v>
      </c>
      <c r="O92" t="s">
        <v>79</v>
      </c>
      <c r="P92" t="s">
        <v>387</v>
      </c>
      <c r="Q92" t="s">
        <v>49</v>
      </c>
      <c r="R92">
        <v>3</v>
      </c>
      <c r="S92" s="15">
        <v>3703.96</v>
      </c>
      <c r="T92" s="4">
        <v>0.15</v>
      </c>
      <c r="U92" s="3" t="str">
        <f>IF(T92&lt;0, "negative_discount", IF(AND(T92&gt;0.5, T92&lt;=1), "high_discount", ""))</f>
        <v/>
      </c>
      <c r="V92" s="11">
        <v>9445.1</v>
      </c>
      <c r="W92" s="12">
        <v>9445.1</v>
      </c>
      <c r="X92" s="11">
        <v>5586.28</v>
      </c>
      <c r="Y92" s="11">
        <v>3858.82</v>
      </c>
      <c r="Z92" s="11">
        <f>ROUND(W92-X92,2)</f>
        <v>3858.82</v>
      </c>
      <c r="AA92" s="4">
        <f>IF(W92=0,0,Z92/W92)</f>
        <v>0.40855258282072188</v>
      </c>
      <c r="AB92" t="s">
        <v>31</v>
      </c>
      <c r="AC92" t="s">
        <v>32</v>
      </c>
      <c r="AD92" t="str">
        <f>IF(AND(E92="", T92&gt;=0, T92&lt;=0.5, K92&lt;&gt;"Unknown", Q92&lt;&gt;"Unknown"), "CLEAN", _xlfn.CONCAT("WARNING: ", IF(E92&lt;&gt;"","invalid_date",""), IF(T92&lt;0,"negative_discount",""), IF(AND(T92&gt;0.5,T92&lt;=1),"high_discount",""), IF(K92="Unknown","missing_region",""), IF(Q92="Unknown","missing_ship_mode","")))</f>
        <v>CLEAN</v>
      </c>
      <c r="AE92" t="str">
        <f>IF(COUNTIF($AF$2:$AF$926,AF92)&gt;1,"DUPLICATE","UNIQUE")</f>
        <v>UNIQUE</v>
      </c>
      <c r="AF92" t="str">
        <f>A92&amp;"|"&amp;B92&amp;"|"&amp;H92&amp;"|"&amp;I92&amp;"|"&amp;R92&amp;"|"&amp;S92&amp;"|"&amp;V92</f>
        <v>ORD-2025-10091|2025-08-24|CUST-5909|Aarav Sharma|3|3703.96|9445.1</v>
      </c>
      <c r="AG92" t="str">
        <f>IF(COUNTIF($A$2:$A$913,A92)&gt;1,"TRUE","FALSE")</f>
        <v>TRUE</v>
      </c>
    </row>
    <row r="93" spans="1:33">
      <c r="A93" t="s">
        <v>3008</v>
      </c>
      <c r="B93" t="s">
        <v>2696</v>
      </c>
      <c r="C93" t="s">
        <v>2576</v>
      </c>
      <c r="D93">
        <f>IF(OR(B93="", C93=""), "", (C93 - B93))</f>
        <v>33</v>
      </c>
      <c r="E93" t="str">
        <f>IF(C93&lt;B93, "INVALID: Ship date before order date", "")</f>
        <v/>
      </c>
      <c r="F93" t="str">
        <f>IF(B93="", "", TEXT(B93, "mmmm"))</f>
        <v>February</v>
      </c>
      <c r="G93">
        <f>IF(B93="", "", YEAR(B93))</f>
        <v>2025</v>
      </c>
      <c r="H93" t="s">
        <v>388</v>
      </c>
      <c r="I93" t="s">
        <v>131</v>
      </c>
      <c r="J93" t="s">
        <v>89</v>
      </c>
      <c r="K93" t="s">
        <v>62</v>
      </c>
      <c r="L93" t="s">
        <v>72</v>
      </c>
      <c r="M93" t="s">
        <v>73</v>
      </c>
      <c r="N93" t="s">
        <v>74</v>
      </c>
      <c r="O93" t="s">
        <v>79</v>
      </c>
      <c r="P93" t="s">
        <v>389</v>
      </c>
      <c r="Q93" t="s">
        <v>30</v>
      </c>
      <c r="R93">
        <v>9</v>
      </c>
      <c r="S93" s="15">
        <v>269.68</v>
      </c>
      <c r="T93" s="4">
        <v>0</v>
      </c>
      <c r="U93" s="3" t="str">
        <f>IF(T93&lt;0, "negative_discount", IF(AND(T93&gt;0.5, T93&lt;=1), "high_discount", ""))</f>
        <v/>
      </c>
      <c r="V93" s="11">
        <v>2427.12</v>
      </c>
      <c r="W93" s="12">
        <v>2427.12</v>
      </c>
      <c r="X93" s="11">
        <v>1538.35</v>
      </c>
      <c r="Y93" s="11">
        <v>804.53</v>
      </c>
      <c r="Z93" s="11">
        <f>ROUND(W93-X93,2)</f>
        <v>888.77</v>
      </c>
      <c r="AA93" s="4">
        <f>IF(W93=0,0,Z93/W93)</f>
        <v>0.36618296581957216</v>
      </c>
      <c r="AB93" t="s">
        <v>31</v>
      </c>
      <c r="AC93" t="s">
        <v>32</v>
      </c>
      <c r="AD93" t="str">
        <f>IF(AND(E93="", T93&gt;=0, T93&lt;=0.5, K93&lt;&gt;"Unknown", Q93&lt;&gt;"Unknown"), "CLEAN", _xlfn.CONCAT("WARNING: ", IF(E93&lt;&gt;"","invalid_date",""), IF(T93&lt;0,"negative_discount",""), IF(AND(T93&gt;0.5,T93&lt;=1),"high_discount",""), IF(K93="Unknown","missing_region",""), IF(Q93="Unknown","missing_ship_mode","")))</f>
        <v>CLEAN</v>
      </c>
      <c r="AE93" t="str">
        <f>IF(COUNTIF($AF$2:$AF$926,AF93)&gt;1,"DUPLICATE","UNIQUE")</f>
        <v>UNIQUE</v>
      </c>
      <c r="AF93" t="str">
        <f>A93&amp;"|"&amp;B93&amp;"|"&amp;H93&amp;"|"&amp;I93&amp;"|"&amp;R93&amp;"|"&amp;S93&amp;"|"&amp;V93</f>
        <v>ORD-2025-10092|2025-02-03|CUST-6409|Sneha Kapoor|9|269.68|2427.12</v>
      </c>
      <c r="AG93" t="str">
        <f>IF(COUNTIF($A$2:$A$913,A93)&gt;1,"TRUE","FALSE")</f>
        <v>FALSE</v>
      </c>
    </row>
    <row r="94" spans="1:33">
      <c r="A94" t="s">
        <v>3009</v>
      </c>
      <c r="B94" t="s">
        <v>2701</v>
      </c>
      <c r="C94" t="s">
        <v>985</v>
      </c>
      <c r="D94">
        <f>IF(OR(B94="", C94=""), "", (C94 - B94))</f>
        <v>3</v>
      </c>
      <c r="E94" t="str">
        <f>IF(C94&lt;B94, "INVALID: Ship date before order date", "")</f>
        <v/>
      </c>
      <c r="F94" t="str">
        <f>IF(B94="", "", TEXT(B94, "mmmm"))</f>
        <v>January</v>
      </c>
      <c r="G94">
        <f>IF(B94="", "", YEAR(B94))</f>
        <v>2025</v>
      </c>
      <c r="H94" t="s">
        <v>390</v>
      </c>
      <c r="I94" t="s">
        <v>126</v>
      </c>
      <c r="J94" t="s">
        <v>23</v>
      </c>
      <c r="K94" t="s">
        <v>62</v>
      </c>
      <c r="L94" t="s">
        <v>72</v>
      </c>
      <c r="M94" t="s">
        <v>73</v>
      </c>
      <c r="N94" t="s">
        <v>27</v>
      </c>
      <c r="O94" t="s">
        <v>28</v>
      </c>
      <c r="P94" t="s">
        <v>391</v>
      </c>
      <c r="Q94" t="s">
        <v>58</v>
      </c>
      <c r="R94">
        <v>9</v>
      </c>
      <c r="S94" s="15">
        <v>4458.26</v>
      </c>
      <c r="T94" s="4">
        <v>0.1</v>
      </c>
      <c r="U94" s="3" t="str">
        <f>IF(T94&lt;0, "negative_discount", IF(AND(T94&gt;0.5, T94&lt;=1), "high_discount", ""))</f>
        <v/>
      </c>
      <c r="V94" s="11">
        <v>36111.910000000003</v>
      </c>
      <c r="W94" s="12">
        <v>36111.910000000003</v>
      </c>
      <c r="X94" s="11">
        <v>29194.5</v>
      </c>
      <c r="Y94" s="11">
        <v>6917.41</v>
      </c>
      <c r="Z94" s="11">
        <f>ROUND(W94-X94,2)</f>
        <v>6917.41</v>
      </c>
      <c r="AA94" s="4">
        <f>IF(W94=0,0,Z94/W94)</f>
        <v>0.19155480837208552</v>
      </c>
      <c r="AB94" t="s">
        <v>31</v>
      </c>
      <c r="AC94" t="s">
        <v>32</v>
      </c>
      <c r="AD94" t="str">
        <f>IF(AND(E94="", T94&gt;=0, T94&lt;=0.5, K94&lt;&gt;"Unknown", Q94&lt;&gt;"Unknown"), "CLEAN", _xlfn.CONCAT("WARNING: ", IF(E94&lt;&gt;"","invalid_date",""), IF(T94&lt;0,"negative_discount",""), IF(AND(T94&gt;0.5,T94&lt;=1),"high_discount",""), IF(K94="Unknown","missing_region",""), IF(Q94="Unknown","missing_ship_mode","")))</f>
        <v>CLEAN</v>
      </c>
      <c r="AE94" t="str">
        <f>IF(COUNTIF($AF$2:$AF$926,AF94)&gt;1,"DUPLICATE","UNIQUE")</f>
        <v>UNIQUE</v>
      </c>
      <c r="AF94" t="str">
        <f>A94&amp;"|"&amp;B94&amp;"|"&amp;H94&amp;"|"&amp;I94&amp;"|"&amp;R94&amp;"|"&amp;S94&amp;"|"&amp;V94</f>
        <v>ORD-2025-10093|2025-01-23|CUST-3014|Aarav Sharma|9|4458.26|36111.91</v>
      </c>
      <c r="AG94" t="str">
        <f>IF(COUNTIF($A$2:$A$913,A94)&gt;1,"TRUE","FALSE")</f>
        <v>FALSE</v>
      </c>
    </row>
    <row r="95" spans="1:33">
      <c r="A95" t="s">
        <v>392</v>
      </c>
      <c r="B95" t="s">
        <v>2677</v>
      </c>
      <c r="C95" t="s">
        <v>2907</v>
      </c>
      <c r="D95">
        <f>IF(OR(B95="", C95=""), "", (C95 - B95))</f>
        <v>6</v>
      </c>
      <c r="E95" t="str">
        <f>IF(C95&lt;B95, "INVALID: Ship date before order date", "")</f>
        <v/>
      </c>
      <c r="F95" t="str">
        <f>IF(B95="", "", TEXT(B95, "mmmm"))</f>
        <v>January</v>
      </c>
      <c r="G95">
        <f>IF(B95="", "", YEAR(B95))</f>
        <v>2024</v>
      </c>
      <c r="H95" t="s">
        <v>393</v>
      </c>
      <c r="I95" t="s">
        <v>139</v>
      </c>
      <c r="J95" t="s">
        <v>89</v>
      </c>
      <c r="K95" t="s">
        <v>24</v>
      </c>
      <c r="L95" t="s">
        <v>134</v>
      </c>
      <c r="M95" t="s">
        <v>135</v>
      </c>
      <c r="N95" t="s">
        <v>27</v>
      </c>
      <c r="O95" t="s">
        <v>149</v>
      </c>
      <c r="P95" t="s">
        <v>394</v>
      </c>
      <c r="Q95" t="s">
        <v>58</v>
      </c>
      <c r="R95">
        <v>7</v>
      </c>
      <c r="S95" s="15">
        <v>2788.97</v>
      </c>
      <c r="T95" s="4">
        <v>-0.09</v>
      </c>
      <c r="U95" s="3" t="str">
        <f>IF(T95&lt;0, "negative_discount", IF(AND(T95&gt;0.5, T95&lt;=1), "high_discount", ""))</f>
        <v>negative_discount</v>
      </c>
      <c r="V95" s="11">
        <v>19522.79</v>
      </c>
      <c r="W95" s="12">
        <v>21279.84</v>
      </c>
      <c r="X95" s="11">
        <v>12455.78</v>
      </c>
      <c r="Y95" s="11">
        <v>7067.01</v>
      </c>
      <c r="Z95" s="11">
        <f>ROUND(W95-X95,2)</f>
        <v>8824.06</v>
      </c>
      <c r="AA95" s="4">
        <f>IF(W95=0,0,Z95/W95)</f>
        <v>0.41466759148565024</v>
      </c>
      <c r="AB95" t="s">
        <v>31</v>
      </c>
      <c r="AC95" t="s">
        <v>32</v>
      </c>
      <c r="AD95" t="str">
        <f>IF(AND(E95="", T95&gt;=0, T95&lt;=0.5, K95&lt;&gt;"Unknown", Q95&lt;&gt;"Unknown"), "CLEAN", _xlfn.CONCAT("WARNING: ", IF(E95&lt;&gt;"","invalid_date",""), IF(T95&lt;0,"negative_discount",""), IF(AND(T95&gt;0.5,T95&lt;=1),"high_discount",""), IF(K95="Unknown","missing_region",""), IF(Q95="Unknown","missing_ship_mode","")))</f>
        <v>WARNING: negative_discount</v>
      </c>
      <c r="AE95" t="str">
        <f>IF(COUNTIF($AF$2:$AF$926,AF95)&gt;1,"DUPLICATE","UNIQUE")</f>
        <v>UNIQUE</v>
      </c>
      <c r="AF95" t="str">
        <f>A95&amp;"|"&amp;B95&amp;"|"&amp;H95&amp;"|"&amp;I95&amp;"|"&amp;R95&amp;"|"&amp;S95&amp;"|"&amp;V95</f>
        <v>ORD-2024-10094|2024-01-07|CUST-6106|Rohan Mehta|7|2788.97|19522.79</v>
      </c>
      <c r="AG95" t="str">
        <f>IF(COUNTIF($A$2:$A$913,A95)&gt;1,"TRUE","FALSE")</f>
        <v>FALSE</v>
      </c>
    </row>
    <row r="96" spans="1:33">
      <c r="A96" t="s">
        <v>395</v>
      </c>
      <c r="B96" t="s">
        <v>2702</v>
      </c>
      <c r="C96" t="s">
        <v>587</v>
      </c>
      <c r="D96">
        <f>IF(OR(B96="", C96=""), "", (C96 - B96))</f>
        <v>3</v>
      </c>
      <c r="E96" t="str">
        <f>IF(C96&lt;B96, "INVALID: Ship date before order date", "")</f>
        <v/>
      </c>
      <c r="F96" t="str">
        <f>IF(B96="", "", TEXT(B96, "mmmm"))</f>
        <v>September</v>
      </c>
      <c r="G96">
        <f>IF(B96="", "", YEAR(B96))</f>
        <v>2024</v>
      </c>
      <c r="H96" t="s">
        <v>396</v>
      </c>
      <c r="I96" t="s">
        <v>158</v>
      </c>
      <c r="J96" t="s">
        <v>23</v>
      </c>
      <c r="K96" t="s">
        <v>24</v>
      </c>
      <c r="L96" t="s">
        <v>234</v>
      </c>
      <c r="M96" t="s">
        <v>235</v>
      </c>
      <c r="N96" t="s">
        <v>74</v>
      </c>
      <c r="O96" t="s">
        <v>168</v>
      </c>
      <c r="P96" t="s">
        <v>397</v>
      </c>
      <c r="Q96" t="s">
        <v>30</v>
      </c>
      <c r="R96">
        <v>7</v>
      </c>
      <c r="S96" s="15">
        <v>3781.53</v>
      </c>
      <c r="T96" s="4">
        <v>0</v>
      </c>
      <c r="U96" s="3" t="str">
        <f>IF(T96&lt;0, "negative_discount", IF(AND(T96&gt;0.5, T96&lt;=1), "high_discount", ""))</f>
        <v/>
      </c>
      <c r="V96" s="11">
        <v>26470.71</v>
      </c>
      <c r="W96" s="12">
        <v>26470.71</v>
      </c>
      <c r="X96" s="11">
        <v>21367.599999999999</v>
      </c>
      <c r="Y96" s="11">
        <v>5103.1099999999997</v>
      </c>
      <c r="Z96" s="11">
        <f>ROUND(W96-X96,2)</f>
        <v>5103.1099999999997</v>
      </c>
      <c r="AA96" s="4">
        <f>IF(W96=0,0,Z96/W96)</f>
        <v>0.19278326875251928</v>
      </c>
      <c r="AB96" t="s">
        <v>109</v>
      </c>
      <c r="AC96" t="s">
        <v>67</v>
      </c>
      <c r="AD96" t="str">
        <f>IF(AND(E96="", T96&gt;=0, T96&lt;=0.5, K96&lt;&gt;"Unknown", Q96&lt;&gt;"Unknown"), "CLEAN", _xlfn.CONCAT("WARNING: ", IF(E96&lt;&gt;"","invalid_date",""), IF(T96&lt;0,"negative_discount",""), IF(AND(T96&gt;0.5,T96&lt;=1),"high_discount",""), IF(K96="Unknown","missing_region",""), IF(Q96="Unknown","missing_ship_mode","")))</f>
        <v>CLEAN</v>
      </c>
      <c r="AE96" t="str">
        <f>IF(COUNTIF($AF$2:$AF$926,AF96)&gt;1,"DUPLICATE","UNIQUE")</f>
        <v>UNIQUE</v>
      </c>
      <c r="AF96" t="str">
        <f>A96&amp;"|"&amp;B96&amp;"|"&amp;H96&amp;"|"&amp;I96&amp;"|"&amp;R96&amp;"|"&amp;S96&amp;"|"&amp;V96</f>
        <v>ORD-2024-10095|2024-09-06|CUST-1926|Diya Patel|7|3781.53|26470.71</v>
      </c>
      <c r="AG96" t="str">
        <f>IF(COUNTIF($A$2:$A$913,A96)&gt;1,"TRUE","FALSE")</f>
        <v>FALSE</v>
      </c>
    </row>
    <row r="97" spans="1:33">
      <c r="A97" t="s">
        <v>3010</v>
      </c>
      <c r="B97" t="s">
        <v>2703</v>
      </c>
      <c r="C97" t="s">
        <v>1780</v>
      </c>
      <c r="D97">
        <f>IF(OR(B97="", C97=""), "", (C97 - B97))</f>
        <v>124</v>
      </c>
      <c r="E97" t="str">
        <f>IF(C97&lt;B97, "INVALID: Ship date before order date", "")</f>
        <v/>
      </c>
      <c r="F97" t="str">
        <f>IF(B97="", "", TEXT(B97, "mmmm"))</f>
        <v>May</v>
      </c>
      <c r="G97">
        <f>IF(B97="", "", YEAR(B97))</f>
        <v>2025</v>
      </c>
      <c r="H97" t="s">
        <v>398</v>
      </c>
      <c r="I97" t="s">
        <v>131</v>
      </c>
      <c r="J97" t="s">
        <v>89</v>
      </c>
      <c r="K97" t="s">
        <v>62</v>
      </c>
      <c r="L97" t="s">
        <v>185</v>
      </c>
      <c r="M97" t="s">
        <v>186</v>
      </c>
      <c r="N97" t="s">
        <v>40</v>
      </c>
      <c r="O97" t="s">
        <v>153</v>
      </c>
      <c r="P97" t="s">
        <v>399</v>
      </c>
      <c r="Q97" t="s">
        <v>43</v>
      </c>
      <c r="R97">
        <v>6</v>
      </c>
      <c r="S97" s="15">
        <v>1754.13</v>
      </c>
      <c r="T97" s="4">
        <v>0</v>
      </c>
      <c r="U97" s="3" t="str">
        <f>IF(T97&lt;0, "negative_discount", IF(AND(T97&gt;0.5, T97&lt;=1), "high_discount", ""))</f>
        <v/>
      </c>
      <c r="V97" s="11">
        <v>10524.78</v>
      </c>
      <c r="W97" s="12">
        <v>10524.78</v>
      </c>
      <c r="X97" s="11">
        <v>8841.0499999999993</v>
      </c>
      <c r="Y97" s="11">
        <v>1683.73</v>
      </c>
      <c r="Z97" s="11">
        <f>ROUND(W97-X97,2)</f>
        <v>1683.73</v>
      </c>
      <c r="AA97" s="4">
        <f>IF(W97=0,0,Z97/W97)</f>
        <v>0.1599776907450797</v>
      </c>
      <c r="AB97" t="s">
        <v>31</v>
      </c>
      <c r="AC97" t="s">
        <v>32</v>
      </c>
      <c r="AD97" t="str">
        <f>IF(AND(E97="", T97&gt;=0, T97&lt;=0.5, K97&lt;&gt;"Unknown", Q97&lt;&gt;"Unknown"), "CLEAN", _xlfn.CONCAT("WARNING: ", IF(E97&lt;&gt;"","invalid_date",""), IF(T97&lt;0,"negative_discount",""), IF(AND(T97&gt;0.5,T97&lt;=1),"high_discount",""), IF(K97="Unknown","missing_region",""), IF(Q97="Unknown","missing_ship_mode","")))</f>
        <v>CLEAN</v>
      </c>
      <c r="AE97" t="str">
        <f>IF(COUNTIF($AF$2:$AF$926,AF97)&gt;1,"DUPLICATE","UNIQUE")</f>
        <v>UNIQUE</v>
      </c>
      <c r="AF97" t="str">
        <f>A97&amp;"|"&amp;B97&amp;"|"&amp;H97&amp;"|"&amp;I97&amp;"|"&amp;R97&amp;"|"&amp;S97&amp;"|"&amp;V97</f>
        <v>ORD-2025-10096|2025-05-09|CUST-2687|Sneha Kapoor|6|1754.13|10524.78</v>
      </c>
      <c r="AG97" t="str">
        <f>IF(COUNTIF($A$2:$A$913,A97)&gt;1,"TRUE","FALSE")</f>
        <v>FALSE</v>
      </c>
    </row>
    <row r="98" spans="1:33">
      <c r="A98" t="s">
        <v>400</v>
      </c>
      <c r="B98" t="s">
        <v>2704</v>
      </c>
      <c r="C98" t="s">
        <v>2718</v>
      </c>
      <c r="D98">
        <f>IF(OR(B98="", C98=""), "", (C98 - B98))</f>
        <v>31</v>
      </c>
      <c r="E98" t="str">
        <f>IF(C98&lt;B98, "INVALID: Ship date before order date", "")</f>
        <v/>
      </c>
      <c r="F98" t="str">
        <f>IF(B98="", "", TEXT(B98, "mmmm"))</f>
        <v>June</v>
      </c>
      <c r="G98">
        <f>IF(B98="", "", YEAR(B98))</f>
        <v>2024</v>
      </c>
      <c r="H98" t="s">
        <v>401</v>
      </c>
      <c r="I98" t="s">
        <v>116</v>
      </c>
      <c r="J98" t="s">
        <v>93</v>
      </c>
      <c r="K98" t="s">
        <v>37</v>
      </c>
      <c r="L98" t="s">
        <v>38</v>
      </c>
      <c r="M98" t="s">
        <v>39</v>
      </c>
      <c r="N98" t="s">
        <v>74</v>
      </c>
      <c r="O98" t="s">
        <v>79</v>
      </c>
      <c r="P98" t="s">
        <v>402</v>
      </c>
      <c r="Q98" t="s">
        <v>30</v>
      </c>
      <c r="R98">
        <v>2</v>
      </c>
      <c r="S98" s="15">
        <v>2259.2399999999998</v>
      </c>
      <c r="T98" s="4">
        <v>0.15</v>
      </c>
      <c r="U98" s="3" t="str">
        <f>IF(T98&lt;0, "negative_discount", IF(AND(T98&gt;0.5, T98&lt;=1), "high_discount", ""))</f>
        <v/>
      </c>
      <c r="V98" s="11">
        <v>3840.71</v>
      </c>
      <c r="W98" s="12">
        <v>3840.71</v>
      </c>
      <c r="X98" s="11">
        <v>2516.29</v>
      </c>
      <c r="Y98" s="11">
        <v>1324.42</v>
      </c>
      <c r="Z98" s="11">
        <f>ROUND(W98-X98,2)</f>
        <v>1324.42</v>
      </c>
      <c r="AA98" s="4">
        <f>IF(W98=0,0,Z98/W98)</f>
        <v>0.34483728268991931</v>
      </c>
      <c r="AB98" t="s">
        <v>31</v>
      </c>
      <c r="AC98" t="s">
        <v>32</v>
      </c>
      <c r="AD98" t="str">
        <f>IF(AND(E98="", T98&gt;=0, T98&lt;=0.5, K98&lt;&gt;"Unknown", Q98&lt;&gt;"Unknown"), "CLEAN", _xlfn.CONCAT("WARNING: ", IF(E98&lt;&gt;"","invalid_date",""), IF(T98&lt;0,"negative_discount",""), IF(AND(T98&gt;0.5,T98&lt;=1),"high_discount",""), IF(K98="Unknown","missing_region",""), IF(Q98="Unknown","missing_ship_mode","")))</f>
        <v>CLEAN</v>
      </c>
      <c r="AE98" t="str">
        <f>IF(COUNTIF($AF$2:$AF$926,AF98)&gt;1,"DUPLICATE","UNIQUE")</f>
        <v>UNIQUE</v>
      </c>
      <c r="AF98" t="str">
        <f>A98&amp;"|"&amp;B98&amp;"|"&amp;H98&amp;"|"&amp;I98&amp;"|"&amp;R98&amp;"|"&amp;S98&amp;"|"&amp;V98</f>
        <v>ORD-2024-10097|2024-06-05|CUST-7283|Rahul Verma|2|2259.24|3840.71</v>
      </c>
      <c r="AG98" t="str">
        <f>IF(COUNTIF($A$2:$A$913,A98)&gt;1,"TRUE","FALSE")</f>
        <v>FALSE</v>
      </c>
    </row>
    <row r="99" spans="1:33">
      <c r="A99" t="s">
        <v>3011</v>
      </c>
      <c r="B99" t="s">
        <v>2705</v>
      </c>
      <c r="C99" t="s">
        <v>403</v>
      </c>
      <c r="D99">
        <f>IF(OR(B99="", C99=""), "", (C99 - B99))</f>
        <v>3</v>
      </c>
      <c r="E99" t="str">
        <f>IF(C99&lt;B99, "INVALID: Ship date before order date", "")</f>
        <v/>
      </c>
      <c r="F99" t="str">
        <f>IF(B99="", "", TEXT(B99, "mmmm"))</f>
        <v>August</v>
      </c>
      <c r="G99">
        <f>IF(B99="", "", YEAR(B99))</f>
        <v>2025</v>
      </c>
      <c r="H99" t="s">
        <v>404</v>
      </c>
      <c r="I99" t="s">
        <v>158</v>
      </c>
      <c r="J99" t="s">
        <v>36</v>
      </c>
      <c r="K99" t="s">
        <v>62</v>
      </c>
      <c r="L99" t="s">
        <v>176</v>
      </c>
      <c r="M99" t="s">
        <v>177</v>
      </c>
      <c r="N99" t="s">
        <v>27</v>
      </c>
      <c r="O99" t="s">
        <v>122</v>
      </c>
      <c r="P99" t="s">
        <v>405</v>
      </c>
      <c r="Q99" t="s">
        <v>43</v>
      </c>
      <c r="R99">
        <v>5</v>
      </c>
      <c r="S99" s="15">
        <v>3602.36</v>
      </c>
      <c r="T99" s="4">
        <v>0.2</v>
      </c>
      <c r="U99" s="3" t="str">
        <f>IF(T99&lt;0, "negative_discount", IF(AND(T99&gt;0.5, T99&lt;=1), "high_discount", ""))</f>
        <v/>
      </c>
      <c r="V99" s="11">
        <v>14409.44</v>
      </c>
      <c r="W99" s="12">
        <v>14409.44</v>
      </c>
      <c r="X99" s="11">
        <v>8809.9699999999993</v>
      </c>
      <c r="Y99" s="11">
        <v>5599.47</v>
      </c>
      <c r="Z99" s="11">
        <f>ROUND(W99-X99,2)</f>
        <v>5599.47</v>
      </c>
      <c r="AA99" s="4">
        <f>IF(W99=0,0,Z99/W99)</f>
        <v>0.3885973361907194</v>
      </c>
      <c r="AB99" t="s">
        <v>109</v>
      </c>
      <c r="AC99" t="s">
        <v>100</v>
      </c>
      <c r="AD99" t="str">
        <f>IF(AND(E99="", T99&gt;=0, T99&lt;=0.5, K99&lt;&gt;"Unknown", Q99&lt;&gt;"Unknown"), "CLEAN", _xlfn.CONCAT("WARNING: ", IF(E99&lt;&gt;"","invalid_date",""), IF(T99&lt;0,"negative_discount",""), IF(AND(T99&gt;0.5,T99&lt;=1),"high_discount",""), IF(K99="Unknown","missing_region",""), IF(Q99="Unknown","missing_ship_mode","")))</f>
        <v>CLEAN</v>
      </c>
      <c r="AE99" t="str">
        <f>IF(COUNTIF($AF$2:$AF$926,AF99)&gt;1,"DUPLICATE","UNIQUE")</f>
        <v>UNIQUE</v>
      </c>
      <c r="AF99" t="str">
        <f>A99&amp;"|"&amp;B99&amp;"|"&amp;H99&amp;"|"&amp;I99&amp;"|"&amp;R99&amp;"|"&amp;S99&amp;"|"&amp;V99</f>
        <v>ORD-2025-10098|2025-08-08|CUST-8111|Diya Patel|5|3602.36|14409.44</v>
      </c>
      <c r="AG99" t="str">
        <f>IF(COUNTIF($A$2:$A$913,A99)&gt;1,"TRUE","FALSE")</f>
        <v>FALSE</v>
      </c>
    </row>
    <row r="100" spans="1:33">
      <c r="A100" t="s">
        <v>406</v>
      </c>
      <c r="B100" t="s">
        <v>407</v>
      </c>
      <c r="C100" t="s">
        <v>1931</v>
      </c>
      <c r="D100">
        <f>IF(OR(B100="", C100=""), "", (C100 - B100))</f>
        <v>6</v>
      </c>
      <c r="E100" t="str">
        <f>IF(C100&lt;B100, "INVALID: Ship date before order date", "")</f>
        <v/>
      </c>
      <c r="F100" t="str">
        <f>IF(B100="", "", TEXT(B100, "mmmm"))</f>
        <v>January</v>
      </c>
      <c r="G100">
        <f>IF(B100="", "", YEAR(B100))</f>
        <v>2024</v>
      </c>
      <c r="H100" t="s">
        <v>408</v>
      </c>
      <c r="I100" t="s">
        <v>139</v>
      </c>
      <c r="J100" t="s">
        <v>93</v>
      </c>
      <c r="K100" t="s">
        <v>53</v>
      </c>
      <c r="L100" t="s">
        <v>180</v>
      </c>
      <c r="M100" t="s">
        <v>181</v>
      </c>
      <c r="N100" t="s">
        <v>74</v>
      </c>
      <c r="O100" t="s">
        <v>79</v>
      </c>
      <c r="P100" t="s">
        <v>409</v>
      </c>
      <c r="Q100" t="s">
        <v>2970</v>
      </c>
      <c r="R100">
        <v>8</v>
      </c>
      <c r="S100" s="15">
        <v>2108.9299999999998</v>
      </c>
      <c r="T100" s="4">
        <v>0.1</v>
      </c>
      <c r="U100" s="3" t="str">
        <f>IF(T100&lt;0, "negative_discount", IF(AND(T100&gt;0.5, T100&lt;=1), "high_discount", ""))</f>
        <v/>
      </c>
      <c r="V100" s="11">
        <v>15184.3</v>
      </c>
      <c r="W100" s="12">
        <v>15184.3</v>
      </c>
      <c r="X100" s="11">
        <v>11270.74</v>
      </c>
      <c r="Y100" s="11">
        <v>3913.56</v>
      </c>
      <c r="Z100" s="11">
        <f>ROUND(W100-X100,2)</f>
        <v>3913.56</v>
      </c>
      <c r="AA100" s="4">
        <f>IF(W100=0,0,Z100/W100)</f>
        <v>0.25773726809928676</v>
      </c>
      <c r="AB100" t="s">
        <v>31</v>
      </c>
      <c r="AC100" t="s">
        <v>32</v>
      </c>
      <c r="AD100" t="str">
        <f>IF(AND(E100="", T100&gt;=0, T100&lt;=0.5, K100&lt;&gt;"Unknown", Q100&lt;&gt;"Unknown"), "CLEAN", _xlfn.CONCAT("WARNING: ", IF(E100&lt;&gt;"","invalid_date",""), IF(T100&lt;0,"negative_discount",""), IF(AND(T100&gt;0.5,T100&lt;=1),"high_discount",""), IF(K100="Unknown","missing_region",""), IF(Q100="Unknown","missing_ship_mode","")))</f>
        <v>WARNING: missing_ship_mode</v>
      </c>
      <c r="AE100" t="str">
        <f>IF(COUNTIF($AF$2:$AF$926,AF100)&gt;1,"DUPLICATE","UNIQUE")</f>
        <v>UNIQUE</v>
      </c>
      <c r="AF100" t="str">
        <f>A100&amp;"|"&amp;B100&amp;"|"&amp;H100&amp;"|"&amp;I100&amp;"|"&amp;R100&amp;"|"&amp;S100&amp;"|"&amp;V100</f>
        <v>ORD-2024-10099|2024-01-26|CUST-5434|Rohan Mehta|8|2108.93|15184.3</v>
      </c>
      <c r="AG100" t="str">
        <f>IF(COUNTIF($A$2:$A$913,A100)&gt;1,"TRUE","FALSE")</f>
        <v>FALSE</v>
      </c>
    </row>
    <row r="101" spans="1:33">
      <c r="A101" t="s">
        <v>3012</v>
      </c>
      <c r="B101" t="s">
        <v>2706</v>
      </c>
      <c r="C101" t="s">
        <v>2706</v>
      </c>
      <c r="D101">
        <f>IF(OR(B101="", C101=""), "", (C101 - B101))</f>
        <v>0</v>
      </c>
      <c r="E101" t="str">
        <f>IF(C101&lt;B101, "INVALID: Ship date before order date", "")</f>
        <v/>
      </c>
      <c r="F101" t="str">
        <f>IF(B101="", "", TEXT(B101, "mmmm"))</f>
        <v>November</v>
      </c>
      <c r="G101">
        <f>IF(B101="", "", YEAR(B101))</f>
        <v>2025</v>
      </c>
      <c r="H101" t="s">
        <v>410</v>
      </c>
      <c r="I101" t="s">
        <v>88</v>
      </c>
      <c r="J101" t="s">
        <v>36</v>
      </c>
      <c r="K101" t="s">
        <v>62</v>
      </c>
      <c r="L101" t="s">
        <v>25</v>
      </c>
      <c r="M101" t="s">
        <v>107</v>
      </c>
      <c r="N101" t="s">
        <v>74</v>
      </c>
      <c r="O101" t="s">
        <v>75</v>
      </c>
      <c r="P101" t="s">
        <v>411</v>
      </c>
      <c r="Q101" t="s">
        <v>43</v>
      </c>
      <c r="R101">
        <v>3</v>
      </c>
      <c r="S101" s="15">
        <v>2165.29</v>
      </c>
      <c r="T101" s="4">
        <v>0</v>
      </c>
      <c r="U101" s="3" t="str">
        <f>IF(T101&lt;0, "negative_discount", IF(AND(T101&gt;0.5, T101&lt;=1), "high_discount", ""))</f>
        <v/>
      </c>
      <c r="V101" s="11">
        <v>6495.87</v>
      </c>
      <c r="W101" s="12">
        <v>6495.87</v>
      </c>
      <c r="X101" s="11">
        <v>4700.8900000000003</v>
      </c>
      <c r="Y101" s="11">
        <v>1794.98</v>
      </c>
      <c r="Z101" s="11">
        <f>ROUND(W101-X101,2)</f>
        <v>1794.98</v>
      </c>
      <c r="AA101" s="4">
        <f>IF(W101=0,0,Z101/W101)</f>
        <v>0.27632634273777029</v>
      </c>
      <c r="AB101" t="s">
        <v>31</v>
      </c>
      <c r="AC101" t="s">
        <v>32</v>
      </c>
      <c r="AD101" t="str">
        <f>IF(AND(E101="", T101&gt;=0, T101&lt;=0.5, K101&lt;&gt;"Unknown", Q101&lt;&gt;"Unknown"), "CLEAN", _xlfn.CONCAT("WARNING: ", IF(E101&lt;&gt;"","invalid_date",""), IF(T101&lt;0,"negative_discount",""), IF(AND(T101&gt;0.5,T101&lt;=1),"high_discount",""), IF(K101="Unknown","missing_region",""), IF(Q101="Unknown","missing_ship_mode","")))</f>
        <v>CLEAN</v>
      </c>
      <c r="AE101" t="str">
        <f>IF(COUNTIF($AF$2:$AF$926,AF101)&gt;1,"DUPLICATE","UNIQUE")</f>
        <v>UNIQUE</v>
      </c>
      <c r="AF101" t="str">
        <f>A101&amp;"|"&amp;B101&amp;"|"&amp;H101&amp;"|"&amp;I101&amp;"|"&amp;R101&amp;"|"&amp;S101&amp;"|"&amp;V101</f>
        <v>ORD-2025-10100|2025-11-01|CUST-3865|Aditi Sen|3|2165.29|6495.87</v>
      </c>
      <c r="AG101" t="str">
        <f>IF(COUNTIF($A$2:$A$913,A101)&gt;1,"TRUE","FALSE")</f>
        <v>FALSE</v>
      </c>
    </row>
    <row r="102" spans="1:33">
      <c r="A102" t="s">
        <v>3013</v>
      </c>
      <c r="B102" t="s">
        <v>2707</v>
      </c>
      <c r="C102" t="s">
        <v>2806</v>
      </c>
      <c r="D102">
        <f>IF(OR(B102="", C102=""), "", (C102 - B102))</f>
        <v>6</v>
      </c>
      <c r="E102" t="str">
        <f>IF(C102&lt;B102, "INVALID: Ship date before order date", "")</f>
        <v/>
      </c>
      <c r="F102" t="str">
        <f>IF(B102="", "", TEXT(B102, "mmmm"))</f>
        <v>September</v>
      </c>
      <c r="G102">
        <f>IF(B102="", "", YEAR(B102))</f>
        <v>2025</v>
      </c>
      <c r="H102" t="s">
        <v>412</v>
      </c>
      <c r="I102" t="s">
        <v>126</v>
      </c>
      <c r="J102" t="s">
        <v>93</v>
      </c>
      <c r="K102" t="s">
        <v>53</v>
      </c>
      <c r="L102" t="s">
        <v>180</v>
      </c>
      <c r="M102" t="s">
        <v>181</v>
      </c>
      <c r="N102" t="s">
        <v>27</v>
      </c>
      <c r="O102" t="s">
        <v>122</v>
      </c>
      <c r="P102" t="s">
        <v>413</v>
      </c>
      <c r="Q102" t="s">
        <v>58</v>
      </c>
      <c r="R102">
        <v>6</v>
      </c>
      <c r="S102" s="15">
        <v>1673.8</v>
      </c>
      <c r="T102" s="4">
        <v>0.05</v>
      </c>
      <c r="U102" s="3" t="str">
        <f>IF(T102&lt;0, "negative_discount", IF(AND(T102&gt;0.5, T102&lt;=1), "high_discount", ""))</f>
        <v/>
      </c>
      <c r="V102" s="11">
        <v>9540.66</v>
      </c>
      <c r="W102" s="12">
        <v>9540.66</v>
      </c>
      <c r="X102" s="11">
        <v>5561.49</v>
      </c>
      <c r="Y102" s="11">
        <v>3979.17</v>
      </c>
      <c r="Z102" s="11">
        <f>ROUND(W102-X102,2)</f>
        <v>3979.17</v>
      </c>
      <c r="AA102" s="4">
        <f>IF(W102=0,0,Z102/W102)</f>
        <v>0.41707491934520252</v>
      </c>
      <c r="AB102" t="s">
        <v>31</v>
      </c>
      <c r="AC102" t="s">
        <v>32</v>
      </c>
      <c r="AD102" t="str">
        <f>IF(AND(E102="", T102&gt;=0, T102&lt;=0.5, K102&lt;&gt;"Unknown", Q102&lt;&gt;"Unknown"), "CLEAN", _xlfn.CONCAT("WARNING: ", IF(E102&lt;&gt;"","invalid_date",""), IF(T102&lt;0,"negative_discount",""), IF(AND(T102&gt;0.5,T102&lt;=1),"high_discount",""), IF(K102="Unknown","missing_region",""), IF(Q102="Unknown","missing_ship_mode","")))</f>
        <v>CLEAN</v>
      </c>
      <c r="AE102" t="str">
        <f>IF(COUNTIF($AF$2:$AF$926,AF102)&gt;1,"DUPLICATE","UNIQUE")</f>
        <v>UNIQUE</v>
      </c>
      <c r="AF102" t="str">
        <f>A102&amp;"|"&amp;B102&amp;"|"&amp;H102&amp;"|"&amp;I102&amp;"|"&amp;R102&amp;"|"&amp;S102&amp;"|"&amp;V102</f>
        <v>ORD-2025-10101|2025-09-12|CUST-6015|Aarav Sharma|6|1673.8|9540.66</v>
      </c>
      <c r="AG102" t="str">
        <f>IF(COUNTIF($A$2:$A$913,A102)&gt;1,"TRUE","FALSE")</f>
        <v>FALSE</v>
      </c>
    </row>
    <row r="103" spans="1:33">
      <c r="A103" t="s">
        <v>414</v>
      </c>
      <c r="B103" t="s">
        <v>2075</v>
      </c>
      <c r="C103" t="s">
        <v>2796</v>
      </c>
      <c r="D103">
        <f>IF(OR(B103="", C103=""), "", (C103 - B103))</f>
        <v>4</v>
      </c>
      <c r="E103" t="str">
        <f>IF(C103&lt;B103, "INVALID: Ship date before order date", "")</f>
        <v/>
      </c>
      <c r="F103" t="str">
        <f>IF(B103="", "", TEXT(B103, "mmmm"))</f>
        <v>June</v>
      </c>
      <c r="G103">
        <f>IF(B103="", "", YEAR(B103))</f>
        <v>2024</v>
      </c>
      <c r="H103" t="s">
        <v>415</v>
      </c>
      <c r="I103" t="s">
        <v>139</v>
      </c>
      <c r="J103" t="s">
        <v>93</v>
      </c>
      <c r="K103" t="s">
        <v>37</v>
      </c>
      <c r="L103" t="s">
        <v>142</v>
      </c>
      <c r="M103" t="s">
        <v>143</v>
      </c>
      <c r="N103" t="s">
        <v>40</v>
      </c>
      <c r="O103" t="s">
        <v>56</v>
      </c>
      <c r="P103" t="s">
        <v>416</v>
      </c>
      <c r="Q103" t="s">
        <v>49</v>
      </c>
      <c r="R103">
        <v>5</v>
      </c>
      <c r="S103" s="15">
        <v>4396.5200000000004</v>
      </c>
      <c r="T103" s="4">
        <v>0.25</v>
      </c>
      <c r="U103" s="3" t="str">
        <f>IF(T103&lt;0, "negative_discount", IF(AND(T103&gt;0.5, T103&lt;=1), "high_discount", ""))</f>
        <v/>
      </c>
      <c r="V103" s="11">
        <v>16486.95</v>
      </c>
      <c r="W103" s="12">
        <v>16486.95</v>
      </c>
      <c r="X103" s="11">
        <v>12054.14</v>
      </c>
      <c r="Y103" s="11">
        <v>4432.8100000000004</v>
      </c>
      <c r="Z103" s="11">
        <f>ROUND(W103-X103,2)</f>
        <v>4432.8100000000004</v>
      </c>
      <c r="AA103" s="4">
        <f>IF(W103=0,0,Z103/W103)</f>
        <v>0.2688678015036135</v>
      </c>
      <c r="AB103" t="s">
        <v>31</v>
      </c>
      <c r="AC103" t="s">
        <v>32</v>
      </c>
      <c r="AD103" t="str">
        <f>IF(AND(E103="", T103&gt;=0, T103&lt;=0.5, K103&lt;&gt;"Unknown", Q103&lt;&gt;"Unknown"), "CLEAN", _xlfn.CONCAT("WARNING: ", IF(E103&lt;&gt;"","invalid_date",""), IF(T103&lt;0,"negative_discount",""), IF(AND(T103&gt;0.5,T103&lt;=1),"high_discount",""), IF(K103="Unknown","missing_region",""), IF(Q103="Unknown","missing_ship_mode","")))</f>
        <v>CLEAN</v>
      </c>
      <c r="AE103" t="str">
        <f>IF(COUNTIF($AF$2:$AF$926,AF103)&gt;1,"DUPLICATE","UNIQUE")</f>
        <v>UNIQUE</v>
      </c>
      <c r="AF103" t="str">
        <f>A103&amp;"|"&amp;B103&amp;"|"&amp;H103&amp;"|"&amp;I103&amp;"|"&amp;R103&amp;"|"&amp;S103&amp;"|"&amp;V103</f>
        <v>ORD-2024-10102|2024-06-22|CUST-7909|Rohan Mehta|5|4396.52|16486.95</v>
      </c>
      <c r="AG103" t="str">
        <f>IF(COUNTIF($A$2:$A$913,A103)&gt;1,"TRUE","FALSE")</f>
        <v>FALSE</v>
      </c>
    </row>
    <row r="104" spans="1:33">
      <c r="A104" t="s">
        <v>3014</v>
      </c>
      <c r="B104" t="s">
        <v>1012</v>
      </c>
      <c r="C104" t="s">
        <v>417</v>
      </c>
      <c r="D104">
        <f>IF(OR(B104="", C104=""), "", (C104 - B104))</f>
        <v>4</v>
      </c>
      <c r="E104" t="str">
        <f>IF(C104&lt;B104, "INVALID: Ship date before order date", "")</f>
        <v/>
      </c>
      <c r="F104" t="str">
        <f>IF(B104="", "", TEXT(B104, "mmmm"))</f>
        <v>July</v>
      </c>
      <c r="G104">
        <f>IF(B104="", "", YEAR(B104))</f>
        <v>2025</v>
      </c>
      <c r="H104" t="s">
        <v>418</v>
      </c>
      <c r="I104" t="s">
        <v>71</v>
      </c>
      <c r="J104" t="s">
        <v>23</v>
      </c>
      <c r="K104" t="s">
        <v>53</v>
      </c>
      <c r="L104" t="s">
        <v>171</v>
      </c>
      <c r="M104" t="s">
        <v>172</v>
      </c>
      <c r="N104" t="s">
        <v>40</v>
      </c>
      <c r="O104" t="s">
        <v>65</v>
      </c>
      <c r="P104" t="s">
        <v>419</v>
      </c>
      <c r="Q104" t="s">
        <v>49</v>
      </c>
      <c r="R104">
        <v>4</v>
      </c>
      <c r="S104" s="15">
        <v>2865.71</v>
      </c>
      <c r="T104" s="4">
        <v>0</v>
      </c>
      <c r="U104" s="3" t="str">
        <f>IF(T104&lt;0, "negative_discount", IF(AND(T104&gt;0.5, T104&lt;=1), "high_discount", ""))</f>
        <v/>
      </c>
      <c r="V104" s="11">
        <v>11462.84</v>
      </c>
      <c r="W104" s="12">
        <v>11462.84</v>
      </c>
      <c r="X104" s="11">
        <v>8979.7800000000007</v>
      </c>
      <c r="Y104" s="11">
        <v>2483.06</v>
      </c>
      <c r="Z104" s="11">
        <f>ROUND(W104-X104,2)</f>
        <v>2483.06</v>
      </c>
      <c r="AA104" s="4">
        <f>IF(W104=0,0,Z104/W104)</f>
        <v>0.2166182202665308</v>
      </c>
      <c r="AB104" t="s">
        <v>99</v>
      </c>
      <c r="AC104" t="s">
        <v>67</v>
      </c>
      <c r="AD104" t="str">
        <f>IF(AND(E104="", T104&gt;=0, T104&lt;=0.5, K104&lt;&gt;"Unknown", Q104&lt;&gt;"Unknown"), "CLEAN", _xlfn.CONCAT("WARNING: ", IF(E104&lt;&gt;"","invalid_date",""), IF(T104&lt;0,"negative_discount",""), IF(AND(T104&gt;0.5,T104&lt;=1),"high_discount",""), IF(K104="Unknown","missing_region",""), IF(Q104="Unknown","missing_ship_mode","")))</f>
        <v>CLEAN</v>
      </c>
      <c r="AE104" t="str">
        <f>IF(COUNTIF($AF$2:$AF$926,AF104)&gt;1,"DUPLICATE","UNIQUE")</f>
        <v>UNIQUE</v>
      </c>
      <c r="AF104" t="str">
        <f>A104&amp;"|"&amp;B104&amp;"|"&amp;H104&amp;"|"&amp;I104&amp;"|"&amp;R104&amp;"|"&amp;S104&amp;"|"&amp;V104</f>
        <v>ORD-2025-10103|2025-07-12|CUST-9603|Vikram Iyer|4|2865.71|11462.84</v>
      </c>
      <c r="AG104" t="str">
        <f>IF(COUNTIF($A$2:$A$913,A104)&gt;1,"TRUE","FALSE")</f>
        <v>FALSE</v>
      </c>
    </row>
    <row r="105" spans="1:33">
      <c r="A105" t="s">
        <v>3015</v>
      </c>
      <c r="B105" t="s">
        <v>2708</v>
      </c>
      <c r="C105" t="s">
        <v>897</v>
      </c>
      <c r="D105">
        <f>IF(OR(B105="", C105=""), "", (C105 - B105))</f>
        <v>8</v>
      </c>
      <c r="E105" t="str">
        <f>IF(C105&lt;B105, "INVALID: Ship date before order date", "")</f>
        <v/>
      </c>
      <c r="F105" t="str">
        <f>IF(B105="", "", TEXT(B105, "mmmm"))</f>
        <v>May</v>
      </c>
      <c r="G105">
        <f>IF(B105="", "", YEAR(B105))</f>
        <v>2025</v>
      </c>
      <c r="H105" t="s">
        <v>420</v>
      </c>
      <c r="I105" t="s">
        <v>263</v>
      </c>
      <c r="J105" t="s">
        <v>89</v>
      </c>
      <c r="K105" t="s">
        <v>62</v>
      </c>
      <c r="L105" t="s">
        <v>63</v>
      </c>
      <c r="M105" t="s">
        <v>64</v>
      </c>
      <c r="N105" t="s">
        <v>40</v>
      </c>
      <c r="O105" t="s">
        <v>41</v>
      </c>
      <c r="P105" t="s">
        <v>421</v>
      </c>
      <c r="Q105" t="s">
        <v>49</v>
      </c>
      <c r="R105">
        <v>4</v>
      </c>
      <c r="S105" s="15">
        <v>2440.34</v>
      </c>
      <c r="T105" s="4">
        <v>0.2</v>
      </c>
      <c r="U105" s="3" t="str">
        <f>IF(T105&lt;0, "negative_discount", IF(AND(T105&gt;0.5, T105&lt;=1), "high_discount", ""))</f>
        <v/>
      </c>
      <c r="V105" s="11">
        <v>7809.09</v>
      </c>
      <c r="W105" s="12">
        <v>7809.09</v>
      </c>
      <c r="X105" s="11">
        <v>6657.75</v>
      </c>
      <c r="Y105" s="11">
        <v>1151.3399999999999</v>
      </c>
      <c r="Z105" s="11">
        <f>ROUND(W105-X105,2)</f>
        <v>1151.3399999999999</v>
      </c>
      <c r="AA105" s="4">
        <f>IF(W105=0,0,Z105/W105)</f>
        <v>0.147435872809764</v>
      </c>
      <c r="AB105" t="s">
        <v>31</v>
      </c>
      <c r="AC105" t="s">
        <v>32</v>
      </c>
      <c r="AD105" t="str">
        <f>IF(AND(E105="", T105&gt;=0, T105&lt;=0.5, K105&lt;&gt;"Unknown", Q105&lt;&gt;"Unknown"), "CLEAN", _xlfn.CONCAT("WARNING: ", IF(E105&lt;&gt;"","invalid_date",""), IF(T105&lt;0,"negative_discount",""), IF(AND(T105&gt;0.5,T105&lt;=1),"high_discount",""), IF(K105="Unknown","missing_region",""), IF(Q105="Unknown","missing_ship_mode","")))</f>
        <v>CLEAN</v>
      </c>
      <c r="AE105" t="str">
        <f>IF(COUNTIF($AF$2:$AF$926,AF105)&gt;1,"DUPLICATE","UNIQUE")</f>
        <v>UNIQUE</v>
      </c>
      <c r="AF105" t="str">
        <f>A105&amp;"|"&amp;B105&amp;"|"&amp;H105&amp;"|"&amp;I105&amp;"|"&amp;R105&amp;"|"&amp;S105&amp;"|"&amp;V105</f>
        <v>ORD-2025-10104|2025-05-02|CUST-6263|Kabir Singh|4|2440.34|7809.09</v>
      </c>
      <c r="AG105" t="str">
        <f>IF(COUNTIF($A$2:$A$913,A105)&gt;1,"TRUE","FALSE")</f>
        <v>FALSE</v>
      </c>
    </row>
    <row r="106" spans="1:33">
      <c r="A106" t="s">
        <v>3016</v>
      </c>
      <c r="B106" t="s">
        <v>422</v>
      </c>
      <c r="C106" t="s">
        <v>1455</v>
      </c>
      <c r="D106">
        <f>IF(OR(B106="", C106=""), "", (C106 - B106))</f>
        <v>7</v>
      </c>
      <c r="E106" t="str">
        <f>IF(C106&lt;B106, "INVALID: Ship date before order date", "")</f>
        <v/>
      </c>
      <c r="F106" t="str">
        <f>IF(B106="", "", TEXT(B106, "mmmm"))</f>
        <v>February</v>
      </c>
      <c r="G106">
        <f>IF(B106="", "", YEAR(B106))</f>
        <v>2025</v>
      </c>
      <c r="H106" t="s">
        <v>423</v>
      </c>
      <c r="I106" t="s">
        <v>61</v>
      </c>
      <c r="J106" t="s">
        <v>23</v>
      </c>
      <c r="K106" t="s">
        <v>53</v>
      </c>
      <c r="L106" t="s">
        <v>171</v>
      </c>
      <c r="M106" t="s">
        <v>172</v>
      </c>
      <c r="N106" t="s">
        <v>27</v>
      </c>
      <c r="O106" t="s">
        <v>90</v>
      </c>
      <c r="P106" t="s">
        <v>424</v>
      </c>
      <c r="Q106" t="s">
        <v>43</v>
      </c>
      <c r="R106">
        <v>5</v>
      </c>
      <c r="S106" s="15">
        <v>2112.54</v>
      </c>
      <c r="T106" s="4">
        <v>0.25</v>
      </c>
      <c r="U106" s="3" t="str">
        <f>IF(T106&lt;0, "negative_discount", IF(AND(T106&gt;0.5, T106&lt;=1), "high_discount", ""))</f>
        <v/>
      </c>
      <c r="V106" s="11">
        <v>8260.4599999999991</v>
      </c>
      <c r="W106" s="12">
        <v>7922.03</v>
      </c>
      <c r="X106" s="11">
        <v>5619.95</v>
      </c>
      <c r="Y106" s="11">
        <v>2302.08</v>
      </c>
      <c r="Z106" s="11">
        <f>ROUND(W106-X106,2)</f>
        <v>2302.08</v>
      </c>
      <c r="AA106" s="4">
        <f>IF(W106=0,0,Z106/W106)</f>
        <v>0.29059218407403153</v>
      </c>
      <c r="AB106" t="s">
        <v>31</v>
      </c>
      <c r="AC106" t="s">
        <v>67</v>
      </c>
      <c r="AD106" t="str">
        <f>IF(AND(E106="", T106&gt;=0, T106&lt;=0.5, K106&lt;&gt;"Unknown", Q106&lt;&gt;"Unknown"), "CLEAN", _xlfn.CONCAT("WARNING: ", IF(E106&lt;&gt;"","invalid_date",""), IF(T106&lt;0,"negative_discount",""), IF(AND(T106&gt;0.5,T106&lt;=1),"high_discount",""), IF(K106="Unknown","missing_region",""), IF(Q106="Unknown","missing_ship_mode","")))</f>
        <v>CLEAN</v>
      </c>
      <c r="AE106" t="str">
        <f>IF(COUNTIF($AF$2:$AF$926,AF106)&gt;1,"DUPLICATE","UNIQUE")</f>
        <v>UNIQUE</v>
      </c>
      <c r="AF106" t="str">
        <f>A106&amp;"|"&amp;B106&amp;"|"&amp;H106&amp;"|"&amp;I106&amp;"|"&amp;R106&amp;"|"&amp;S106&amp;"|"&amp;V106</f>
        <v>ORD-2025-10105|2025-02-01|CUST-1576|Ananya Rao|5|2112.54|8260.46</v>
      </c>
      <c r="AG106" t="str">
        <f>IF(COUNTIF($A$2:$A$913,A106)&gt;1,"TRUE","FALSE")</f>
        <v>FALSE</v>
      </c>
    </row>
    <row r="107" spans="1:33">
      <c r="A107" t="s">
        <v>425</v>
      </c>
      <c r="B107" t="s">
        <v>958</v>
      </c>
      <c r="C107" t="s">
        <v>1346</v>
      </c>
      <c r="D107">
        <f>IF(OR(B107="", C107=""), "", (C107 - B107))</f>
        <v>5</v>
      </c>
      <c r="E107" t="str">
        <f>IF(C107&lt;B107, "INVALID: Ship date before order date", "")</f>
        <v/>
      </c>
      <c r="F107" t="str">
        <f>IF(B107="", "", TEXT(B107, "mmmm"))</f>
        <v>June</v>
      </c>
      <c r="G107">
        <f>IF(B107="", "", YEAR(B107))</f>
        <v>2024</v>
      </c>
      <c r="H107" t="s">
        <v>426</v>
      </c>
      <c r="I107" t="s">
        <v>35</v>
      </c>
      <c r="J107" t="s">
        <v>93</v>
      </c>
      <c r="K107" t="s">
        <v>37</v>
      </c>
      <c r="L107" t="s">
        <v>96</v>
      </c>
      <c r="M107" t="s">
        <v>97</v>
      </c>
      <c r="N107" t="s">
        <v>40</v>
      </c>
      <c r="O107" t="s">
        <v>41</v>
      </c>
      <c r="P107" t="s">
        <v>427</v>
      </c>
      <c r="Q107" t="s">
        <v>30</v>
      </c>
      <c r="R107">
        <v>2</v>
      </c>
      <c r="S107" s="15">
        <v>685</v>
      </c>
      <c r="T107" s="4">
        <v>0.1</v>
      </c>
      <c r="U107" s="3" t="str">
        <f>IF(T107&lt;0, "negative_discount", IF(AND(T107&gt;0.5, T107&lt;=1), "high_discount", ""))</f>
        <v/>
      </c>
      <c r="V107" s="11">
        <v>1233</v>
      </c>
      <c r="W107" s="12">
        <v>1233</v>
      </c>
      <c r="X107" s="11">
        <v>1006.9</v>
      </c>
      <c r="Y107" s="11">
        <v>226.1</v>
      </c>
      <c r="Z107" s="11">
        <f>ROUND(W107-X107,2)</f>
        <v>226.1</v>
      </c>
      <c r="AA107" s="4">
        <f>IF(W107=0,0,Z107/W107)</f>
        <v>0.18337388483373884</v>
      </c>
      <c r="AB107" t="s">
        <v>31</v>
      </c>
      <c r="AC107" t="s">
        <v>32</v>
      </c>
      <c r="AD107" t="str">
        <f>IF(AND(E107="", T107&gt;=0, T107&lt;=0.5, K107&lt;&gt;"Unknown", Q107&lt;&gt;"Unknown"), "CLEAN", _xlfn.CONCAT("WARNING: ", IF(E107&lt;&gt;"","invalid_date",""), IF(T107&lt;0,"negative_discount",""), IF(AND(T107&gt;0.5,T107&lt;=1),"high_discount",""), IF(K107="Unknown","missing_region",""), IF(Q107="Unknown","missing_ship_mode","")))</f>
        <v>CLEAN</v>
      </c>
      <c r="AE107" t="str">
        <f>IF(COUNTIF($AF$2:$AF$926,AF107)&gt;1,"DUPLICATE","UNIQUE")</f>
        <v>UNIQUE</v>
      </c>
      <c r="AF107" t="str">
        <f>A107&amp;"|"&amp;B107&amp;"|"&amp;H107&amp;"|"&amp;I107&amp;"|"&amp;R107&amp;"|"&amp;S107&amp;"|"&amp;V107</f>
        <v>ORD-2024-10106|2024-06-24|CUST-6540|Mira Das|2|685|1233</v>
      </c>
      <c r="AG107" t="str">
        <f>IF(COUNTIF($A$2:$A$913,A107)&gt;1,"TRUE","FALSE")</f>
        <v>FALSE</v>
      </c>
    </row>
    <row r="108" spans="1:33">
      <c r="A108" t="s">
        <v>428</v>
      </c>
      <c r="B108" t="s">
        <v>1342</v>
      </c>
      <c r="C108" t="s">
        <v>2764</v>
      </c>
      <c r="D108">
        <f>IF(OR(B108="", C108=""), "", (C108 - B108))</f>
        <v>8</v>
      </c>
      <c r="E108" t="str">
        <f>IF(C108&lt;B108, "INVALID: Ship date before order date", "")</f>
        <v/>
      </c>
      <c r="F108" t="str">
        <f>IF(B108="", "", TEXT(B108, "mmmm"))</f>
        <v>February</v>
      </c>
      <c r="G108">
        <f>IF(B108="", "", YEAR(B108))</f>
        <v>2024</v>
      </c>
      <c r="H108" t="s">
        <v>429</v>
      </c>
      <c r="I108" t="s">
        <v>52</v>
      </c>
      <c r="J108" t="s">
        <v>93</v>
      </c>
      <c r="K108" t="s">
        <v>37</v>
      </c>
      <c r="L108" t="s">
        <v>96</v>
      </c>
      <c r="M108" t="s">
        <v>97</v>
      </c>
      <c r="N108" t="s">
        <v>27</v>
      </c>
      <c r="O108" t="s">
        <v>28</v>
      </c>
      <c r="P108" t="s">
        <v>430</v>
      </c>
      <c r="Q108" t="s">
        <v>58</v>
      </c>
      <c r="R108">
        <v>2</v>
      </c>
      <c r="S108" s="15">
        <v>4004.04</v>
      </c>
      <c r="T108" s="4">
        <v>0</v>
      </c>
      <c r="U108" s="3" t="str">
        <f>IF(T108&lt;0, "negative_discount", IF(AND(T108&gt;0.5, T108&lt;=1), "high_discount", ""))</f>
        <v/>
      </c>
      <c r="V108" s="11">
        <v>7207.27</v>
      </c>
      <c r="W108" s="12">
        <v>8008.08</v>
      </c>
      <c r="X108" s="11">
        <v>5709.39</v>
      </c>
      <c r="Y108" s="11">
        <v>1497.88</v>
      </c>
      <c r="Z108" s="11">
        <f>ROUND(W108-X108,2)</f>
        <v>2298.69</v>
      </c>
      <c r="AA108" s="4">
        <f>IF(W108=0,0,Z108/W108)</f>
        <v>0.28704633320346451</v>
      </c>
      <c r="AB108" t="s">
        <v>31</v>
      </c>
      <c r="AC108" t="s">
        <v>67</v>
      </c>
      <c r="AD108" t="str">
        <f>IF(AND(E108="", T108&gt;=0, T108&lt;=0.5, K108&lt;&gt;"Unknown", Q108&lt;&gt;"Unknown"), "CLEAN", _xlfn.CONCAT("WARNING: ", IF(E108&lt;&gt;"","invalid_date",""), IF(T108&lt;0,"negative_discount",""), IF(AND(T108&gt;0.5,T108&lt;=1),"high_discount",""), IF(K108="Unknown","missing_region",""), IF(Q108="Unknown","missing_ship_mode","")))</f>
        <v>CLEAN</v>
      </c>
      <c r="AE108" t="str">
        <f>IF(COUNTIF($AF$2:$AF$926,AF108)&gt;1,"DUPLICATE","UNIQUE")</f>
        <v>UNIQUE</v>
      </c>
      <c r="AF108" t="str">
        <f>A108&amp;"|"&amp;B108&amp;"|"&amp;H108&amp;"|"&amp;I108&amp;"|"&amp;R108&amp;"|"&amp;S108&amp;"|"&amp;V108</f>
        <v>ORD-2024-10107|2024-02-20|CUST-4008|Arjun Bose|2|4004.04|7207.27</v>
      </c>
      <c r="AG108" t="str">
        <f>IF(COUNTIF($A$2:$A$913,A108)&gt;1,"TRUE","FALSE")</f>
        <v>FALSE</v>
      </c>
    </row>
    <row r="109" spans="1:33">
      <c r="A109" t="s">
        <v>431</v>
      </c>
      <c r="B109" t="s">
        <v>982</v>
      </c>
      <c r="C109" t="s">
        <v>432</v>
      </c>
      <c r="D109">
        <f>IF(OR(B109="", C109=""), "", (C109 - B109))</f>
        <v>6</v>
      </c>
      <c r="E109" t="str">
        <f>IF(C109&lt;B109, "INVALID: Ship date before order date", "")</f>
        <v/>
      </c>
      <c r="F109" t="str">
        <f>IF(B109="", "", TEXT(B109, "mmmm"))</f>
        <v>October</v>
      </c>
      <c r="G109">
        <f>IF(B109="", "", YEAR(B109))</f>
        <v>2024</v>
      </c>
      <c r="H109" t="s">
        <v>433</v>
      </c>
      <c r="I109" t="s">
        <v>139</v>
      </c>
      <c r="J109" t="s">
        <v>93</v>
      </c>
      <c r="K109" t="s">
        <v>37</v>
      </c>
      <c r="L109" t="s">
        <v>96</v>
      </c>
      <c r="M109" t="s">
        <v>97</v>
      </c>
      <c r="N109" t="s">
        <v>40</v>
      </c>
      <c r="O109" t="s">
        <v>56</v>
      </c>
      <c r="P109" t="s">
        <v>434</v>
      </c>
      <c r="Q109" t="s">
        <v>49</v>
      </c>
      <c r="R109">
        <v>3</v>
      </c>
      <c r="S109" s="15">
        <v>4302.8900000000003</v>
      </c>
      <c r="T109" s="4">
        <v>0.05</v>
      </c>
      <c r="U109" s="3" t="str">
        <f>IF(T109&lt;0, "negative_discount", IF(AND(T109&gt;0.5, T109&lt;=1), "high_discount", ""))</f>
        <v/>
      </c>
      <c r="V109" s="11">
        <v>12263.24</v>
      </c>
      <c r="W109" s="12">
        <v>12263.24</v>
      </c>
      <c r="X109" s="11">
        <v>8925.57</v>
      </c>
      <c r="Y109" s="11">
        <v>3337.67</v>
      </c>
      <c r="Z109" s="11">
        <f>ROUND(W109-X109,2)</f>
        <v>3337.67</v>
      </c>
      <c r="AA109" s="4">
        <f>IF(W109=0,0,Z109/W109)</f>
        <v>0.2721686927761342</v>
      </c>
      <c r="AB109" t="s">
        <v>31</v>
      </c>
      <c r="AC109" t="s">
        <v>32</v>
      </c>
      <c r="AD109" t="str">
        <f>IF(AND(E109="", T109&gt;=0, T109&lt;=0.5, K109&lt;&gt;"Unknown", Q109&lt;&gt;"Unknown"), "CLEAN", _xlfn.CONCAT("WARNING: ", IF(E109&lt;&gt;"","invalid_date",""), IF(T109&lt;0,"negative_discount",""), IF(AND(T109&gt;0.5,T109&lt;=1),"high_discount",""), IF(K109="Unknown","missing_region",""), IF(Q109="Unknown","missing_ship_mode","")))</f>
        <v>CLEAN</v>
      </c>
      <c r="AE109" t="str">
        <f>IF(COUNTIF($AF$2:$AF$926,AF109)&gt;1,"DUPLICATE","UNIQUE")</f>
        <v>UNIQUE</v>
      </c>
      <c r="AF109" t="str">
        <f>A109&amp;"|"&amp;B109&amp;"|"&amp;H109&amp;"|"&amp;I109&amp;"|"&amp;R109&amp;"|"&amp;S109&amp;"|"&amp;V109</f>
        <v>ORD-2024-10108|2024-10-29|CUST-6604|Rohan Mehta|3|4302.89|12263.24</v>
      </c>
      <c r="AG109" t="str">
        <f>IF(COUNTIF($A$2:$A$913,A109)&gt;1,"TRUE","FALSE")</f>
        <v>FALSE</v>
      </c>
    </row>
    <row r="110" spans="1:33">
      <c r="A110" t="s">
        <v>435</v>
      </c>
      <c r="B110" t="s">
        <v>2709</v>
      </c>
      <c r="C110" t="s">
        <v>1256</v>
      </c>
      <c r="D110">
        <f>IF(OR(B110="", C110=""), "", (C110 - B110))</f>
        <v>8</v>
      </c>
      <c r="E110" t="str">
        <f>IF(C110&lt;B110, "INVALID: Ship date before order date", "")</f>
        <v/>
      </c>
      <c r="F110" t="str">
        <f>IF(B110="", "", TEXT(B110, "mmmm"))</f>
        <v>August</v>
      </c>
      <c r="G110">
        <f>IF(B110="", "", YEAR(B110))</f>
        <v>2024</v>
      </c>
      <c r="H110" t="s">
        <v>436</v>
      </c>
      <c r="I110" t="s">
        <v>88</v>
      </c>
      <c r="J110" t="s">
        <v>36</v>
      </c>
      <c r="K110" t="s">
        <v>37</v>
      </c>
      <c r="L110" t="s">
        <v>38</v>
      </c>
      <c r="M110" t="s">
        <v>39</v>
      </c>
      <c r="N110" t="s">
        <v>40</v>
      </c>
      <c r="O110" t="s">
        <v>153</v>
      </c>
      <c r="P110" t="s">
        <v>437</v>
      </c>
      <c r="Q110" t="s">
        <v>43</v>
      </c>
      <c r="R110">
        <v>2</v>
      </c>
      <c r="S110" s="15">
        <v>537.54</v>
      </c>
      <c r="T110" s="4">
        <v>0.25</v>
      </c>
      <c r="U110" s="3" t="str">
        <f>IF(T110&lt;0, "negative_discount", IF(AND(T110&gt;0.5, T110&lt;=1), "high_discount", ""))</f>
        <v/>
      </c>
      <c r="V110" s="11">
        <v>806.31</v>
      </c>
      <c r="W110" s="12">
        <v>806.31</v>
      </c>
      <c r="X110" s="11">
        <v>498.5</v>
      </c>
      <c r="Y110" s="11">
        <v>307.81</v>
      </c>
      <c r="Z110" s="11">
        <f>ROUND(W110-X110,2)</f>
        <v>307.81</v>
      </c>
      <c r="AA110" s="4">
        <f>IF(W110=0,0,Z110/W110)</f>
        <v>0.38175143555208296</v>
      </c>
      <c r="AB110" t="s">
        <v>31</v>
      </c>
      <c r="AC110" t="s">
        <v>32</v>
      </c>
      <c r="AD110" t="str">
        <f>IF(AND(E110="", T110&gt;=0, T110&lt;=0.5, K110&lt;&gt;"Unknown", Q110&lt;&gt;"Unknown"), "CLEAN", _xlfn.CONCAT("WARNING: ", IF(E110&lt;&gt;"","invalid_date",""), IF(T110&lt;0,"negative_discount",""), IF(AND(T110&gt;0.5,T110&lt;=1),"high_discount",""), IF(K110="Unknown","missing_region",""), IF(Q110="Unknown","missing_ship_mode","")))</f>
        <v>CLEAN</v>
      </c>
      <c r="AE110" t="str">
        <f>IF(COUNTIF($AF$2:$AF$926,AF110)&gt;1,"DUPLICATE","UNIQUE")</f>
        <v>UNIQUE</v>
      </c>
      <c r="AF110" t="str">
        <f>A110&amp;"|"&amp;B110&amp;"|"&amp;H110&amp;"|"&amp;I110&amp;"|"&amp;R110&amp;"|"&amp;S110&amp;"|"&amp;V110</f>
        <v>ORD-2024-10109|2024-08-15|CUST-4337|Aditi Sen|2|537.54|806.31</v>
      </c>
      <c r="AG110" t="str">
        <f>IF(COUNTIF($A$2:$A$913,A110)&gt;1,"TRUE","FALSE")</f>
        <v>FALSE</v>
      </c>
    </row>
    <row r="111" spans="1:33">
      <c r="A111" t="s">
        <v>3017</v>
      </c>
      <c r="B111" t="s">
        <v>1307</v>
      </c>
      <c r="C111" t="s">
        <v>2617</v>
      </c>
      <c r="D111">
        <f>IF(OR(B111="", C111=""), "", (C111 - B111))</f>
        <v>4</v>
      </c>
      <c r="E111" t="str">
        <f>IF(C111&lt;B111, "INVALID: Ship date before order date", "")</f>
        <v/>
      </c>
      <c r="F111" t="str">
        <f>IF(B111="", "", TEXT(B111, "mmmm"))</f>
        <v>August</v>
      </c>
      <c r="G111">
        <f>IF(B111="", "", YEAR(B111))</f>
        <v>2025</v>
      </c>
      <c r="H111" t="s">
        <v>438</v>
      </c>
      <c r="I111" t="s">
        <v>131</v>
      </c>
      <c r="J111" t="s">
        <v>23</v>
      </c>
      <c r="K111" t="s">
        <v>24</v>
      </c>
      <c r="L111" t="s">
        <v>353</v>
      </c>
      <c r="M111" t="s">
        <v>354</v>
      </c>
      <c r="N111" t="s">
        <v>27</v>
      </c>
      <c r="O111" t="s">
        <v>149</v>
      </c>
      <c r="P111" t="s">
        <v>439</v>
      </c>
      <c r="Q111" t="s">
        <v>30</v>
      </c>
      <c r="R111">
        <v>1</v>
      </c>
      <c r="S111" s="15">
        <v>2788.62</v>
      </c>
      <c r="T111" s="4">
        <v>0.25</v>
      </c>
      <c r="U111" s="3" t="str">
        <f>IF(T111&lt;0, "negative_discount", IF(AND(T111&gt;0.5, T111&lt;=1), "high_discount", ""))</f>
        <v/>
      </c>
      <c r="V111" s="11">
        <v>2091.4699999999998</v>
      </c>
      <c r="W111" s="12">
        <v>2091.4699999999998</v>
      </c>
      <c r="X111" s="11">
        <v>1317.22</v>
      </c>
      <c r="Y111" s="11">
        <v>774.25</v>
      </c>
      <c r="Z111" s="11">
        <f>ROUND(W111-X111,2)</f>
        <v>774.25</v>
      </c>
      <c r="AA111" s="4">
        <f>IF(W111=0,0,Z111/W111)</f>
        <v>0.37019416965101104</v>
      </c>
      <c r="AB111" t="s">
        <v>31</v>
      </c>
      <c r="AC111" t="s">
        <v>32</v>
      </c>
      <c r="AD111" t="str">
        <f>IF(AND(E111="", T111&gt;=0, T111&lt;=0.5, K111&lt;&gt;"Unknown", Q111&lt;&gt;"Unknown"), "CLEAN", _xlfn.CONCAT("WARNING: ", IF(E111&lt;&gt;"","invalid_date",""), IF(T111&lt;0,"negative_discount",""), IF(AND(T111&gt;0.5,T111&lt;=1),"high_discount",""), IF(K111="Unknown","missing_region",""), IF(Q111="Unknown","missing_ship_mode","")))</f>
        <v>CLEAN</v>
      </c>
      <c r="AE111" t="str">
        <f>IF(COUNTIF($AF$2:$AF$926,AF111)&gt;1,"DUPLICATE","UNIQUE")</f>
        <v>UNIQUE</v>
      </c>
      <c r="AF111" t="str">
        <f>A111&amp;"|"&amp;B111&amp;"|"&amp;H111&amp;"|"&amp;I111&amp;"|"&amp;R111&amp;"|"&amp;S111&amp;"|"&amp;V111</f>
        <v>ORD-2025-10110|2025-08-23|CUST-3740|Sneha Kapoor|1|2788.62|2091.47</v>
      </c>
      <c r="AG111" t="str">
        <f>IF(COUNTIF($A$2:$A$913,A111)&gt;1,"TRUE","FALSE")</f>
        <v>FALSE</v>
      </c>
    </row>
    <row r="112" spans="1:33">
      <c r="A112" t="s">
        <v>440</v>
      </c>
      <c r="B112" t="s">
        <v>2710</v>
      </c>
      <c r="C112" t="s">
        <v>441</v>
      </c>
      <c r="D112">
        <f>IF(OR(B112="", C112=""), "", (C112 - B112))</f>
        <v>6</v>
      </c>
      <c r="E112" t="str">
        <f>IF(C112&lt;B112, "INVALID: Ship date before order date", "")</f>
        <v/>
      </c>
      <c r="F112" t="str">
        <f>IF(B112="", "", TEXT(B112, "mmmm"))</f>
        <v>October</v>
      </c>
      <c r="G112">
        <f>IF(B112="", "", YEAR(B112))</f>
        <v>2024</v>
      </c>
      <c r="H112" t="s">
        <v>442</v>
      </c>
      <c r="I112" t="s">
        <v>71</v>
      </c>
      <c r="J112" t="s">
        <v>89</v>
      </c>
      <c r="K112" t="s">
        <v>53</v>
      </c>
      <c r="L112" t="s">
        <v>180</v>
      </c>
      <c r="M112" t="s">
        <v>181</v>
      </c>
      <c r="N112" t="s">
        <v>27</v>
      </c>
      <c r="O112" t="s">
        <v>90</v>
      </c>
      <c r="P112" t="s">
        <v>443</v>
      </c>
      <c r="Q112" t="s">
        <v>49</v>
      </c>
      <c r="R112">
        <v>2</v>
      </c>
      <c r="S112" s="15">
        <v>2250.4699999999998</v>
      </c>
      <c r="T112" s="4">
        <v>0</v>
      </c>
      <c r="U112" s="3" t="str">
        <f>IF(T112&lt;0, "negative_discount", IF(AND(T112&gt;0.5, T112&lt;=1), "high_discount", ""))</f>
        <v/>
      </c>
      <c r="V112" s="11">
        <v>4500.9399999999996</v>
      </c>
      <c r="W112" s="12">
        <v>4500.9399999999996</v>
      </c>
      <c r="X112" s="11">
        <v>2607.73</v>
      </c>
      <c r="Y112" s="11">
        <v>1893.21</v>
      </c>
      <c r="Z112" s="11">
        <f>ROUND(W112-X112,2)</f>
        <v>1893.21</v>
      </c>
      <c r="AA112" s="4">
        <f>IF(W112=0,0,Z112/W112)</f>
        <v>0.42062546934640327</v>
      </c>
      <c r="AB112" t="s">
        <v>99</v>
      </c>
      <c r="AC112" t="s">
        <v>67</v>
      </c>
      <c r="AD112" t="str">
        <f>IF(AND(E112="", T112&gt;=0, T112&lt;=0.5, K112&lt;&gt;"Unknown", Q112&lt;&gt;"Unknown"), "CLEAN", _xlfn.CONCAT("WARNING: ", IF(E112&lt;&gt;"","invalid_date",""), IF(T112&lt;0,"negative_discount",""), IF(AND(T112&gt;0.5,T112&lt;=1),"high_discount",""), IF(K112="Unknown","missing_region",""), IF(Q112="Unknown","missing_ship_mode","")))</f>
        <v>CLEAN</v>
      </c>
      <c r="AE112" t="str">
        <f>IF(COUNTIF($AF$2:$AF$926,AF112)&gt;1,"DUPLICATE","UNIQUE")</f>
        <v>UNIQUE</v>
      </c>
      <c r="AF112" t="str">
        <f>A112&amp;"|"&amp;B112&amp;"|"&amp;H112&amp;"|"&amp;I112&amp;"|"&amp;R112&amp;"|"&amp;S112&amp;"|"&amp;V112</f>
        <v>ORD-2024-10111|2024-10-18|CUST-7128|Vikram Iyer|2|2250.47|4500.94</v>
      </c>
      <c r="AG112" t="str">
        <f>IF(COUNTIF($A$2:$A$913,A112)&gt;1,"TRUE","FALSE")</f>
        <v>FALSE</v>
      </c>
    </row>
    <row r="113" spans="1:33">
      <c r="A113" t="s">
        <v>3018</v>
      </c>
      <c r="B113" t="s">
        <v>1091</v>
      </c>
      <c r="C113" t="s">
        <v>444</v>
      </c>
      <c r="D113">
        <f>IF(OR(B113="", C113=""), "", (C113 - B113))</f>
        <v>3</v>
      </c>
      <c r="E113" t="str">
        <f>IF(C113&lt;B113, "INVALID: Ship date before order date", "")</f>
        <v/>
      </c>
      <c r="F113" t="str">
        <f>IF(B113="", "", TEXT(B113, "mmmm"))</f>
        <v>June</v>
      </c>
      <c r="G113">
        <f>IF(B113="", "", YEAR(B113))</f>
        <v>2025</v>
      </c>
      <c r="H113" t="s">
        <v>445</v>
      </c>
      <c r="I113" t="s">
        <v>78</v>
      </c>
      <c r="J113" t="s">
        <v>89</v>
      </c>
      <c r="K113" t="s">
        <v>37</v>
      </c>
      <c r="L113" t="s">
        <v>142</v>
      </c>
      <c r="M113" t="s">
        <v>143</v>
      </c>
      <c r="N113" t="s">
        <v>74</v>
      </c>
      <c r="O113" t="s">
        <v>75</v>
      </c>
      <c r="P113" t="s">
        <v>446</v>
      </c>
      <c r="Q113" t="s">
        <v>49</v>
      </c>
      <c r="R113">
        <v>1</v>
      </c>
      <c r="S113" s="15">
        <v>1708.44</v>
      </c>
      <c r="T113" s="4">
        <v>0.05</v>
      </c>
      <c r="U113" s="3" t="str">
        <f>IF(T113&lt;0, "negative_discount", IF(AND(T113&gt;0.5, T113&lt;=1), "high_discount", ""))</f>
        <v/>
      </c>
      <c r="V113" s="11">
        <v>1623.02</v>
      </c>
      <c r="W113" s="12">
        <v>1623.02</v>
      </c>
      <c r="X113" s="11">
        <v>1077.46</v>
      </c>
      <c r="Y113" s="11">
        <v>545.55999999999995</v>
      </c>
      <c r="Z113" s="11">
        <f>ROUND(W113-X113,2)</f>
        <v>545.55999999999995</v>
      </c>
      <c r="AA113" s="4">
        <f>IF(W113=0,0,Z113/W113)</f>
        <v>0.33613880297223692</v>
      </c>
      <c r="AB113" t="s">
        <v>109</v>
      </c>
      <c r="AC113" t="s">
        <v>67</v>
      </c>
      <c r="AD113" t="str">
        <f>IF(AND(E113="", T113&gt;=0, T113&lt;=0.5, K113&lt;&gt;"Unknown", Q113&lt;&gt;"Unknown"), "CLEAN", _xlfn.CONCAT("WARNING: ", IF(E113&lt;&gt;"","invalid_date",""), IF(T113&lt;0,"negative_discount",""), IF(AND(T113&gt;0.5,T113&lt;=1),"high_discount",""), IF(K113="Unknown","missing_region",""), IF(Q113="Unknown","missing_ship_mode","")))</f>
        <v>CLEAN</v>
      </c>
      <c r="AE113" t="str">
        <f>IF(COUNTIF($AF$2:$AF$926,AF113)&gt;1,"DUPLICATE","UNIQUE")</f>
        <v>UNIQUE</v>
      </c>
      <c r="AF113" t="str">
        <f>A113&amp;"|"&amp;B113&amp;"|"&amp;H113&amp;"|"&amp;I113&amp;"|"&amp;R113&amp;"|"&amp;S113&amp;"|"&amp;V113</f>
        <v>ORD-2025-10112|2025-06-27|CUST-4743|Neha Gupta|1|1708.44|1623.02</v>
      </c>
      <c r="AG113" t="str">
        <f>IF(COUNTIF($A$2:$A$913,A113)&gt;1,"TRUE","FALSE")</f>
        <v>FALSE</v>
      </c>
    </row>
    <row r="114" spans="1:33">
      <c r="A114" t="s">
        <v>447</v>
      </c>
      <c r="B114" t="s">
        <v>2711</v>
      </c>
      <c r="C114" t="s">
        <v>2030</v>
      </c>
      <c r="D114">
        <f>IF(OR(B114="", C114=""), "", (C114 - B114))</f>
        <v>4</v>
      </c>
      <c r="E114" t="str">
        <f>IF(C114&lt;B114, "INVALID: Ship date before order date", "")</f>
        <v/>
      </c>
      <c r="F114" t="str">
        <f>IF(B114="", "", TEXT(B114, "mmmm"))</f>
        <v>January</v>
      </c>
      <c r="G114">
        <f>IF(B114="", "", YEAR(B114))</f>
        <v>2024</v>
      </c>
      <c r="H114" t="s">
        <v>448</v>
      </c>
      <c r="I114" t="s">
        <v>131</v>
      </c>
      <c r="J114" t="s">
        <v>23</v>
      </c>
      <c r="K114" t="s">
        <v>2970</v>
      </c>
      <c r="L114" t="s">
        <v>176</v>
      </c>
      <c r="M114" t="s">
        <v>177</v>
      </c>
      <c r="N114" t="s">
        <v>74</v>
      </c>
      <c r="O114" t="s">
        <v>75</v>
      </c>
      <c r="P114" t="s">
        <v>449</v>
      </c>
      <c r="Q114" t="s">
        <v>58</v>
      </c>
      <c r="R114">
        <v>3</v>
      </c>
      <c r="S114" s="15">
        <v>3829.48</v>
      </c>
      <c r="T114" s="4">
        <v>0.05</v>
      </c>
      <c r="U114" s="3" t="str">
        <f>IF(T114&lt;0, "negative_discount", IF(AND(T114&gt;0.5, T114&lt;=1), "high_discount", ""))</f>
        <v/>
      </c>
      <c r="V114" s="11">
        <v>10914.02</v>
      </c>
      <c r="W114" s="12">
        <v>10914.02</v>
      </c>
      <c r="X114" s="11">
        <v>6548.74</v>
      </c>
      <c r="Y114" s="11">
        <v>4365.28</v>
      </c>
      <c r="Z114" s="11">
        <f>ROUND(W114-X114,2)</f>
        <v>4365.28</v>
      </c>
      <c r="AA114" s="4">
        <f>IF(W114=0,0,Z114/W114)</f>
        <v>0.39996994691232007</v>
      </c>
      <c r="AB114" t="s">
        <v>31</v>
      </c>
      <c r="AC114" t="s">
        <v>32</v>
      </c>
      <c r="AD114" t="str">
        <f>IF(AND(E114="", T114&gt;=0, T114&lt;=0.5, K114&lt;&gt;"Unknown", Q114&lt;&gt;"Unknown"), "CLEAN", _xlfn.CONCAT("WARNING: ", IF(E114&lt;&gt;"","invalid_date",""), IF(T114&lt;0,"negative_discount",""), IF(AND(T114&gt;0.5,T114&lt;=1),"high_discount",""), IF(K114="Unknown","missing_region",""), IF(Q114="Unknown","missing_ship_mode","")))</f>
        <v>WARNING: missing_region</v>
      </c>
      <c r="AE114" t="str">
        <f>IF(COUNTIF($AF$2:$AF$926,AF114)&gt;1,"DUPLICATE","UNIQUE")</f>
        <v>UNIQUE</v>
      </c>
      <c r="AF114" t="str">
        <f>A114&amp;"|"&amp;B114&amp;"|"&amp;H114&amp;"|"&amp;I114&amp;"|"&amp;R114&amp;"|"&amp;S114&amp;"|"&amp;V114</f>
        <v>ORD-2024-10113|2024-01-10|CUST-5213|Sneha Kapoor|3|3829.48|10914.02</v>
      </c>
      <c r="AG114" t="str">
        <f>IF(COUNTIF($A$2:$A$913,A114)&gt;1,"TRUE","FALSE")</f>
        <v>FALSE</v>
      </c>
    </row>
    <row r="115" spans="1:33">
      <c r="A115" t="s">
        <v>450</v>
      </c>
      <c r="B115" t="s">
        <v>2712</v>
      </c>
      <c r="C115" t="s">
        <v>2712</v>
      </c>
      <c r="D115">
        <f>IF(OR(B115="", C115=""), "", (C115 - B115))</f>
        <v>0</v>
      </c>
      <c r="E115" t="str">
        <f>IF(C115&lt;B115, "INVALID: Ship date before order date", "")</f>
        <v/>
      </c>
      <c r="F115" t="str">
        <f>IF(B115="", "", TEXT(B115, "mmmm"))</f>
        <v>December</v>
      </c>
      <c r="G115">
        <f>IF(B115="", "", YEAR(B115))</f>
        <v>2024</v>
      </c>
      <c r="H115" t="s">
        <v>364</v>
      </c>
      <c r="I115" t="s">
        <v>46</v>
      </c>
      <c r="J115" t="s">
        <v>93</v>
      </c>
      <c r="K115" t="s">
        <v>53</v>
      </c>
      <c r="L115" t="s">
        <v>246</v>
      </c>
      <c r="M115" t="s">
        <v>247</v>
      </c>
      <c r="N115" t="s">
        <v>40</v>
      </c>
      <c r="O115" t="s">
        <v>41</v>
      </c>
      <c r="P115" t="s">
        <v>451</v>
      </c>
      <c r="Q115" t="s">
        <v>58</v>
      </c>
      <c r="R115">
        <v>3</v>
      </c>
      <c r="S115" s="15">
        <v>1089.1500000000001</v>
      </c>
      <c r="T115" s="4">
        <v>0.25</v>
      </c>
      <c r="U115" s="3" t="str">
        <f>IF(T115&lt;0, "negative_discount", IF(AND(T115&gt;0.5, T115&lt;=1), "high_discount", ""))</f>
        <v/>
      </c>
      <c r="V115" s="11">
        <v>2450.59</v>
      </c>
      <c r="W115" s="12">
        <v>2450.59</v>
      </c>
      <c r="X115" s="11">
        <v>1639.89</v>
      </c>
      <c r="Y115" s="11">
        <v>810.7</v>
      </c>
      <c r="Z115" s="11">
        <f>ROUND(W115-X115,2)</f>
        <v>810.7</v>
      </c>
      <c r="AA115" s="4">
        <f>IF(W115=0,0,Z115/W115)</f>
        <v>0.33081829273766727</v>
      </c>
      <c r="AB115" t="s">
        <v>31</v>
      </c>
      <c r="AC115" t="s">
        <v>32</v>
      </c>
      <c r="AD115" t="str">
        <f>IF(AND(E115="", T115&gt;=0, T115&lt;=0.5, K115&lt;&gt;"Unknown", Q115&lt;&gt;"Unknown"), "CLEAN", _xlfn.CONCAT("WARNING: ", IF(E115&lt;&gt;"","invalid_date",""), IF(T115&lt;0,"negative_discount",""), IF(AND(T115&gt;0.5,T115&lt;=1),"high_discount",""), IF(K115="Unknown","missing_region",""), IF(Q115="Unknown","missing_ship_mode","")))</f>
        <v>CLEAN</v>
      </c>
      <c r="AE115" t="str">
        <f>IF(COUNTIF($AF$2:$AF$926,AF115)&gt;1,"DUPLICATE","UNIQUE")</f>
        <v>UNIQUE</v>
      </c>
      <c r="AF115" t="str">
        <f>A115&amp;"|"&amp;B115&amp;"|"&amp;H115&amp;"|"&amp;I115&amp;"|"&amp;R115&amp;"|"&amp;S115&amp;"|"&amp;V115</f>
        <v>ORD-2024-10114|2024-12-02|CUST-4989|Isha Nair|3|1089.15|2450.59</v>
      </c>
      <c r="AG115" t="str">
        <f>IF(COUNTIF($A$2:$A$913,A115)&gt;1,"TRUE","FALSE")</f>
        <v>FALSE</v>
      </c>
    </row>
    <row r="116" spans="1:33">
      <c r="A116" t="s">
        <v>452</v>
      </c>
      <c r="B116" t="s">
        <v>453</v>
      </c>
      <c r="C116" t="s">
        <v>640</v>
      </c>
      <c r="D116">
        <f>IF(OR(B116="", C116=""), "", (C116 - B116))</f>
        <v>5</v>
      </c>
      <c r="E116" t="str">
        <f>IF(C116&lt;B116, "INVALID: Ship date before order date", "")</f>
        <v/>
      </c>
      <c r="F116" t="str">
        <f>IF(B116="", "", TEXT(B116, "mmmm"))</f>
        <v>September</v>
      </c>
      <c r="G116">
        <f>IF(B116="", "", YEAR(B116))</f>
        <v>2024</v>
      </c>
      <c r="H116" t="s">
        <v>454</v>
      </c>
      <c r="I116" t="s">
        <v>78</v>
      </c>
      <c r="J116" t="s">
        <v>36</v>
      </c>
      <c r="K116" t="s">
        <v>24</v>
      </c>
      <c r="L116" t="s">
        <v>25</v>
      </c>
      <c r="M116" t="s">
        <v>26</v>
      </c>
      <c r="N116" t="s">
        <v>74</v>
      </c>
      <c r="O116" t="s">
        <v>75</v>
      </c>
      <c r="P116" t="s">
        <v>455</v>
      </c>
      <c r="Q116" t="s">
        <v>30</v>
      </c>
      <c r="R116">
        <v>1</v>
      </c>
      <c r="S116" s="15">
        <v>4388.3999999999996</v>
      </c>
      <c r="T116" s="4">
        <v>0.1</v>
      </c>
      <c r="U116" s="3" t="str">
        <f>IF(T116&lt;0, "negative_discount", IF(AND(T116&gt;0.5, T116&lt;=1), "high_discount", ""))</f>
        <v/>
      </c>
      <c r="V116" s="11">
        <v>3949.56</v>
      </c>
      <c r="W116" s="12">
        <v>3949.56</v>
      </c>
      <c r="X116" s="11">
        <v>3186.73</v>
      </c>
      <c r="Y116" s="11">
        <v>762.83</v>
      </c>
      <c r="Z116" s="11">
        <f>ROUND(W116-X116,2)</f>
        <v>762.83</v>
      </c>
      <c r="AA116" s="4">
        <f>IF(W116=0,0,Z116/W116)</f>
        <v>0.19314303365438176</v>
      </c>
      <c r="AB116" t="s">
        <v>109</v>
      </c>
      <c r="AC116" t="s">
        <v>67</v>
      </c>
      <c r="AD116" t="str">
        <f>IF(AND(E116="", T116&gt;=0, T116&lt;=0.5, K116&lt;&gt;"Unknown", Q116&lt;&gt;"Unknown"), "CLEAN", _xlfn.CONCAT("WARNING: ", IF(E116&lt;&gt;"","invalid_date",""), IF(T116&lt;0,"negative_discount",""), IF(AND(T116&gt;0.5,T116&lt;=1),"high_discount",""), IF(K116="Unknown","missing_region",""), IF(Q116="Unknown","missing_ship_mode","")))</f>
        <v>CLEAN</v>
      </c>
      <c r="AE116" t="str">
        <f>IF(COUNTIF($AF$2:$AF$926,AF116)&gt;1,"DUPLICATE","UNIQUE")</f>
        <v>UNIQUE</v>
      </c>
      <c r="AF116" t="str">
        <f>A116&amp;"|"&amp;B116&amp;"|"&amp;H116&amp;"|"&amp;I116&amp;"|"&amp;R116&amp;"|"&amp;S116&amp;"|"&amp;V116</f>
        <v>ORD-2024-10115|2024-09-25|CUST-2927|Neha Gupta|1|4388.4|3949.56</v>
      </c>
      <c r="AG116" t="str">
        <f>IF(COUNTIF($A$2:$A$913,A116)&gt;1,"TRUE","FALSE")</f>
        <v>FALSE</v>
      </c>
    </row>
    <row r="117" spans="1:33">
      <c r="A117" t="s">
        <v>456</v>
      </c>
      <c r="B117" t="s">
        <v>457</v>
      </c>
      <c r="C117" t="s">
        <v>2755</v>
      </c>
      <c r="D117">
        <f>IF(OR(B117="", C117=""), "", (C117 - B117))</f>
        <v>5</v>
      </c>
      <c r="E117" t="str">
        <f>IF(C117&lt;B117, "INVALID: Ship date before order date", "")</f>
        <v/>
      </c>
      <c r="F117" t="str">
        <f>IF(B117="", "", TEXT(B117, "mmmm"))</f>
        <v>December</v>
      </c>
      <c r="G117">
        <f>IF(B117="", "", YEAR(B117))</f>
        <v>2024</v>
      </c>
      <c r="H117" t="s">
        <v>458</v>
      </c>
      <c r="I117" t="s">
        <v>263</v>
      </c>
      <c r="J117" t="s">
        <v>89</v>
      </c>
      <c r="K117" t="s">
        <v>53</v>
      </c>
      <c r="L117" t="s">
        <v>246</v>
      </c>
      <c r="M117" t="s">
        <v>247</v>
      </c>
      <c r="N117" t="s">
        <v>27</v>
      </c>
      <c r="O117" t="s">
        <v>149</v>
      </c>
      <c r="P117" t="s">
        <v>459</v>
      </c>
      <c r="Q117" t="s">
        <v>43</v>
      </c>
      <c r="R117">
        <v>2</v>
      </c>
      <c r="S117" s="15">
        <v>446.34</v>
      </c>
      <c r="T117" s="4">
        <v>0.15</v>
      </c>
      <c r="U117" s="3" t="str">
        <f>IF(T117&lt;0, "negative_discount", IF(AND(T117&gt;0.5, T117&lt;=1), "high_discount", ""))</f>
        <v/>
      </c>
      <c r="V117" s="11">
        <v>758.78</v>
      </c>
      <c r="W117" s="12">
        <v>758.78</v>
      </c>
      <c r="X117" s="11">
        <v>490.74</v>
      </c>
      <c r="Y117" s="11">
        <v>268.04000000000002</v>
      </c>
      <c r="Z117" s="11">
        <f>ROUND(W117-X117,2)</f>
        <v>268.04000000000002</v>
      </c>
      <c r="AA117" s="4">
        <f>IF(W117=0,0,Z117/W117)</f>
        <v>0.35325127177838112</v>
      </c>
      <c r="AB117" t="s">
        <v>31</v>
      </c>
      <c r="AC117" t="s">
        <v>67</v>
      </c>
      <c r="AD117" t="str">
        <f>IF(AND(E117="", T117&gt;=0, T117&lt;=0.5, K117&lt;&gt;"Unknown", Q117&lt;&gt;"Unknown"), "CLEAN", _xlfn.CONCAT("WARNING: ", IF(E117&lt;&gt;"","invalid_date",""), IF(T117&lt;0,"negative_discount",""), IF(AND(T117&gt;0.5,T117&lt;=1),"high_discount",""), IF(K117="Unknown","missing_region",""), IF(Q117="Unknown","missing_ship_mode","")))</f>
        <v>CLEAN</v>
      </c>
      <c r="AE117" t="str">
        <f>IF(COUNTIF($AF$2:$AF$926,AF117)&gt;1,"DUPLICATE","UNIQUE")</f>
        <v>UNIQUE</v>
      </c>
      <c r="AF117" t="str">
        <f>A117&amp;"|"&amp;B117&amp;"|"&amp;H117&amp;"|"&amp;I117&amp;"|"&amp;R117&amp;"|"&amp;S117&amp;"|"&amp;V117</f>
        <v>ORD-2024-10116|2024-12-27|CUST-7764|Kabir Singh|2|446.34|758.78</v>
      </c>
      <c r="AG117" t="str">
        <f>IF(COUNTIF($A$2:$A$913,A117)&gt;1,"TRUE","FALSE")</f>
        <v>FALSE</v>
      </c>
    </row>
    <row r="118" spans="1:33">
      <c r="A118" t="s">
        <v>3019</v>
      </c>
      <c r="B118" t="s">
        <v>460</v>
      </c>
      <c r="C118" t="s">
        <v>2745</v>
      </c>
      <c r="D118">
        <f>IF(OR(B118="", C118=""), "", (C118 - B118))</f>
        <v>4</v>
      </c>
      <c r="E118" t="str">
        <f>IF(C118&lt;B118, "INVALID: Ship date before order date", "")</f>
        <v/>
      </c>
      <c r="F118" t="str">
        <f>IF(B118="", "", TEXT(B118, "mmmm"))</f>
        <v>February</v>
      </c>
      <c r="G118">
        <f>IF(B118="", "", YEAR(B118))</f>
        <v>2025</v>
      </c>
      <c r="H118" t="s">
        <v>461</v>
      </c>
      <c r="I118" t="s">
        <v>61</v>
      </c>
      <c r="J118" t="s">
        <v>36</v>
      </c>
      <c r="K118" t="s">
        <v>2970</v>
      </c>
      <c r="L118" t="s">
        <v>72</v>
      </c>
      <c r="M118" t="s">
        <v>73</v>
      </c>
      <c r="N118" t="s">
        <v>27</v>
      </c>
      <c r="O118" t="s">
        <v>149</v>
      </c>
      <c r="P118" t="s">
        <v>462</v>
      </c>
      <c r="Q118" t="s">
        <v>49</v>
      </c>
      <c r="R118">
        <v>9</v>
      </c>
      <c r="S118" s="15">
        <v>531.99</v>
      </c>
      <c r="T118" s="4">
        <v>0.25</v>
      </c>
      <c r="U118" s="3" t="str">
        <f>IF(T118&lt;0, "negative_discount", IF(AND(T118&gt;0.5, T118&lt;=1), "high_discount", ""))</f>
        <v/>
      </c>
      <c r="V118" s="11">
        <v>3590.93</v>
      </c>
      <c r="W118" s="12">
        <v>3590.93</v>
      </c>
      <c r="X118" s="11">
        <v>3061.39</v>
      </c>
      <c r="Y118" s="11">
        <v>529.54</v>
      </c>
      <c r="Z118" s="11">
        <f>ROUND(W118-X118,2)</f>
        <v>529.54</v>
      </c>
      <c r="AA118" s="4">
        <f>IF(W118=0,0,Z118/W118)</f>
        <v>0.14746597678038836</v>
      </c>
      <c r="AB118" t="s">
        <v>151</v>
      </c>
      <c r="AC118" t="s">
        <v>67</v>
      </c>
      <c r="AD118" t="str">
        <f>IF(AND(E118="", T118&gt;=0, T118&lt;=0.5, K118&lt;&gt;"Unknown", Q118&lt;&gt;"Unknown"), "CLEAN", _xlfn.CONCAT("WARNING: ", IF(E118&lt;&gt;"","invalid_date",""), IF(T118&lt;0,"negative_discount",""), IF(AND(T118&gt;0.5,T118&lt;=1),"high_discount",""), IF(K118="Unknown","missing_region",""), IF(Q118="Unknown","missing_ship_mode","")))</f>
        <v>WARNING: missing_region</v>
      </c>
      <c r="AE118" t="str">
        <f>IF(COUNTIF($AF$2:$AF$926,AF118)&gt;1,"DUPLICATE","UNIQUE")</f>
        <v>UNIQUE</v>
      </c>
      <c r="AF118" t="str">
        <f>A118&amp;"|"&amp;B118&amp;"|"&amp;H118&amp;"|"&amp;I118&amp;"|"&amp;R118&amp;"|"&amp;S118&amp;"|"&amp;V118</f>
        <v>ORD-2025-10117|2025-02-15|CUST-3632|Ananya Rao|9|531.99|3590.93</v>
      </c>
      <c r="AG118" t="str">
        <f>IF(COUNTIF($A$2:$A$913,A118)&gt;1,"TRUE","FALSE")</f>
        <v>FALSE</v>
      </c>
    </row>
    <row r="119" spans="1:33">
      <c r="A119" t="s">
        <v>463</v>
      </c>
      <c r="B119" t="s">
        <v>464</v>
      </c>
      <c r="C119" t="s">
        <v>2838</v>
      </c>
      <c r="D119">
        <f>IF(OR(B119="", C119=""), "", (C119 - B119))</f>
        <v>2</v>
      </c>
      <c r="E119" t="str">
        <f>IF(C119&lt;B119, "INVALID: Ship date before order date", "")</f>
        <v/>
      </c>
      <c r="F119" t="str">
        <f>IF(B119="", "", TEXT(B119, "mmmm"))</f>
        <v>February</v>
      </c>
      <c r="G119">
        <f>IF(B119="", "", YEAR(B119))</f>
        <v>2024</v>
      </c>
      <c r="H119" t="s">
        <v>465</v>
      </c>
      <c r="I119" t="s">
        <v>35</v>
      </c>
      <c r="J119" t="s">
        <v>93</v>
      </c>
      <c r="K119" t="s">
        <v>53</v>
      </c>
      <c r="L119" t="s">
        <v>246</v>
      </c>
      <c r="M119" t="s">
        <v>247</v>
      </c>
      <c r="N119" t="s">
        <v>74</v>
      </c>
      <c r="O119" t="s">
        <v>272</v>
      </c>
      <c r="P119" t="s">
        <v>466</v>
      </c>
      <c r="Q119" t="s">
        <v>58</v>
      </c>
      <c r="R119">
        <v>9</v>
      </c>
      <c r="S119" s="15">
        <v>3324.55</v>
      </c>
      <c r="T119" s="4">
        <v>0.7</v>
      </c>
      <c r="U119" s="3" t="str">
        <f>IF(T119&lt;0, "negative_discount", IF(AND(T119&gt;0.5, T119&lt;=1), "high_discount", ""))</f>
        <v>high_discount</v>
      </c>
      <c r="V119" s="11">
        <v>25432.81</v>
      </c>
      <c r="W119" s="12">
        <v>8976.2900000000009</v>
      </c>
      <c r="X119" s="11">
        <v>20370.16</v>
      </c>
      <c r="Y119" s="11">
        <v>5062.6499999999996</v>
      </c>
      <c r="Z119" s="11">
        <f>ROUND(W119-X119,2)</f>
        <v>-11393.87</v>
      </c>
      <c r="AA119" s="4">
        <f>IF(W119=0,0,Z119/W119)</f>
        <v>-1.2693295336937642</v>
      </c>
      <c r="AB119" t="s">
        <v>31</v>
      </c>
      <c r="AC119" t="s">
        <v>32</v>
      </c>
      <c r="AD119" t="str">
        <f>IF(AND(E119="", T119&gt;=0, T119&lt;=0.5, K119&lt;&gt;"Unknown", Q119&lt;&gt;"Unknown"), "CLEAN", _xlfn.CONCAT("WARNING: ", IF(E119&lt;&gt;"","invalid_date",""), IF(T119&lt;0,"negative_discount",""), IF(AND(T119&gt;0.5,T119&lt;=1),"high_discount",""), IF(K119="Unknown","missing_region",""), IF(Q119="Unknown","missing_ship_mode","")))</f>
        <v>WARNING: high_discount</v>
      </c>
      <c r="AE119" t="str">
        <f>IF(COUNTIF($AF$2:$AF$926,AF119)&gt;1,"DUPLICATE","UNIQUE")</f>
        <v>UNIQUE</v>
      </c>
      <c r="AF119" t="str">
        <f>A119&amp;"|"&amp;B119&amp;"|"&amp;H119&amp;"|"&amp;I119&amp;"|"&amp;R119&amp;"|"&amp;S119&amp;"|"&amp;V119</f>
        <v>ORD-2024-10118|2024-02-15|CUST-9608|Mira Das|9|3324.55|25432.81</v>
      </c>
      <c r="AG119" t="str">
        <f>IF(COUNTIF($A$2:$A$913,A119)&gt;1,"TRUE","FALSE")</f>
        <v>FALSE</v>
      </c>
    </row>
    <row r="120" spans="1:33">
      <c r="A120" t="s">
        <v>467</v>
      </c>
      <c r="B120" t="s">
        <v>1489</v>
      </c>
      <c r="C120" t="s">
        <v>468</v>
      </c>
      <c r="D120">
        <f>IF(OR(B120="", C120=""), "", (C120 - B120))</f>
        <v>8</v>
      </c>
      <c r="E120" t="str">
        <f>IF(C120&lt;B120, "INVALID: Ship date before order date", "")</f>
        <v/>
      </c>
      <c r="F120" t="str">
        <f>IF(B120="", "", TEXT(B120, "mmmm"))</f>
        <v>June</v>
      </c>
      <c r="G120">
        <f>IF(B120="", "", YEAR(B120))</f>
        <v>2024</v>
      </c>
      <c r="H120" t="s">
        <v>469</v>
      </c>
      <c r="I120" t="s">
        <v>71</v>
      </c>
      <c r="J120" t="s">
        <v>93</v>
      </c>
      <c r="K120" t="s">
        <v>53</v>
      </c>
      <c r="L120" t="s">
        <v>83</v>
      </c>
      <c r="M120" t="s">
        <v>84</v>
      </c>
      <c r="N120" t="s">
        <v>74</v>
      </c>
      <c r="O120" t="s">
        <v>79</v>
      </c>
      <c r="P120" t="s">
        <v>470</v>
      </c>
      <c r="Q120" t="s">
        <v>43</v>
      </c>
      <c r="R120">
        <v>5</v>
      </c>
      <c r="S120" s="15">
        <v>1580.27</v>
      </c>
      <c r="T120" s="4">
        <v>0.2</v>
      </c>
      <c r="U120" s="3" t="str">
        <f>IF(T120&lt;0, "negative_discount", IF(AND(T120&gt;0.5, T120&lt;=1), "high_discount", ""))</f>
        <v/>
      </c>
      <c r="V120" s="11">
        <v>6321.08</v>
      </c>
      <c r="W120" s="12">
        <v>6321.08</v>
      </c>
      <c r="X120" s="11">
        <v>4407.22</v>
      </c>
      <c r="Y120" s="11">
        <v>1913.86</v>
      </c>
      <c r="Z120" s="11">
        <f>ROUND(W120-X120,2)</f>
        <v>1913.86</v>
      </c>
      <c r="AA120" s="4">
        <f>IF(W120=0,0,Z120/W120)</f>
        <v>0.30277420947053352</v>
      </c>
      <c r="AB120" t="s">
        <v>31</v>
      </c>
      <c r="AC120" t="s">
        <v>32</v>
      </c>
      <c r="AD120" t="str">
        <f>IF(AND(E120="", T120&gt;=0, T120&lt;=0.5, K120&lt;&gt;"Unknown", Q120&lt;&gt;"Unknown"), "CLEAN", _xlfn.CONCAT("WARNING: ", IF(E120&lt;&gt;"","invalid_date",""), IF(T120&lt;0,"negative_discount",""), IF(AND(T120&gt;0.5,T120&lt;=1),"high_discount",""), IF(K120="Unknown","missing_region",""), IF(Q120="Unknown","missing_ship_mode","")))</f>
        <v>CLEAN</v>
      </c>
      <c r="AE120" t="str">
        <f>IF(COUNTIF($AF$2:$AF$926,AF120)&gt;1,"DUPLICATE","UNIQUE")</f>
        <v>UNIQUE</v>
      </c>
      <c r="AF120" t="str">
        <f>A120&amp;"|"&amp;B120&amp;"|"&amp;H120&amp;"|"&amp;I120&amp;"|"&amp;R120&amp;"|"&amp;S120&amp;"|"&amp;V120</f>
        <v>ORD-2024-10119|2024-06-10|CUST-9135|Vikram Iyer|5|1580.27|6321.08</v>
      </c>
      <c r="AG120" t="str">
        <f>IF(COUNTIF($A$2:$A$913,A120)&gt;1,"TRUE","FALSE")</f>
        <v>FALSE</v>
      </c>
    </row>
    <row r="121" spans="1:33">
      <c r="A121" t="s">
        <v>471</v>
      </c>
      <c r="B121" t="s">
        <v>2562</v>
      </c>
      <c r="C121" t="s">
        <v>2839</v>
      </c>
      <c r="D121">
        <f>IF(OR(B121="", C121=""), "", (C121 - B121))</f>
        <v>7</v>
      </c>
      <c r="E121" t="str">
        <f>IF(C121&lt;B121, "INVALID: Ship date before order date", "")</f>
        <v/>
      </c>
      <c r="F121" t="str">
        <f>IF(B121="", "", TEXT(B121, "mmmm"))</f>
        <v>June</v>
      </c>
      <c r="G121">
        <f>IF(B121="", "", YEAR(B121))</f>
        <v>2024</v>
      </c>
      <c r="H121" t="s">
        <v>472</v>
      </c>
      <c r="I121" t="s">
        <v>88</v>
      </c>
      <c r="J121" t="s">
        <v>36</v>
      </c>
      <c r="K121" t="s">
        <v>53</v>
      </c>
      <c r="L121" t="s">
        <v>180</v>
      </c>
      <c r="M121" t="s">
        <v>181</v>
      </c>
      <c r="N121" t="s">
        <v>40</v>
      </c>
      <c r="O121" t="s">
        <v>65</v>
      </c>
      <c r="P121" t="s">
        <v>473</v>
      </c>
      <c r="Q121" t="s">
        <v>58</v>
      </c>
      <c r="R121">
        <v>8</v>
      </c>
      <c r="S121" s="15">
        <v>314.05</v>
      </c>
      <c r="T121" s="4">
        <v>0.25</v>
      </c>
      <c r="U121" s="3" t="str">
        <f>IF(T121&lt;0, "negative_discount", IF(AND(T121&gt;0.5, T121&lt;=1), "high_discount", ""))</f>
        <v/>
      </c>
      <c r="V121" s="11">
        <v>1884.3</v>
      </c>
      <c r="W121" s="12">
        <v>1884.3</v>
      </c>
      <c r="X121" s="11">
        <v>1517.69</v>
      </c>
      <c r="Y121" s="11">
        <v>366.61</v>
      </c>
      <c r="Z121" s="11">
        <f>ROUND(W121-X121,2)</f>
        <v>366.61</v>
      </c>
      <c r="AA121" s="4">
        <f>IF(W121=0,0,Z121/W121)</f>
        <v>0.19456031417502523</v>
      </c>
      <c r="AB121" t="s">
        <v>99</v>
      </c>
      <c r="AC121" t="s">
        <v>100</v>
      </c>
      <c r="AD121" t="str">
        <f>IF(AND(E121="", T121&gt;=0, T121&lt;=0.5, K121&lt;&gt;"Unknown", Q121&lt;&gt;"Unknown"), "CLEAN", _xlfn.CONCAT("WARNING: ", IF(E121&lt;&gt;"","invalid_date",""), IF(T121&lt;0,"negative_discount",""), IF(AND(T121&gt;0.5,T121&lt;=1),"high_discount",""), IF(K121="Unknown","missing_region",""), IF(Q121="Unknown","missing_ship_mode","")))</f>
        <v>CLEAN</v>
      </c>
      <c r="AE121" t="str">
        <f>IF(COUNTIF($AF$2:$AF$926,AF121)&gt;1,"DUPLICATE","UNIQUE")</f>
        <v>UNIQUE</v>
      </c>
      <c r="AF121" t="str">
        <f>A121&amp;"|"&amp;B121&amp;"|"&amp;H121&amp;"|"&amp;I121&amp;"|"&amp;R121&amp;"|"&amp;S121&amp;"|"&amp;V121</f>
        <v>ORD-2024-10120|2024-06-12|CUST-7861|Aditi Sen|8|314.05|1884.3</v>
      </c>
      <c r="AG121" t="str">
        <f>IF(COUNTIF($A$2:$A$913,A121)&gt;1,"TRUE","FALSE")</f>
        <v>FALSE</v>
      </c>
    </row>
    <row r="122" spans="1:33">
      <c r="A122" t="s">
        <v>474</v>
      </c>
      <c r="B122" t="s">
        <v>350</v>
      </c>
      <c r="C122" t="s">
        <v>475</v>
      </c>
      <c r="D122">
        <f>IF(OR(B122="", C122=""), "", (C122 - B122))</f>
        <v>8</v>
      </c>
      <c r="E122" t="str">
        <f>IF(C122&lt;B122, "INVALID: Ship date before order date", "")</f>
        <v/>
      </c>
      <c r="F122" t="str">
        <f>IF(B122="", "", TEXT(B122, "mmmm"))</f>
        <v>August</v>
      </c>
      <c r="G122">
        <f>IF(B122="", "", YEAR(B122))</f>
        <v>2024</v>
      </c>
      <c r="H122" t="s">
        <v>476</v>
      </c>
      <c r="I122" t="s">
        <v>131</v>
      </c>
      <c r="J122" t="s">
        <v>36</v>
      </c>
      <c r="K122" t="s">
        <v>37</v>
      </c>
      <c r="L122" t="s">
        <v>142</v>
      </c>
      <c r="M122" t="s">
        <v>143</v>
      </c>
      <c r="N122" t="s">
        <v>74</v>
      </c>
      <c r="O122" t="s">
        <v>168</v>
      </c>
      <c r="P122" t="s">
        <v>477</v>
      </c>
      <c r="Q122" t="s">
        <v>58</v>
      </c>
      <c r="R122">
        <v>1</v>
      </c>
      <c r="S122" s="15">
        <v>1823.67</v>
      </c>
      <c r="T122" s="4">
        <v>0.2</v>
      </c>
      <c r="U122" s="3" t="str">
        <f>IF(T122&lt;0, "negative_discount", IF(AND(T122&gt;0.5, T122&lt;=1), "high_discount", ""))</f>
        <v/>
      </c>
      <c r="V122" s="11">
        <v>1458.94</v>
      </c>
      <c r="W122" s="12">
        <v>1458.94</v>
      </c>
      <c r="X122" s="11">
        <v>893.2</v>
      </c>
      <c r="Y122" s="11">
        <v>565.74</v>
      </c>
      <c r="Z122" s="11">
        <f>ROUND(W122-X122,2)</f>
        <v>565.74</v>
      </c>
      <c r="AA122" s="4">
        <f>IF(W122=0,0,Z122/W122)</f>
        <v>0.38777468573073598</v>
      </c>
      <c r="AB122" t="s">
        <v>31</v>
      </c>
      <c r="AC122" t="s">
        <v>100</v>
      </c>
      <c r="AD122" t="str">
        <f>IF(AND(E122="", T122&gt;=0, T122&lt;=0.5, K122&lt;&gt;"Unknown", Q122&lt;&gt;"Unknown"), "CLEAN", _xlfn.CONCAT("WARNING: ", IF(E122&lt;&gt;"","invalid_date",""), IF(T122&lt;0,"negative_discount",""), IF(AND(T122&gt;0.5,T122&lt;=1),"high_discount",""), IF(K122="Unknown","missing_region",""), IF(Q122="Unknown","missing_ship_mode","")))</f>
        <v>CLEAN</v>
      </c>
      <c r="AE122" t="str">
        <f>IF(COUNTIF($AF$2:$AF$926,AF122)&gt;1,"DUPLICATE","UNIQUE")</f>
        <v>UNIQUE</v>
      </c>
      <c r="AF122" t="str">
        <f>A122&amp;"|"&amp;B122&amp;"|"&amp;H122&amp;"|"&amp;I122&amp;"|"&amp;R122&amp;"|"&amp;S122&amp;"|"&amp;V122</f>
        <v>ORD-2024-10121|2024-08-10|CUST-6096|Sneha Kapoor|1|1823.67|1458.94</v>
      </c>
      <c r="AG122" t="str">
        <f>IF(COUNTIF($A$2:$A$913,A122)&gt;1,"TRUE","FALSE")</f>
        <v>FALSE</v>
      </c>
    </row>
    <row r="123" spans="1:33">
      <c r="A123" t="s">
        <v>3020</v>
      </c>
      <c r="B123" t="s">
        <v>321</v>
      </c>
      <c r="C123" t="s">
        <v>963</v>
      </c>
      <c r="D123">
        <f>IF(OR(B123="", C123=""), "", (C123 - B123))</f>
        <v>4</v>
      </c>
      <c r="E123" t="str">
        <f>IF(C123&lt;B123, "INVALID: Ship date before order date", "")</f>
        <v/>
      </c>
      <c r="F123" t="str">
        <f>IF(B123="", "", TEXT(B123, "mmmm"))</f>
        <v>August</v>
      </c>
      <c r="G123">
        <f>IF(B123="", "", YEAR(B123))</f>
        <v>2025</v>
      </c>
      <c r="H123" t="s">
        <v>478</v>
      </c>
      <c r="I123" t="s">
        <v>263</v>
      </c>
      <c r="J123" t="s">
        <v>36</v>
      </c>
      <c r="K123" t="s">
        <v>53</v>
      </c>
      <c r="L123" t="s">
        <v>83</v>
      </c>
      <c r="M123" t="s">
        <v>84</v>
      </c>
      <c r="N123" t="s">
        <v>74</v>
      </c>
      <c r="O123" t="s">
        <v>272</v>
      </c>
      <c r="P123" t="s">
        <v>479</v>
      </c>
      <c r="Q123" t="s">
        <v>30</v>
      </c>
      <c r="R123">
        <v>5</v>
      </c>
      <c r="S123" s="15">
        <v>3482.92</v>
      </c>
      <c r="T123" s="4">
        <v>0</v>
      </c>
      <c r="U123" s="3" t="str">
        <f>IF(T123&lt;0, "negative_discount", IF(AND(T123&gt;0.5, T123&lt;=1), "high_discount", ""))</f>
        <v/>
      </c>
      <c r="V123" s="11">
        <v>17414.599999999999</v>
      </c>
      <c r="W123" s="12">
        <v>17414.599999999999</v>
      </c>
      <c r="X123" s="11">
        <v>11760.91</v>
      </c>
      <c r="Y123" s="11">
        <v>5653.69</v>
      </c>
      <c r="Z123" s="11">
        <f>ROUND(W123-X123,2)</f>
        <v>5653.69</v>
      </c>
      <c r="AA123" s="4">
        <f>IF(W123=0,0,Z123/W123)</f>
        <v>0.32465230323981026</v>
      </c>
      <c r="AB123" t="s">
        <v>99</v>
      </c>
      <c r="AC123" t="s">
        <v>67</v>
      </c>
      <c r="AD123" t="str">
        <f>IF(AND(E123="", T123&gt;=0, T123&lt;=0.5, K123&lt;&gt;"Unknown", Q123&lt;&gt;"Unknown"), "CLEAN", _xlfn.CONCAT("WARNING: ", IF(E123&lt;&gt;"","invalid_date",""), IF(T123&lt;0,"negative_discount",""), IF(AND(T123&gt;0.5,T123&lt;=1),"high_discount",""), IF(K123="Unknown","missing_region",""), IF(Q123="Unknown","missing_ship_mode","")))</f>
        <v>CLEAN</v>
      </c>
      <c r="AE123" t="str">
        <f>IF(COUNTIF($AF$2:$AF$926,AF123)&gt;1,"DUPLICATE","UNIQUE")</f>
        <v>UNIQUE</v>
      </c>
      <c r="AF123" t="str">
        <f>A123&amp;"|"&amp;B123&amp;"|"&amp;H123&amp;"|"&amp;I123&amp;"|"&amp;R123&amp;"|"&amp;S123&amp;"|"&amp;V123</f>
        <v>ORD-2025-10122|2025-08-22|CUST-2044|Kabir Singh|5|3482.92|17414.6</v>
      </c>
      <c r="AG123" t="str">
        <f>IF(COUNTIF($A$2:$A$913,A123)&gt;1,"TRUE","FALSE")</f>
        <v>FALSE</v>
      </c>
    </row>
    <row r="124" spans="1:33">
      <c r="A124" t="s">
        <v>480</v>
      </c>
      <c r="B124" t="s">
        <v>2453</v>
      </c>
      <c r="C124" t="s">
        <v>1304</v>
      </c>
      <c r="D124">
        <f>IF(OR(B124="", C124=""), "", (C124 - B124))</f>
        <v>-232</v>
      </c>
      <c r="E124" t="str">
        <f>IF(C124&lt;B124, "INVALID: Ship date before order date", "")</f>
        <v>INVALID: Ship date before order date</v>
      </c>
      <c r="F124" t="str">
        <f>IF(B124="", "", TEXT(B124, "mmmm"))</f>
        <v>November</v>
      </c>
      <c r="G124">
        <f>IF(B124="", "", YEAR(B124))</f>
        <v>2024</v>
      </c>
      <c r="H124" t="s">
        <v>481</v>
      </c>
      <c r="I124" t="s">
        <v>61</v>
      </c>
      <c r="J124" t="s">
        <v>36</v>
      </c>
      <c r="K124" t="s">
        <v>37</v>
      </c>
      <c r="L124" t="s">
        <v>163</v>
      </c>
      <c r="M124" t="s">
        <v>164</v>
      </c>
      <c r="N124" t="s">
        <v>40</v>
      </c>
      <c r="O124" t="s">
        <v>65</v>
      </c>
      <c r="P124" t="s">
        <v>482</v>
      </c>
      <c r="Q124" t="s">
        <v>30</v>
      </c>
      <c r="R124">
        <v>3</v>
      </c>
      <c r="S124" s="15">
        <v>170.35</v>
      </c>
      <c r="T124" s="4">
        <v>0</v>
      </c>
      <c r="U124" s="3" t="str">
        <f>IF(T124&lt;0, "negative_discount", IF(AND(T124&gt;0.5, T124&lt;=1), "high_discount", ""))</f>
        <v/>
      </c>
      <c r="V124" s="11">
        <v>511.05</v>
      </c>
      <c r="W124" s="12">
        <v>511.05</v>
      </c>
      <c r="X124" s="11">
        <v>367.18</v>
      </c>
      <c r="Y124" s="11">
        <v>143.87</v>
      </c>
      <c r="Z124" s="11">
        <f>ROUND(W124-X124,2)</f>
        <v>143.87</v>
      </c>
      <c r="AA124" s="4">
        <f>IF(W124=0,0,Z124/W124)</f>
        <v>0.28151844242246354</v>
      </c>
      <c r="AB124" t="s">
        <v>31</v>
      </c>
      <c r="AC124" t="s">
        <v>32</v>
      </c>
      <c r="AD124" t="str">
        <f>IF(AND(E124="", T124&gt;=0, T124&lt;=0.5, K124&lt;&gt;"Unknown", Q124&lt;&gt;"Unknown"), "CLEAN", _xlfn.CONCAT("WARNING: ", IF(E124&lt;&gt;"","invalid_date",""), IF(T124&lt;0,"negative_discount",""), IF(AND(T124&gt;0.5,T124&lt;=1),"high_discount",""), IF(K124="Unknown","missing_region",""), IF(Q124="Unknown","missing_ship_mode","")))</f>
        <v>WARNING: invalid_date</v>
      </c>
      <c r="AE124" t="str">
        <f>IF(COUNTIF($AF$2:$AF$926,AF124)&gt;1,"DUPLICATE","UNIQUE")</f>
        <v>UNIQUE</v>
      </c>
      <c r="AF124" t="str">
        <f>A124&amp;"|"&amp;B124&amp;"|"&amp;H124&amp;"|"&amp;I124&amp;"|"&amp;R124&amp;"|"&amp;S124&amp;"|"&amp;V124</f>
        <v>ORD-2024-10123|2024-11-30|CUST-1721|Ananya Rao|3|170.35|511.05</v>
      </c>
      <c r="AG124" t="str">
        <f>IF(COUNTIF($A$2:$A$913,A124)&gt;1,"TRUE","FALSE")</f>
        <v>FALSE</v>
      </c>
    </row>
    <row r="125" spans="1:33">
      <c r="A125" t="s">
        <v>483</v>
      </c>
      <c r="B125" t="s">
        <v>69</v>
      </c>
      <c r="C125" t="s">
        <v>1958</v>
      </c>
      <c r="D125">
        <f>IF(OR(B125="", C125=""), "", (C125 - B125))</f>
        <v>1</v>
      </c>
      <c r="E125" t="str">
        <f>IF(C125&lt;B125, "INVALID: Ship date before order date", "")</f>
        <v/>
      </c>
      <c r="F125" t="str">
        <f>IF(B125="", "", TEXT(B125, "mmmm"))</f>
        <v>May</v>
      </c>
      <c r="G125">
        <f>IF(B125="", "", YEAR(B125))</f>
        <v>2024</v>
      </c>
      <c r="H125" t="s">
        <v>484</v>
      </c>
      <c r="I125" t="s">
        <v>131</v>
      </c>
      <c r="J125" t="s">
        <v>36</v>
      </c>
      <c r="K125" t="s">
        <v>24</v>
      </c>
      <c r="L125" t="s">
        <v>120</v>
      </c>
      <c r="M125" t="s">
        <v>121</v>
      </c>
      <c r="N125" t="s">
        <v>74</v>
      </c>
      <c r="O125" t="s">
        <v>79</v>
      </c>
      <c r="P125" t="s">
        <v>485</v>
      </c>
      <c r="Q125" t="s">
        <v>43</v>
      </c>
      <c r="R125">
        <v>1</v>
      </c>
      <c r="S125" s="15">
        <v>634.13</v>
      </c>
      <c r="T125" s="4">
        <v>0</v>
      </c>
      <c r="U125" s="3" t="str">
        <f>IF(T125&lt;0, "negative_discount", IF(AND(T125&gt;0.5, T125&lt;=1), "high_discount", ""))</f>
        <v/>
      </c>
      <c r="V125" s="11">
        <v>634.13</v>
      </c>
      <c r="W125" s="12">
        <v>634.13</v>
      </c>
      <c r="X125" s="11">
        <v>453.35</v>
      </c>
      <c r="Y125" s="11">
        <v>180.78</v>
      </c>
      <c r="Z125" s="11">
        <f>ROUND(W125-X125,2)</f>
        <v>180.78</v>
      </c>
      <c r="AA125" s="4">
        <f>IF(W125=0,0,Z125/W125)</f>
        <v>0.28508350022865975</v>
      </c>
      <c r="AB125" t="s">
        <v>99</v>
      </c>
      <c r="AC125" t="s">
        <v>67</v>
      </c>
      <c r="AD125" t="str">
        <f>IF(AND(E125="", T125&gt;=0, T125&lt;=0.5, K125&lt;&gt;"Unknown", Q125&lt;&gt;"Unknown"), "CLEAN", _xlfn.CONCAT("WARNING: ", IF(E125&lt;&gt;"","invalid_date",""), IF(T125&lt;0,"negative_discount",""), IF(AND(T125&gt;0.5,T125&lt;=1),"high_discount",""), IF(K125="Unknown","missing_region",""), IF(Q125="Unknown","missing_ship_mode","")))</f>
        <v>CLEAN</v>
      </c>
      <c r="AE125" t="str">
        <f>IF(COUNTIF($AF$2:$AF$926,AF125)&gt;1,"DUPLICATE","UNIQUE")</f>
        <v>UNIQUE</v>
      </c>
      <c r="AF125" t="str">
        <f>A125&amp;"|"&amp;B125&amp;"|"&amp;H125&amp;"|"&amp;I125&amp;"|"&amp;R125&amp;"|"&amp;S125&amp;"|"&amp;V125</f>
        <v>ORD-2024-10124|2024-05-24|CUST-1007|Sneha Kapoor|1|634.13|634.13</v>
      </c>
      <c r="AG125" t="str">
        <f>IF(COUNTIF($A$2:$A$913,A125)&gt;1,"TRUE","FALSE")</f>
        <v>TRUE</v>
      </c>
    </row>
    <row r="126" spans="1:33">
      <c r="A126" t="s">
        <v>486</v>
      </c>
      <c r="B126" t="s">
        <v>2671</v>
      </c>
      <c r="C126" t="s">
        <v>1072</v>
      </c>
      <c r="D126">
        <f>IF(OR(B126="", C126=""), "", (C126 - B126))</f>
        <v>3</v>
      </c>
      <c r="E126" t="str">
        <f>IF(C126&lt;B126, "INVALID: Ship date before order date", "")</f>
        <v/>
      </c>
      <c r="F126" t="str">
        <f>IF(B126="", "", TEXT(B126, "mmmm"))</f>
        <v>July</v>
      </c>
      <c r="G126">
        <f>IF(B126="", "", YEAR(B126))</f>
        <v>2024</v>
      </c>
      <c r="H126" t="s">
        <v>487</v>
      </c>
      <c r="I126" t="s">
        <v>46</v>
      </c>
      <c r="J126" t="s">
        <v>89</v>
      </c>
      <c r="K126" t="s">
        <v>53</v>
      </c>
      <c r="L126" t="s">
        <v>171</v>
      </c>
      <c r="M126" t="s">
        <v>172</v>
      </c>
      <c r="N126" t="s">
        <v>74</v>
      </c>
      <c r="O126" t="s">
        <v>79</v>
      </c>
      <c r="P126" t="s">
        <v>488</v>
      </c>
      <c r="Q126" t="s">
        <v>58</v>
      </c>
      <c r="R126">
        <v>9</v>
      </c>
      <c r="S126" s="15">
        <v>465.06</v>
      </c>
      <c r="T126" s="4">
        <v>-0.15</v>
      </c>
      <c r="U126" s="3" t="str">
        <f>IF(T126&lt;0, "negative_discount", IF(AND(T126&gt;0.5, T126&lt;=1), "high_discount", ""))</f>
        <v>negative_discount</v>
      </c>
      <c r="V126" s="11">
        <v>4185.54</v>
      </c>
      <c r="W126" s="12">
        <v>4813.37</v>
      </c>
      <c r="X126" s="11">
        <v>3443.74</v>
      </c>
      <c r="Y126" s="11">
        <v>741.8</v>
      </c>
      <c r="Z126" s="11">
        <f>ROUND(W126-X126,2)</f>
        <v>1369.63</v>
      </c>
      <c r="AA126" s="4">
        <f>IF(W126=0,0,Z126/W126)</f>
        <v>0.28454700137325828</v>
      </c>
      <c r="AB126" t="s">
        <v>31</v>
      </c>
      <c r="AC126" t="s">
        <v>32</v>
      </c>
      <c r="AD126" t="str">
        <f>IF(AND(E126="", T126&gt;=0, T126&lt;=0.5, K126&lt;&gt;"Unknown", Q126&lt;&gt;"Unknown"), "CLEAN", _xlfn.CONCAT("WARNING: ", IF(E126&lt;&gt;"","invalid_date",""), IF(T126&lt;0,"negative_discount",""), IF(AND(T126&gt;0.5,T126&lt;=1),"high_discount",""), IF(K126="Unknown","missing_region",""), IF(Q126="Unknown","missing_ship_mode","")))</f>
        <v>WARNING: negative_discount</v>
      </c>
      <c r="AE126" t="str">
        <f>IF(COUNTIF($AF$2:$AF$926,AF126)&gt;1,"DUPLICATE","UNIQUE")</f>
        <v>UNIQUE</v>
      </c>
      <c r="AF126" t="str">
        <f>A126&amp;"|"&amp;B126&amp;"|"&amp;H126&amp;"|"&amp;I126&amp;"|"&amp;R126&amp;"|"&amp;S126&amp;"|"&amp;V126</f>
        <v>ORD-2024-10125|2024-07-21|CUST-4450|Isha Nair|9|465.06|4185.54</v>
      </c>
      <c r="AG126" t="str">
        <f>IF(COUNTIF($A$2:$A$913,A126)&gt;1,"TRUE","FALSE")</f>
        <v>FALSE</v>
      </c>
    </row>
    <row r="127" spans="1:33">
      <c r="A127" t="s">
        <v>3021</v>
      </c>
      <c r="B127" t="s">
        <v>489</v>
      </c>
      <c r="C127" t="s">
        <v>1649</v>
      </c>
      <c r="D127">
        <f>IF(OR(B127="", C127=""), "", (C127 - B127))</f>
        <v>1</v>
      </c>
      <c r="E127" t="str">
        <f>IF(C127&lt;B127, "INVALID: Ship date before order date", "")</f>
        <v/>
      </c>
      <c r="F127" t="str">
        <f>IF(B127="", "", TEXT(B127, "mmmm"))</f>
        <v>July</v>
      </c>
      <c r="G127">
        <f>IF(B127="", "", YEAR(B127))</f>
        <v>2025</v>
      </c>
      <c r="H127" t="s">
        <v>490</v>
      </c>
      <c r="I127" t="s">
        <v>78</v>
      </c>
      <c r="J127" t="s">
        <v>36</v>
      </c>
      <c r="K127" t="s">
        <v>62</v>
      </c>
      <c r="L127" t="s">
        <v>25</v>
      </c>
      <c r="M127" t="s">
        <v>107</v>
      </c>
      <c r="N127" t="s">
        <v>40</v>
      </c>
      <c r="O127" t="s">
        <v>41</v>
      </c>
      <c r="P127" t="s">
        <v>491</v>
      </c>
      <c r="Q127" t="s">
        <v>43</v>
      </c>
      <c r="R127">
        <v>6</v>
      </c>
      <c r="S127" s="15">
        <v>3235.27</v>
      </c>
      <c r="T127" s="4">
        <v>0.25</v>
      </c>
      <c r="U127" s="3" t="str">
        <f>IF(T127&lt;0, "negative_discount", IF(AND(T127&gt;0.5, T127&lt;=1), "high_discount", ""))</f>
        <v/>
      </c>
      <c r="V127" s="11">
        <v>14558.72</v>
      </c>
      <c r="W127" s="12">
        <v>14558.72</v>
      </c>
      <c r="X127" s="11">
        <v>9591.48</v>
      </c>
      <c r="Y127" s="11">
        <v>4967.24</v>
      </c>
      <c r="Z127" s="11">
        <f>ROUND(W127-X127,2)</f>
        <v>4967.24</v>
      </c>
      <c r="AA127" s="4">
        <f>IF(W127=0,0,Z127/W127)</f>
        <v>0.34118658783189731</v>
      </c>
      <c r="AB127" t="s">
        <v>99</v>
      </c>
      <c r="AC127" t="s">
        <v>100</v>
      </c>
      <c r="AD127" t="str">
        <f>IF(AND(E127="", T127&gt;=0, T127&lt;=0.5, K127&lt;&gt;"Unknown", Q127&lt;&gt;"Unknown"), "CLEAN", _xlfn.CONCAT("WARNING: ", IF(E127&lt;&gt;"","invalid_date",""), IF(T127&lt;0,"negative_discount",""), IF(AND(T127&gt;0.5,T127&lt;=1),"high_discount",""), IF(K127="Unknown","missing_region",""), IF(Q127="Unknown","missing_ship_mode","")))</f>
        <v>CLEAN</v>
      </c>
      <c r="AE127" t="str">
        <f>IF(COUNTIF($AF$2:$AF$926,AF127)&gt;1,"DUPLICATE","UNIQUE")</f>
        <v>UNIQUE</v>
      </c>
      <c r="AF127" t="str">
        <f>A127&amp;"|"&amp;B127&amp;"|"&amp;H127&amp;"|"&amp;I127&amp;"|"&amp;R127&amp;"|"&amp;S127&amp;"|"&amp;V127</f>
        <v>ORD-2025-10126|2025-07-17|CUST-7924|Neha Gupta|6|3235.27|14558.72</v>
      </c>
      <c r="AG127" t="str">
        <f>IF(COUNTIF($A$2:$A$913,A127)&gt;1,"TRUE","FALSE")</f>
        <v>FALSE</v>
      </c>
    </row>
    <row r="128" spans="1:33">
      <c r="A128" t="s">
        <v>3022</v>
      </c>
      <c r="B128" t="s">
        <v>2713</v>
      </c>
      <c r="C128" t="s">
        <v>2794</v>
      </c>
      <c r="D128">
        <f>IF(OR(B128="", C128=""), "", (C128 - B128))</f>
        <v>2</v>
      </c>
      <c r="E128" t="str">
        <f>IF(C128&lt;B128, "INVALID: Ship date before order date", "")</f>
        <v/>
      </c>
      <c r="F128" t="str">
        <f>IF(B128="", "", TEXT(B128, "mmmm"))</f>
        <v>September</v>
      </c>
      <c r="G128">
        <f>IF(B128="", "", YEAR(B128))</f>
        <v>2025</v>
      </c>
      <c r="H128" t="s">
        <v>492</v>
      </c>
      <c r="I128" t="s">
        <v>112</v>
      </c>
      <c r="J128" t="s">
        <v>89</v>
      </c>
      <c r="K128" t="s">
        <v>24</v>
      </c>
      <c r="L128" t="s">
        <v>353</v>
      </c>
      <c r="M128" t="s">
        <v>354</v>
      </c>
      <c r="N128" t="s">
        <v>74</v>
      </c>
      <c r="O128" t="s">
        <v>79</v>
      </c>
      <c r="P128" t="s">
        <v>493</v>
      </c>
      <c r="Q128" t="s">
        <v>58</v>
      </c>
      <c r="R128">
        <v>3</v>
      </c>
      <c r="S128" s="15">
        <v>1593.86</v>
      </c>
      <c r="T128" s="4">
        <v>0.1</v>
      </c>
      <c r="U128" s="3" t="str">
        <f>IF(T128&lt;0, "negative_discount", IF(AND(T128&gt;0.5, T128&lt;=1), "high_discount", ""))</f>
        <v/>
      </c>
      <c r="V128" s="11">
        <v>4303.42</v>
      </c>
      <c r="W128" s="12">
        <v>4303.42</v>
      </c>
      <c r="X128" s="11">
        <v>2568.5700000000002</v>
      </c>
      <c r="Y128" s="11">
        <v>1734.85</v>
      </c>
      <c r="Z128" s="11">
        <f>ROUND(W128-X128,2)</f>
        <v>1734.85</v>
      </c>
      <c r="AA128" s="4">
        <f>IF(W128=0,0,Z128/W128)</f>
        <v>0.40313285712293939</v>
      </c>
      <c r="AB128" t="s">
        <v>31</v>
      </c>
      <c r="AC128" t="s">
        <v>32</v>
      </c>
      <c r="AD128" t="str">
        <f>IF(AND(E128="", T128&gt;=0, T128&lt;=0.5, K128&lt;&gt;"Unknown", Q128&lt;&gt;"Unknown"), "CLEAN", _xlfn.CONCAT("WARNING: ", IF(E128&lt;&gt;"","invalid_date",""), IF(T128&lt;0,"negative_discount",""), IF(AND(T128&gt;0.5,T128&lt;=1),"high_discount",""), IF(K128="Unknown","missing_region",""), IF(Q128="Unknown","missing_ship_mode","")))</f>
        <v>CLEAN</v>
      </c>
      <c r="AE128" t="str">
        <f>IF(COUNTIF($AF$2:$AF$926,AF128)&gt;1,"DUPLICATE","UNIQUE")</f>
        <v>UNIQUE</v>
      </c>
      <c r="AF128" t="str">
        <f>A128&amp;"|"&amp;B128&amp;"|"&amp;H128&amp;"|"&amp;I128&amp;"|"&amp;R128&amp;"|"&amp;S128&amp;"|"&amp;V128</f>
        <v>ORD-2025-10127|2025-09-24|CUST-1715|Priya Menon|3|1593.86|4303.42</v>
      </c>
      <c r="AG128" t="str">
        <f>IF(COUNTIF($A$2:$A$913,A128)&gt;1,"TRUE","FALSE")</f>
        <v>FALSE</v>
      </c>
    </row>
    <row r="129" spans="1:33" ht="16">
      <c r="A129" s="6" t="s">
        <v>3023</v>
      </c>
      <c r="B129" t="s">
        <v>590</v>
      </c>
      <c r="C129" t="s">
        <v>985</v>
      </c>
      <c r="D129">
        <f>IF(OR(B129="", C129=""), "", (C129 - B129))</f>
        <v>-4</v>
      </c>
      <c r="E129" t="str">
        <f>IF(C129&lt;B129, "INVALID: Ship date before order date", "")</f>
        <v>INVALID: Ship date before order date</v>
      </c>
      <c r="F129" t="str">
        <f>IF(B129="", "", TEXT(B129, "mmmm"))</f>
        <v>January</v>
      </c>
      <c r="G129">
        <f>IF(B129="", "", YEAR(B129))</f>
        <v>2025</v>
      </c>
      <c r="H129" t="s">
        <v>494</v>
      </c>
      <c r="I129" t="s">
        <v>112</v>
      </c>
      <c r="J129" t="s">
        <v>89</v>
      </c>
      <c r="K129" t="s">
        <v>62</v>
      </c>
      <c r="L129" t="s">
        <v>72</v>
      </c>
      <c r="M129" t="s">
        <v>73</v>
      </c>
      <c r="N129" t="s">
        <v>27</v>
      </c>
      <c r="O129" t="s">
        <v>122</v>
      </c>
      <c r="P129" t="s">
        <v>495</v>
      </c>
      <c r="Q129" t="s">
        <v>30</v>
      </c>
      <c r="R129">
        <v>2</v>
      </c>
      <c r="S129" s="15">
        <v>3039.3</v>
      </c>
      <c r="T129" s="4">
        <v>0.05</v>
      </c>
      <c r="U129" s="3" t="str">
        <f>IF(T129&lt;0, "negative_discount", IF(AND(T129&gt;0.5, T129&lt;=1), "high_discount", ""))</f>
        <v/>
      </c>
      <c r="V129" s="11">
        <v>5774.67</v>
      </c>
      <c r="W129" s="12">
        <v>5774.67</v>
      </c>
      <c r="X129" s="11">
        <v>3518.36</v>
      </c>
      <c r="Y129" s="11">
        <v>2256.31</v>
      </c>
      <c r="Z129" s="11">
        <f>ROUND(W129-X129,2)</f>
        <v>2256.31</v>
      </c>
      <c r="AA129" s="4">
        <f>IF(W129=0,0,Z129/W129)</f>
        <v>0.39072535746631409</v>
      </c>
      <c r="AB129" t="s">
        <v>31</v>
      </c>
      <c r="AC129" t="s">
        <v>32</v>
      </c>
      <c r="AD129" t="str">
        <f>IF(AND(E129="", T129&gt;=0, T129&lt;=0.5, K129&lt;&gt;"Unknown", Q129&lt;&gt;"Unknown"), "CLEAN", _xlfn.CONCAT("WARNING: ", IF(E129&lt;&gt;"","invalid_date",""), IF(T129&lt;0,"negative_discount",""), IF(AND(T129&gt;0.5,T129&lt;=1),"high_discount",""), IF(K129="Unknown","missing_region",""), IF(Q129="Unknown","missing_ship_mode","")))</f>
        <v>WARNING: invalid_date</v>
      </c>
      <c r="AE129" t="str">
        <f>IF(COUNTIF($AF$2:$AF$926,AF129)&gt;1,"DUPLICATE","UNIQUE")</f>
        <v>UNIQUE</v>
      </c>
      <c r="AF129" t="str">
        <f>A129&amp;"|"&amp;B129&amp;"|"&amp;H129&amp;"|"&amp;I129&amp;"|"&amp;R129&amp;"|"&amp;S129&amp;"|"&amp;V129</f>
        <v>ORD-2025-10128|2025-01-30|CUST-6802|Priya Menon|2|3039.3|5774.67</v>
      </c>
      <c r="AG129" t="str">
        <f>IF(COUNTIF($A$2:$A$913,A129)&gt;1,"TRUE","FALSE")</f>
        <v>FALSE</v>
      </c>
    </row>
    <row r="130" spans="1:33">
      <c r="A130" t="s">
        <v>496</v>
      </c>
      <c r="B130" t="s">
        <v>513</v>
      </c>
      <c r="C130" t="s">
        <v>2908</v>
      </c>
      <c r="D130">
        <f>IF(OR(B130="", C130=""), "", (C130 - B130))</f>
        <v>3</v>
      </c>
      <c r="E130" t="str">
        <f>IF(C130&lt;B130, "INVALID: Ship date before order date", "")</f>
        <v/>
      </c>
      <c r="F130" t="str">
        <f>IF(B130="", "", TEXT(B130, "mmmm"))</f>
        <v>December</v>
      </c>
      <c r="G130">
        <f>IF(B130="", "", YEAR(B130))</f>
        <v>2024</v>
      </c>
      <c r="H130" t="s">
        <v>497</v>
      </c>
      <c r="I130" t="s">
        <v>78</v>
      </c>
      <c r="J130" t="s">
        <v>36</v>
      </c>
      <c r="K130" t="s">
        <v>37</v>
      </c>
      <c r="L130" t="s">
        <v>38</v>
      </c>
      <c r="M130" t="s">
        <v>39</v>
      </c>
      <c r="N130" t="s">
        <v>40</v>
      </c>
      <c r="O130" t="s">
        <v>56</v>
      </c>
      <c r="P130" t="s">
        <v>498</v>
      </c>
      <c r="Q130" t="s">
        <v>58</v>
      </c>
      <c r="R130">
        <v>5</v>
      </c>
      <c r="S130" s="15">
        <v>923.45</v>
      </c>
      <c r="T130" s="4">
        <v>0.05</v>
      </c>
      <c r="U130" s="3" t="str">
        <f>IF(T130&lt;0, "negative_discount", IF(AND(T130&gt;0.5, T130&lt;=1), "high_discount", ""))</f>
        <v/>
      </c>
      <c r="V130" s="11">
        <v>4386.3900000000003</v>
      </c>
      <c r="W130" s="12">
        <v>4386.3900000000003</v>
      </c>
      <c r="X130" s="11">
        <v>3366.88</v>
      </c>
      <c r="Y130" s="11">
        <v>1019.51</v>
      </c>
      <c r="Z130" s="11">
        <f>ROUND(W130-X130,2)</f>
        <v>1019.51</v>
      </c>
      <c r="AA130" s="4">
        <f>IF(W130=0,0,Z130/W130)</f>
        <v>0.23242575329599052</v>
      </c>
      <c r="AB130" t="s">
        <v>31</v>
      </c>
      <c r="AC130" t="s">
        <v>100</v>
      </c>
      <c r="AD130" t="str">
        <f>IF(AND(E130="", T130&gt;=0, T130&lt;=0.5, K130&lt;&gt;"Unknown", Q130&lt;&gt;"Unknown"), "CLEAN", _xlfn.CONCAT("WARNING: ", IF(E130&lt;&gt;"","invalid_date",""), IF(T130&lt;0,"negative_discount",""), IF(AND(T130&gt;0.5,T130&lt;=1),"high_discount",""), IF(K130="Unknown","missing_region",""), IF(Q130="Unknown","missing_ship_mode","")))</f>
        <v>CLEAN</v>
      </c>
      <c r="AE130" t="str">
        <f>IF(COUNTIF($AF$2:$AF$926,AF130)&gt;1,"DUPLICATE","UNIQUE")</f>
        <v>UNIQUE</v>
      </c>
      <c r="AF130" t="str">
        <f>A130&amp;"|"&amp;B130&amp;"|"&amp;H130&amp;"|"&amp;I130&amp;"|"&amp;R130&amp;"|"&amp;S130&amp;"|"&amp;V130</f>
        <v>ORD-2024-10129|2024-12-13|CUST-9328|Neha Gupta|5|923.45|4386.39</v>
      </c>
      <c r="AG130" t="str">
        <f>IF(COUNTIF($A$2:$A$913,A130)&gt;1,"TRUE","FALSE")</f>
        <v>FALSE</v>
      </c>
    </row>
    <row r="131" spans="1:33">
      <c r="A131" t="s">
        <v>499</v>
      </c>
      <c r="B131" t="s">
        <v>290</v>
      </c>
      <c r="C131" t="s">
        <v>2753</v>
      </c>
      <c r="D131">
        <f>IF(OR(B131="", C131=""), "", (C131 - B131))</f>
        <v>6</v>
      </c>
      <c r="E131" t="str">
        <f>IF(C131&lt;B131, "INVALID: Ship date before order date", "")</f>
        <v/>
      </c>
      <c r="F131" t="str">
        <f>IF(B131="", "", TEXT(B131, "mmmm"))</f>
        <v>July</v>
      </c>
      <c r="G131">
        <f>IF(B131="", "", YEAR(B131))</f>
        <v>2024</v>
      </c>
      <c r="H131" t="s">
        <v>500</v>
      </c>
      <c r="I131" t="s">
        <v>46</v>
      </c>
      <c r="J131" t="s">
        <v>36</v>
      </c>
      <c r="K131" t="s">
        <v>62</v>
      </c>
      <c r="L131" t="s">
        <v>185</v>
      </c>
      <c r="M131" t="s">
        <v>186</v>
      </c>
      <c r="N131" t="s">
        <v>27</v>
      </c>
      <c r="O131" t="s">
        <v>149</v>
      </c>
      <c r="P131" t="s">
        <v>501</v>
      </c>
      <c r="Q131" t="s">
        <v>58</v>
      </c>
      <c r="R131">
        <v>7</v>
      </c>
      <c r="S131" s="15">
        <v>2741.29</v>
      </c>
      <c r="T131" s="4">
        <v>0.05</v>
      </c>
      <c r="U131" s="3" t="str">
        <f>IF(T131&lt;0, "negative_discount", IF(AND(T131&gt;0.5, T131&lt;=1), "high_discount", ""))</f>
        <v/>
      </c>
      <c r="V131" s="11">
        <v>18229.580000000002</v>
      </c>
      <c r="W131" s="12">
        <v>18229.580000000002</v>
      </c>
      <c r="X131" s="11">
        <v>15139.15</v>
      </c>
      <c r="Y131" s="11">
        <v>3090.43</v>
      </c>
      <c r="Z131" s="11">
        <f>ROUND(W131-X131,2)</f>
        <v>3090.43</v>
      </c>
      <c r="AA131" s="4">
        <f>IF(W131=0,0,Z131/W131)</f>
        <v>0.16952831606652483</v>
      </c>
      <c r="AB131" t="s">
        <v>31</v>
      </c>
      <c r="AC131" t="s">
        <v>32</v>
      </c>
      <c r="AD131" t="str">
        <f>IF(AND(E131="", T131&gt;=0, T131&lt;=0.5, K131&lt;&gt;"Unknown", Q131&lt;&gt;"Unknown"), "CLEAN", _xlfn.CONCAT("WARNING: ", IF(E131&lt;&gt;"","invalid_date",""), IF(T131&lt;0,"negative_discount",""), IF(AND(T131&gt;0.5,T131&lt;=1),"high_discount",""), IF(K131="Unknown","missing_region",""), IF(Q131="Unknown","missing_ship_mode","")))</f>
        <v>CLEAN</v>
      </c>
      <c r="AE131" t="str">
        <f>IF(COUNTIF($AF$2:$AF$926,AF131)&gt;1,"DUPLICATE","UNIQUE")</f>
        <v>UNIQUE</v>
      </c>
      <c r="AF131" t="str">
        <f>A131&amp;"|"&amp;B131&amp;"|"&amp;H131&amp;"|"&amp;I131&amp;"|"&amp;R131&amp;"|"&amp;S131&amp;"|"&amp;V131</f>
        <v>ORD-2024-10130|2024-07-19|CUST-2588|Isha Nair|7|2741.29|18229.58</v>
      </c>
      <c r="AG131" t="str">
        <f>IF(COUNTIF($A$2:$A$913,A131)&gt;1,"TRUE","FALSE")</f>
        <v>FALSE</v>
      </c>
    </row>
    <row r="132" spans="1:33">
      <c r="A132" t="s">
        <v>502</v>
      </c>
      <c r="B132" t="s">
        <v>503</v>
      </c>
      <c r="C132" t="s">
        <v>2355</v>
      </c>
      <c r="D132">
        <f>IF(OR(B132="", C132=""), "", (C132 - B132))</f>
        <v>6</v>
      </c>
      <c r="E132" t="str">
        <f>IF(C132&lt;B132, "INVALID: Ship date before order date", "")</f>
        <v/>
      </c>
      <c r="F132" t="str">
        <f>IF(B132="", "", TEXT(B132, "mmmm"))</f>
        <v>January</v>
      </c>
      <c r="G132">
        <f>IF(B132="", "", YEAR(B132))</f>
        <v>2024</v>
      </c>
      <c r="H132" t="s">
        <v>504</v>
      </c>
      <c r="I132" t="s">
        <v>52</v>
      </c>
      <c r="J132" t="s">
        <v>23</v>
      </c>
      <c r="K132" t="s">
        <v>62</v>
      </c>
      <c r="L132" t="s">
        <v>176</v>
      </c>
      <c r="M132" t="s">
        <v>177</v>
      </c>
      <c r="N132" t="s">
        <v>27</v>
      </c>
      <c r="O132" t="s">
        <v>90</v>
      </c>
      <c r="P132" t="s">
        <v>505</v>
      </c>
      <c r="Q132" t="s">
        <v>43</v>
      </c>
      <c r="R132">
        <v>5</v>
      </c>
      <c r="S132" s="15">
        <v>218.42</v>
      </c>
      <c r="T132" s="4">
        <v>0.2</v>
      </c>
      <c r="U132" s="3" t="str">
        <f>IF(T132&lt;0, "negative_discount", IF(AND(T132&gt;0.5, T132&lt;=1), "high_discount", ""))</f>
        <v/>
      </c>
      <c r="V132" s="11">
        <v>873.68</v>
      </c>
      <c r="W132" s="12">
        <v>873.68</v>
      </c>
      <c r="X132" s="11">
        <v>661.72</v>
      </c>
      <c r="Y132" s="11">
        <v>211.96</v>
      </c>
      <c r="Z132" s="11">
        <f>ROUND(W132-X132,2)</f>
        <v>211.96</v>
      </c>
      <c r="AA132" s="4">
        <f>IF(W132=0,0,Z132/W132)</f>
        <v>0.24260598846259501</v>
      </c>
      <c r="AB132" t="s">
        <v>109</v>
      </c>
      <c r="AC132" t="s">
        <v>67</v>
      </c>
      <c r="AD132" t="str">
        <f>IF(AND(E132="", T132&gt;=0, T132&lt;=0.5, K132&lt;&gt;"Unknown", Q132&lt;&gt;"Unknown"), "CLEAN", _xlfn.CONCAT("WARNING: ", IF(E132&lt;&gt;"","invalid_date",""), IF(T132&lt;0,"negative_discount",""), IF(AND(T132&gt;0.5,T132&lt;=1),"high_discount",""), IF(K132="Unknown","missing_region",""), IF(Q132="Unknown","missing_ship_mode","")))</f>
        <v>CLEAN</v>
      </c>
      <c r="AE132" t="str">
        <f>IF(COUNTIF($AF$2:$AF$926,AF132)&gt;1,"DUPLICATE","UNIQUE")</f>
        <v>UNIQUE</v>
      </c>
      <c r="AF132" t="str">
        <f>A132&amp;"|"&amp;B132&amp;"|"&amp;H132&amp;"|"&amp;I132&amp;"|"&amp;R132&amp;"|"&amp;S132&amp;"|"&amp;V132</f>
        <v>ORD-2024-10131|2024-01-27|CUST-5435|Arjun Bose|5|218.42|873.68</v>
      </c>
      <c r="AG132" t="str">
        <f>IF(COUNTIF($A$2:$A$913,A132)&gt;1,"TRUE","FALSE")</f>
        <v>FALSE</v>
      </c>
    </row>
    <row r="133" spans="1:33">
      <c r="A133" t="s">
        <v>3024</v>
      </c>
      <c r="B133" t="s">
        <v>1848</v>
      </c>
      <c r="C133" t="s">
        <v>506</v>
      </c>
      <c r="D133">
        <f>IF(OR(B133="", C133=""), "", (C133 - B133))</f>
        <v>5</v>
      </c>
      <c r="E133" t="str">
        <f>IF(C133&lt;B133, "INVALID: Ship date before order date", "")</f>
        <v/>
      </c>
      <c r="F133" t="str">
        <f>IF(B133="", "", TEXT(B133, "mmmm"))</f>
        <v>September</v>
      </c>
      <c r="G133">
        <f>IF(B133="", "", YEAR(B133))</f>
        <v>2025</v>
      </c>
      <c r="H133" t="s">
        <v>507</v>
      </c>
      <c r="I133" t="s">
        <v>61</v>
      </c>
      <c r="J133" t="s">
        <v>93</v>
      </c>
      <c r="K133" t="s">
        <v>37</v>
      </c>
      <c r="L133" t="s">
        <v>226</v>
      </c>
      <c r="M133" t="s">
        <v>227</v>
      </c>
      <c r="N133" t="s">
        <v>27</v>
      </c>
      <c r="O133" t="s">
        <v>28</v>
      </c>
      <c r="P133" t="s">
        <v>508</v>
      </c>
      <c r="Q133" t="s">
        <v>43</v>
      </c>
      <c r="R133">
        <v>9</v>
      </c>
      <c r="S133" s="15">
        <v>373.91</v>
      </c>
      <c r="T133" s="4">
        <v>0.2</v>
      </c>
      <c r="U133" s="3" t="str">
        <f>IF(T133&lt;0, "negative_discount", IF(AND(T133&gt;0.5, T133&lt;=1), "high_discount", ""))</f>
        <v/>
      </c>
      <c r="V133" s="11">
        <v>2692.15</v>
      </c>
      <c r="W133" s="12">
        <v>2692.15</v>
      </c>
      <c r="X133" s="11">
        <v>2044.49</v>
      </c>
      <c r="Y133" s="11">
        <v>647.66</v>
      </c>
      <c r="Z133" s="11">
        <f>ROUND(W133-X133,2)</f>
        <v>647.66</v>
      </c>
      <c r="AA133" s="4">
        <f>IF(W133=0,0,Z133/W133)</f>
        <v>0.24057351930613077</v>
      </c>
      <c r="AB133" t="s">
        <v>31</v>
      </c>
      <c r="AC133" t="s">
        <v>32</v>
      </c>
      <c r="AD133" t="str">
        <f>IF(AND(E133="", T133&gt;=0, T133&lt;=0.5, K133&lt;&gt;"Unknown", Q133&lt;&gt;"Unknown"), "CLEAN", _xlfn.CONCAT("WARNING: ", IF(E133&lt;&gt;"","invalid_date",""), IF(T133&lt;0,"negative_discount",""), IF(AND(T133&gt;0.5,T133&lt;=1),"high_discount",""), IF(K133="Unknown","missing_region",""), IF(Q133="Unknown","missing_ship_mode","")))</f>
        <v>CLEAN</v>
      </c>
      <c r="AE133" t="str">
        <f>IF(COUNTIF($AF$2:$AF$926,AF133)&gt;1,"DUPLICATE","UNIQUE")</f>
        <v>UNIQUE</v>
      </c>
      <c r="AF133" t="str">
        <f>A133&amp;"|"&amp;B133&amp;"|"&amp;H133&amp;"|"&amp;I133&amp;"|"&amp;R133&amp;"|"&amp;S133&amp;"|"&amp;V133</f>
        <v>ORD-2025-10132|2025-09-29|CUST-7637|Ananya Rao|9|373.91|2692.15</v>
      </c>
      <c r="AG133" t="str">
        <f>IF(COUNTIF($A$2:$A$913,A133)&gt;1,"TRUE","FALSE")</f>
        <v>FALSE</v>
      </c>
    </row>
    <row r="134" spans="1:33">
      <c r="A134" t="s">
        <v>509</v>
      </c>
      <c r="B134" t="s">
        <v>432</v>
      </c>
      <c r="C134" t="s">
        <v>432</v>
      </c>
      <c r="D134">
        <f>IF(OR(B134="", C134=""), "", (C134 - B134))</f>
        <v>0</v>
      </c>
      <c r="E134" t="str">
        <f>IF(C134&lt;B134, "INVALID: Ship date before order date", "")</f>
        <v/>
      </c>
      <c r="F134" t="str">
        <f>IF(B134="", "", TEXT(B134, "mmmm"))</f>
        <v>November</v>
      </c>
      <c r="G134">
        <f>IF(B134="", "", YEAR(B134))</f>
        <v>2024</v>
      </c>
      <c r="H134" t="s">
        <v>510</v>
      </c>
      <c r="I134" t="s">
        <v>263</v>
      </c>
      <c r="J134" t="s">
        <v>89</v>
      </c>
      <c r="K134" t="s">
        <v>37</v>
      </c>
      <c r="L134" t="s">
        <v>163</v>
      </c>
      <c r="M134" t="s">
        <v>164</v>
      </c>
      <c r="N134" t="s">
        <v>74</v>
      </c>
      <c r="O134" t="s">
        <v>272</v>
      </c>
      <c r="P134" t="s">
        <v>511</v>
      </c>
      <c r="Q134" t="s">
        <v>49</v>
      </c>
      <c r="R134">
        <v>2</v>
      </c>
      <c r="S134" s="15">
        <v>533.08000000000004</v>
      </c>
      <c r="T134" s="4">
        <v>0</v>
      </c>
      <c r="U134" s="3" t="str">
        <f>IF(T134&lt;0, "negative_discount", IF(AND(T134&gt;0.5, T134&lt;=1), "high_discount", ""))</f>
        <v/>
      </c>
      <c r="V134" s="11">
        <v>1066.1600000000001</v>
      </c>
      <c r="W134" s="12">
        <v>1066.1600000000001</v>
      </c>
      <c r="X134" s="11">
        <v>656.3</v>
      </c>
      <c r="Y134" s="11">
        <v>409.86</v>
      </c>
      <c r="Z134" s="11">
        <f>ROUND(W134-X134,2)</f>
        <v>409.86</v>
      </c>
      <c r="AA134" s="4">
        <f>IF(W134=0,0,Z134/W134)</f>
        <v>0.38442635251744578</v>
      </c>
      <c r="AB134" t="s">
        <v>151</v>
      </c>
      <c r="AC134" t="s">
        <v>67</v>
      </c>
      <c r="AD134" t="str">
        <f>IF(AND(E134="", T134&gt;=0, T134&lt;=0.5, K134&lt;&gt;"Unknown", Q134&lt;&gt;"Unknown"), "CLEAN", _xlfn.CONCAT("WARNING: ", IF(E134&lt;&gt;"","invalid_date",""), IF(T134&lt;0,"negative_discount",""), IF(AND(T134&gt;0.5,T134&lt;=1),"high_discount",""), IF(K134="Unknown","missing_region",""), IF(Q134="Unknown","missing_ship_mode","")))</f>
        <v>CLEAN</v>
      </c>
      <c r="AE134" t="str">
        <f>IF(COUNTIF($AF$2:$AF$926,AF134)&gt;1,"DUPLICATE","UNIQUE")</f>
        <v>UNIQUE</v>
      </c>
      <c r="AF134" t="str">
        <f>A134&amp;"|"&amp;B134&amp;"|"&amp;H134&amp;"|"&amp;I134&amp;"|"&amp;R134&amp;"|"&amp;S134&amp;"|"&amp;V134</f>
        <v>ORD-2024-10133|2024-11-04|CUST-3602|Kabir Singh|2|533.08|1066.16</v>
      </c>
      <c r="AG134" t="str">
        <f>IF(COUNTIF($A$2:$A$913,A134)&gt;1,"TRUE","FALSE")</f>
        <v>FALSE</v>
      </c>
    </row>
    <row r="135" spans="1:33" ht="16">
      <c r="A135" s="6" t="s">
        <v>512</v>
      </c>
      <c r="B135" t="s">
        <v>513</v>
      </c>
      <c r="C135" t="s">
        <v>2507</v>
      </c>
      <c r="D135">
        <f>IF(OR(B135="", C135=""), "", (C135 - B135))</f>
        <v>5</v>
      </c>
      <c r="E135" t="str">
        <f>IF(C135&lt;B135, "INVALID: Ship date before order date", "")</f>
        <v/>
      </c>
      <c r="F135" t="str">
        <f>IF(B135="", "", TEXT(B135, "mmmm"))</f>
        <v>December</v>
      </c>
      <c r="G135">
        <f>IF(B135="", "", YEAR(B135))</f>
        <v>2024</v>
      </c>
      <c r="H135" t="s">
        <v>514</v>
      </c>
      <c r="I135" t="s">
        <v>22</v>
      </c>
      <c r="J135" t="s">
        <v>23</v>
      </c>
      <c r="K135" t="s">
        <v>62</v>
      </c>
      <c r="L135" t="s">
        <v>185</v>
      </c>
      <c r="M135" t="s">
        <v>186</v>
      </c>
      <c r="N135" t="s">
        <v>74</v>
      </c>
      <c r="O135" t="s">
        <v>168</v>
      </c>
      <c r="P135" t="s">
        <v>515</v>
      </c>
      <c r="Q135" t="s">
        <v>30</v>
      </c>
      <c r="R135">
        <v>8</v>
      </c>
      <c r="S135" s="15">
        <v>3372.15</v>
      </c>
      <c r="T135" s="4">
        <v>0.15</v>
      </c>
      <c r="U135" s="3" t="str">
        <f>IF(T135&lt;0, "negative_discount", IF(AND(T135&gt;0.5, T135&lt;=1), "high_discount", ""))</f>
        <v/>
      </c>
      <c r="V135" s="11">
        <v>22930.62</v>
      </c>
      <c r="W135" s="12">
        <v>22930.62</v>
      </c>
      <c r="X135" s="11">
        <v>16875.55</v>
      </c>
      <c r="Y135" s="11">
        <v>6055.07</v>
      </c>
      <c r="Z135" s="11">
        <f>ROUND(W135-X135,2)</f>
        <v>6055.07</v>
      </c>
      <c r="AA135" s="4">
        <f>IF(W135=0,0,Z135/W135)</f>
        <v>0.26406045715292475</v>
      </c>
      <c r="AB135" t="s">
        <v>31</v>
      </c>
      <c r="AC135" t="s">
        <v>32</v>
      </c>
      <c r="AD135" t="str">
        <f>IF(AND(E135="", T135&gt;=0, T135&lt;=0.5, K135&lt;&gt;"Unknown", Q135&lt;&gt;"Unknown"), "CLEAN", _xlfn.CONCAT("WARNING: ", IF(E135&lt;&gt;"","invalid_date",""), IF(T135&lt;0,"negative_discount",""), IF(AND(T135&gt;0.5,T135&lt;=1),"high_discount",""), IF(K135="Unknown","missing_region",""), IF(Q135="Unknown","missing_ship_mode","")))</f>
        <v>CLEAN</v>
      </c>
      <c r="AE135" t="str">
        <f>IF(COUNTIF($AF$2:$AF$926,AF135)&gt;1,"DUPLICATE","UNIQUE")</f>
        <v>UNIQUE</v>
      </c>
      <c r="AF135" t="str">
        <f>A135&amp;"|"&amp;B135&amp;"|"&amp;H135&amp;"|"&amp;I135&amp;"|"&amp;R135&amp;"|"&amp;S135&amp;"|"&amp;V135</f>
        <v>ORD-2024-10134|2024-12-13|CUST-9441|Karan Malhotra|8|3372.15|22930.62</v>
      </c>
      <c r="AG135" t="str">
        <f>IF(COUNTIF($A$2:$A$913,A135)&gt;1,"TRUE","FALSE")</f>
        <v>FALSE</v>
      </c>
    </row>
    <row r="136" spans="1:33">
      <c r="A136" t="s">
        <v>3025</v>
      </c>
      <c r="B136" t="s">
        <v>516</v>
      </c>
      <c r="C136" t="s">
        <v>516</v>
      </c>
      <c r="D136">
        <f>IF(OR(B136="", C136=""), "", (C136 - B136))</f>
        <v>0</v>
      </c>
      <c r="E136" t="str">
        <f>IF(C136&lt;B136, "INVALID: Ship date before order date", "")</f>
        <v/>
      </c>
      <c r="F136" t="str">
        <f>IF(B136="", "", TEXT(B136, "mmmm"))</f>
        <v>July</v>
      </c>
      <c r="G136">
        <f>IF(B136="", "", YEAR(B136))</f>
        <v>2025</v>
      </c>
      <c r="H136" t="s">
        <v>517</v>
      </c>
      <c r="I136" t="s">
        <v>71</v>
      </c>
      <c r="J136" t="s">
        <v>93</v>
      </c>
      <c r="K136" t="s">
        <v>37</v>
      </c>
      <c r="L136" t="s">
        <v>96</v>
      </c>
      <c r="M136" t="s">
        <v>97</v>
      </c>
      <c r="N136" t="s">
        <v>40</v>
      </c>
      <c r="O136" t="s">
        <v>153</v>
      </c>
      <c r="P136" t="s">
        <v>518</v>
      </c>
      <c r="Q136" t="s">
        <v>2970</v>
      </c>
      <c r="R136">
        <v>5</v>
      </c>
      <c r="S136" s="15">
        <v>383.1</v>
      </c>
      <c r="T136" s="4">
        <v>0.25</v>
      </c>
      <c r="U136" s="3" t="str">
        <f>IF(T136&lt;0, "negative_discount", IF(AND(T136&gt;0.5, T136&lt;=1), "high_discount", ""))</f>
        <v/>
      </c>
      <c r="V136" s="11">
        <v>1436.62</v>
      </c>
      <c r="W136" s="12">
        <v>1436.63</v>
      </c>
      <c r="X136" s="11">
        <v>912.52</v>
      </c>
      <c r="Y136" s="11">
        <v>524.1</v>
      </c>
      <c r="Z136" s="11">
        <f>ROUND(W136-X136,2)</f>
        <v>524.11</v>
      </c>
      <c r="AA136" s="4">
        <f>IF(W136=0,0,Z136/W136)</f>
        <v>0.36481905570675816</v>
      </c>
      <c r="AB136" t="s">
        <v>109</v>
      </c>
      <c r="AC136" t="s">
        <v>67</v>
      </c>
      <c r="AD136" t="str">
        <f>IF(AND(E136="", T136&gt;=0, T136&lt;=0.5, K136&lt;&gt;"Unknown", Q136&lt;&gt;"Unknown"), "CLEAN", _xlfn.CONCAT("WARNING: ", IF(E136&lt;&gt;"","invalid_date",""), IF(T136&lt;0,"negative_discount",""), IF(AND(T136&gt;0.5,T136&lt;=1),"high_discount",""), IF(K136="Unknown","missing_region",""), IF(Q136="Unknown","missing_ship_mode","")))</f>
        <v>WARNING: missing_ship_mode</v>
      </c>
      <c r="AE136" t="str">
        <f>IF(COUNTIF($AF$2:$AF$926,AF136)&gt;1,"DUPLICATE","UNIQUE")</f>
        <v>UNIQUE</v>
      </c>
      <c r="AF136" t="str">
        <f>A136&amp;"|"&amp;B136&amp;"|"&amp;H136&amp;"|"&amp;I136&amp;"|"&amp;R136&amp;"|"&amp;S136&amp;"|"&amp;V136</f>
        <v>ORD-2025-10135|2025-07-14|CUST-7361|Vikram Iyer|5|383.1|1436.62</v>
      </c>
      <c r="AG136" t="str">
        <f>IF(COUNTIF($A$2:$A$913,A136)&gt;1,"TRUE","FALSE")</f>
        <v>FALSE</v>
      </c>
    </row>
    <row r="137" spans="1:33">
      <c r="A137" t="s">
        <v>3026</v>
      </c>
      <c r="B137" t="s">
        <v>519</v>
      </c>
      <c r="C137" t="s">
        <v>519</v>
      </c>
      <c r="D137">
        <f>IF(OR(B137="", C137=""), "", (C137 - B137))</f>
        <v>0</v>
      </c>
      <c r="E137" t="str">
        <f>IF(C137&lt;B137, "INVALID: Ship date before order date", "")</f>
        <v/>
      </c>
      <c r="F137" t="str">
        <f>IF(B137="", "", TEXT(B137, "mmmm"))</f>
        <v>August</v>
      </c>
      <c r="G137">
        <f>IF(B137="", "", YEAR(B137))</f>
        <v>2025</v>
      </c>
      <c r="H137" t="s">
        <v>520</v>
      </c>
      <c r="I137" t="s">
        <v>158</v>
      </c>
      <c r="J137" t="s">
        <v>36</v>
      </c>
      <c r="K137" t="s">
        <v>53</v>
      </c>
      <c r="L137" t="s">
        <v>180</v>
      </c>
      <c r="M137" t="s">
        <v>181</v>
      </c>
      <c r="N137" t="s">
        <v>40</v>
      </c>
      <c r="O137" t="s">
        <v>153</v>
      </c>
      <c r="P137" t="s">
        <v>521</v>
      </c>
      <c r="Q137" t="s">
        <v>58</v>
      </c>
      <c r="R137">
        <v>1</v>
      </c>
      <c r="S137" s="15">
        <v>3424.78</v>
      </c>
      <c r="T137" s="4">
        <v>0</v>
      </c>
      <c r="U137" s="3" t="str">
        <f>IF(T137&lt;0, "negative_discount", IF(AND(T137&gt;0.5, T137&lt;=1), "high_discount", ""))</f>
        <v/>
      </c>
      <c r="V137" s="11">
        <v>3424.78</v>
      </c>
      <c r="W137" s="12">
        <v>3424.78</v>
      </c>
      <c r="X137" s="11">
        <v>1951.45</v>
      </c>
      <c r="Y137" s="11">
        <v>1473.33</v>
      </c>
      <c r="Z137" s="11">
        <f>ROUND(W137-X137,2)</f>
        <v>1473.33</v>
      </c>
      <c r="AA137" s="4">
        <f>IF(W137=0,0,Z137/W137)</f>
        <v>0.43019697615613262</v>
      </c>
      <c r="AB137" t="s">
        <v>31</v>
      </c>
      <c r="AC137" t="s">
        <v>32</v>
      </c>
      <c r="AD137" t="str">
        <f>IF(AND(E137="", T137&gt;=0, T137&lt;=0.5, K137&lt;&gt;"Unknown", Q137&lt;&gt;"Unknown"), "CLEAN", _xlfn.CONCAT("WARNING: ", IF(E137&lt;&gt;"","invalid_date",""), IF(T137&lt;0,"negative_discount",""), IF(AND(T137&gt;0.5,T137&lt;=1),"high_discount",""), IF(K137="Unknown","missing_region",""), IF(Q137="Unknown","missing_ship_mode","")))</f>
        <v>CLEAN</v>
      </c>
      <c r="AE137" t="str">
        <f>IF(COUNTIF($AF$2:$AF$926,AF137)&gt;1,"DUPLICATE","UNIQUE")</f>
        <v>UNIQUE</v>
      </c>
      <c r="AF137" t="str">
        <f>A137&amp;"|"&amp;B137&amp;"|"&amp;H137&amp;"|"&amp;I137&amp;"|"&amp;R137&amp;"|"&amp;S137&amp;"|"&amp;V137</f>
        <v>ORD-2025-10136|2025-08-24|CUST-1148|Diya Patel|1|3424.78|3424.78</v>
      </c>
      <c r="AG137" t="str">
        <f>IF(COUNTIF($A$2:$A$913,A137)&gt;1,"TRUE","FALSE")</f>
        <v>FALSE</v>
      </c>
    </row>
    <row r="138" spans="1:33">
      <c r="A138" t="s">
        <v>3027</v>
      </c>
      <c r="B138" t="s">
        <v>2714</v>
      </c>
      <c r="C138" t="s">
        <v>460</v>
      </c>
      <c r="D138">
        <f>IF(OR(B138="", C138=""), "", (C138 - B138))</f>
        <v>-199</v>
      </c>
      <c r="E138" t="str">
        <f>IF(C138&lt;B138, "INVALID: Ship date before order date", "")</f>
        <v>INVALID: Ship date before order date</v>
      </c>
      <c r="F138" t="str">
        <f>IF(B138="", "", TEXT(B138, "mmmm"))</f>
        <v>September</v>
      </c>
      <c r="G138">
        <f>IF(B138="", "", YEAR(B138))</f>
        <v>2025</v>
      </c>
      <c r="H138" t="s">
        <v>522</v>
      </c>
      <c r="I138" t="s">
        <v>35</v>
      </c>
      <c r="J138" t="s">
        <v>93</v>
      </c>
      <c r="K138" t="s">
        <v>37</v>
      </c>
      <c r="L138" t="s">
        <v>226</v>
      </c>
      <c r="M138" t="s">
        <v>227</v>
      </c>
      <c r="N138" t="s">
        <v>27</v>
      </c>
      <c r="O138" t="s">
        <v>149</v>
      </c>
      <c r="P138" t="s">
        <v>523</v>
      </c>
      <c r="Q138" t="s">
        <v>58</v>
      </c>
      <c r="R138">
        <v>9</v>
      </c>
      <c r="S138" s="15">
        <v>4330.33</v>
      </c>
      <c r="T138" s="4">
        <v>0.2</v>
      </c>
      <c r="U138" s="3" t="str">
        <f>IF(T138&lt;0, "negative_discount", IF(AND(T138&gt;0.5, T138&lt;=1), "high_discount", ""))</f>
        <v/>
      </c>
      <c r="V138" s="11">
        <v>31178.38</v>
      </c>
      <c r="W138" s="12">
        <v>31178.38</v>
      </c>
      <c r="X138" s="11">
        <v>21421.09</v>
      </c>
      <c r="Y138" s="11">
        <v>9757.2900000000009</v>
      </c>
      <c r="Z138" s="11">
        <f>ROUND(W138-X138,2)</f>
        <v>9757.2900000000009</v>
      </c>
      <c r="AA138" s="4">
        <f>IF(W138=0,0,Z138/W138)</f>
        <v>0.31295051250257394</v>
      </c>
      <c r="AB138" t="s">
        <v>31</v>
      </c>
      <c r="AC138" t="s">
        <v>32</v>
      </c>
      <c r="AD138" t="str">
        <f>IF(AND(E138="", T138&gt;=0, T138&lt;=0.5, K138&lt;&gt;"Unknown", Q138&lt;&gt;"Unknown"), "CLEAN", _xlfn.CONCAT("WARNING: ", IF(E138&lt;&gt;"","invalid_date",""), IF(T138&lt;0,"negative_discount",""), IF(AND(T138&gt;0.5,T138&lt;=1),"high_discount",""), IF(K138="Unknown","missing_region",""), IF(Q138="Unknown","missing_ship_mode","")))</f>
        <v>WARNING: invalid_date</v>
      </c>
      <c r="AE138" t="str">
        <f>IF(COUNTIF($AF$2:$AF$926,AF138)&gt;1,"DUPLICATE","UNIQUE")</f>
        <v>UNIQUE</v>
      </c>
      <c r="AF138" t="str">
        <f>A138&amp;"|"&amp;B138&amp;"|"&amp;H138&amp;"|"&amp;I138&amp;"|"&amp;R138&amp;"|"&amp;S138&amp;"|"&amp;V138</f>
        <v>ORD-2025-10137|2025-09-02|CUST-3350|Mira Das|9|4330.33|31178.38</v>
      </c>
      <c r="AG138" t="str">
        <f>IF(COUNTIF($A$2:$A$913,A138)&gt;1,"TRUE","FALSE")</f>
        <v>FALSE</v>
      </c>
    </row>
    <row r="139" spans="1:33">
      <c r="A139" t="s">
        <v>3028</v>
      </c>
      <c r="B139" t="s">
        <v>524</v>
      </c>
      <c r="C139" t="s">
        <v>524</v>
      </c>
      <c r="D139">
        <f>IF(OR(B139="", C139=""), "", (C139 - B139))</f>
        <v>0</v>
      </c>
      <c r="E139" t="str">
        <f>IF(C139&lt;B139, "INVALID: Ship date before order date", "")</f>
        <v/>
      </c>
      <c r="F139" t="str">
        <f>IF(B139="", "", TEXT(B139, "mmmm"))</f>
        <v>January</v>
      </c>
      <c r="G139">
        <f>IF(B139="", "", YEAR(B139))</f>
        <v>2025</v>
      </c>
      <c r="H139" t="s">
        <v>525</v>
      </c>
      <c r="I139" t="s">
        <v>131</v>
      </c>
      <c r="J139" t="s">
        <v>36</v>
      </c>
      <c r="K139" t="s">
        <v>24</v>
      </c>
      <c r="L139" t="s">
        <v>25</v>
      </c>
      <c r="M139" t="s">
        <v>26</v>
      </c>
      <c r="N139" t="s">
        <v>40</v>
      </c>
      <c r="O139" t="s">
        <v>65</v>
      </c>
      <c r="P139" t="s">
        <v>526</v>
      </c>
      <c r="Q139" t="s">
        <v>43</v>
      </c>
      <c r="R139">
        <v>8</v>
      </c>
      <c r="S139" s="15">
        <v>2667.07</v>
      </c>
      <c r="T139" s="4">
        <v>0.1</v>
      </c>
      <c r="U139" s="3" t="str">
        <f>IF(T139&lt;0, "negative_discount", IF(AND(T139&gt;0.5, T139&lt;=1), "high_discount", ""))</f>
        <v/>
      </c>
      <c r="V139" s="11">
        <v>19202.900000000001</v>
      </c>
      <c r="W139" s="12">
        <v>19202.900000000001</v>
      </c>
      <c r="X139" s="11">
        <v>15526.62</v>
      </c>
      <c r="Y139" s="11">
        <v>3676.28</v>
      </c>
      <c r="Z139" s="11">
        <f>ROUND(W139-X139,2)</f>
        <v>3676.28</v>
      </c>
      <c r="AA139" s="4">
        <f>IF(W139=0,0,Z139/W139)</f>
        <v>0.1914440006457358</v>
      </c>
      <c r="AB139" t="s">
        <v>31</v>
      </c>
      <c r="AC139" t="s">
        <v>32</v>
      </c>
      <c r="AD139" t="str">
        <f>IF(AND(E139="", T139&gt;=0, T139&lt;=0.5, K139&lt;&gt;"Unknown", Q139&lt;&gt;"Unknown"), "CLEAN", _xlfn.CONCAT("WARNING: ", IF(E139&lt;&gt;"","invalid_date",""), IF(T139&lt;0,"negative_discount",""), IF(AND(T139&gt;0.5,T139&lt;=1),"high_discount",""), IF(K139="Unknown","missing_region",""), IF(Q139="Unknown","missing_ship_mode","")))</f>
        <v>CLEAN</v>
      </c>
      <c r="AE139" t="str">
        <f>IF(COUNTIF($AF$2:$AF$926,AF139)&gt;1,"DUPLICATE","UNIQUE")</f>
        <v>UNIQUE</v>
      </c>
      <c r="AF139" t="str">
        <f>A139&amp;"|"&amp;B139&amp;"|"&amp;H139&amp;"|"&amp;I139&amp;"|"&amp;R139&amp;"|"&amp;S139&amp;"|"&amp;V139</f>
        <v>ORD-2025-10138|2025-01-09|CUST-7932|Sneha Kapoor|8|2667.07|19202.9</v>
      </c>
      <c r="AG139" t="str">
        <f>IF(COUNTIF($A$2:$A$913,A139)&gt;1,"TRUE","FALSE")</f>
        <v>FALSE</v>
      </c>
    </row>
    <row r="140" spans="1:33">
      <c r="A140" t="s">
        <v>527</v>
      </c>
      <c r="B140" t="s">
        <v>528</v>
      </c>
      <c r="C140" t="s">
        <v>407</v>
      </c>
      <c r="D140">
        <f>IF(OR(B140="", C140=""), "", (C140 - B140))</f>
        <v>6</v>
      </c>
      <c r="E140" t="str">
        <f>IF(C140&lt;B140, "INVALID: Ship date before order date", "")</f>
        <v/>
      </c>
      <c r="F140" t="str">
        <f>IF(B140="", "", TEXT(B140, "mmmm"))</f>
        <v>January</v>
      </c>
      <c r="G140">
        <f>IF(B140="", "", YEAR(B140))</f>
        <v>2024</v>
      </c>
      <c r="H140" t="s">
        <v>529</v>
      </c>
      <c r="I140" t="s">
        <v>158</v>
      </c>
      <c r="J140" t="s">
        <v>93</v>
      </c>
      <c r="K140" t="s">
        <v>37</v>
      </c>
      <c r="L140" t="s">
        <v>226</v>
      </c>
      <c r="M140" t="s">
        <v>227</v>
      </c>
      <c r="N140" t="s">
        <v>74</v>
      </c>
      <c r="O140" t="s">
        <v>272</v>
      </c>
      <c r="P140" t="s">
        <v>530</v>
      </c>
      <c r="Q140" t="s">
        <v>58</v>
      </c>
      <c r="R140">
        <v>8</v>
      </c>
      <c r="S140" s="15">
        <v>4003.05</v>
      </c>
      <c r="T140" s="4">
        <v>0.25</v>
      </c>
      <c r="U140" s="3" t="str">
        <f>IF(T140&lt;0, "negative_discount", IF(AND(T140&gt;0.5, T140&lt;=1), "high_discount", ""))</f>
        <v/>
      </c>
      <c r="V140" s="11">
        <v>24018.3</v>
      </c>
      <c r="W140" s="12">
        <v>24018.3</v>
      </c>
      <c r="X140" s="11">
        <v>14070.78</v>
      </c>
      <c r="Y140" s="11">
        <v>9947.52</v>
      </c>
      <c r="Z140" s="11">
        <f>ROUND(W140-X140,2)</f>
        <v>9947.52</v>
      </c>
      <c r="AA140" s="4">
        <f>IF(W140=0,0,Z140/W140)</f>
        <v>0.41416419979765434</v>
      </c>
      <c r="AB140" t="s">
        <v>31</v>
      </c>
      <c r="AC140" t="s">
        <v>32</v>
      </c>
      <c r="AD140" t="str">
        <f>IF(AND(E140="", T140&gt;=0, T140&lt;=0.5, K140&lt;&gt;"Unknown", Q140&lt;&gt;"Unknown"), "CLEAN", _xlfn.CONCAT("WARNING: ", IF(E140&lt;&gt;"","invalid_date",""), IF(T140&lt;0,"negative_discount",""), IF(AND(T140&gt;0.5,T140&lt;=1),"high_discount",""), IF(K140="Unknown","missing_region",""), IF(Q140="Unknown","missing_ship_mode","")))</f>
        <v>CLEAN</v>
      </c>
      <c r="AE140" t="str">
        <f>IF(COUNTIF($AF$2:$AF$926,AF140)&gt;1,"DUPLICATE","UNIQUE")</f>
        <v>UNIQUE</v>
      </c>
      <c r="AF140" t="str">
        <f>A140&amp;"|"&amp;B140&amp;"|"&amp;H140&amp;"|"&amp;I140&amp;"|"&amp;R140&amp;"|"&amp;S140&amp;"|"&amp;V140</f>
        <v>ORD-2024-10139|2024-01-20|CUST-7173|Diya Patel|8|4003.05|24018.3</v>
      </c>
      <c r="AG140" t="str">
        <f>IF(COUNTIF($A$2:$A$913,A140)&gt;1,"TRUE","FALSE")</f>
        <v>FALSE</v>
      </c>
    </row>
    <row r="141" spans="1:33">
      <c r="A141" t="s">
        <v>3029</v>
      </c>
      <c r="B141" t="s">
        <v>2715</v>
      </c>
      <c r="C141" t="s">
        <v>2309</v>
      </c>
      <c r="D141">
        <f>IF(OR(B141="", C141=""), "", (C141 - B141))</f>
        <v>123</v>
      </c>
      <c r="E141" t="str">
        <f>IF(C141&lt;B141, "INVALID: Ship date before order date", "")</f>
        <v/>
      </c>
      <c r="F141" t="str">
        <f>IF(B141="", "", TEXT(B141, "mmmm"))</f>
        <v>March</v>
      </c>
      <c r="G141">
        <f>IF(B141="", "", YEAR(B141))</f>
        <v>2025</v>
      </c>
      <c r="H141" t="s">
        <v>531</v>
      </c>
      <c r="I141" t="s">
        <v>78</v>
      </c>
      <c r="J141" t="s">
        <v>93</v>
      </c>
      <c r="K141" t="s">
        <v>53</v>
      </c>
      <c r="L141" t="s">
        <v>171</v>
      </c>
      <c r="M141" t="s">
        <v>172</v>
      </c>
      <c r="N141" t="s">
        <v>27</v>
      </c>
      <c r="O141" t="s">
        <v>90</v>
      </c>
      <c r="P141" t="s">
        <v>532</v>
      </c>
      <c r="Q141" t="s">
        <v>58</v>
      </c>
      <c r="R141">
        <v>8</v>
      </c>
      <c r="S141" s="15">
        <v>1287.6300000000001</v>
      </c>
      <c r="T141" s="4">
        <v>0</v>
      </c>
      <c r="U141" s="3" t="str">
        <f>IF(T141&lt;0, "negative_discount", IF(AND(T141&gt;0.5, T141&lt;=1), "high_discount", ""))</f>
        <v/>
      </c>
      <c r="V141" s="11">
        <v>10301.040000000001</v>
      </c>
      <c r="W141" s="12">
        <v>10301.040000000001</v>
      </c>
      <c r="X141" s="11">
        <v>6564.06</v>
      </c>
      <c r="Y141" s="11">
        <v>3736.98</v>
      </c>
      <c r="Z141" s="11">
        <f>ROUND(W141-X141,2)</f>
        <v>3736.98</v>
      </c>
      <c r="AA141" s="4">
        <f>IF(W141=0,0,Z141/W141)</f>
        <v>0.36277696232613404</v>
      </c>
      <c r="AB141" t="s">
        <v>31</v>
      </c>
      <c r="AC141" t="s">
        <v>32</v>
      </c>
      <c r="AD141" t="str">
        <f>IF(AND(E141="", T141&gt;=0, T141&lt;=0.5, K141&lt;&gt;"Unknown", Q141&lt;&gt;"Unknown"), "CLEAN", _xlfn.CONCAT("WARNING: ", IF(E141&lt;&gt;"","invalid_date",""), IF(T141&lt;0,"negative_discount",""), IF(AND(T141&gt;0.5,T141&lt;=1),"high_discount",""), IF(K141="Unknown","missing_region",""), IF(Q141="Unknown","missing_ship_mode","")))</f>
        <v>CLEAN</v>
      </c>
      <c r="AE141" t="str">
        <f>IF(COUNTIF($AF$2:$AF$926,AF141)&gt;1,"DUPLICATE","UNIQUE")</f>
        <v>UNIQUE</v>
      </c>
      <c r="AF141" t="str">
        <f>A141&amp;"|"&amp;B141&amp;"|"&amp;H141&amp;"|"&amp;I141&amp;"|"&amp;R141&amp;"|"&amp;S141&amp;"|"&amp;V141</f>
        <v>ORD-2025-10140|2025-03-02|CUST-4225|Neha Gupta|8|1287.63|10301.04</v>
      </c>
      <c r="AG141" t="str">
        <f>IF(COUNTIF($A$2:$A$913,A141)&gt;1,"TRUE","FALSE")</f>
        <v>FALSE</v>
      </c>
    </row>
    <row r="142" spans="1:33">
      <c r="A142" t="s">
        <v>533</v>
      </c>
      <c r="B142" t="s">
        <v>2716</v>
      </c>
      <c r="C142" t="s">
        <v>2909</v>
      </c>
      <c r="D142">
        <f>IF(OR(B142="", C142=""), "", (C142 - B142))</f>
        <v>1</v>
      </c>
      <c r="E142" t="str">
        <f>IF(C142&lt;B142, "INVALID: Ship date before order date", "")</f>
        <v/>
      </c>
      <c r="F142" t="str">
        <f>IF(B142="", "", TEXT(B142, "mmmm"))</f>
        <v>May</v>
      </c>
      <c r="G142">
        <f>IF(B142="", "", YEAR(B142))</f>
        <v>2024</v>
      </c>
      <c r="H142" t="s">
        <v>534</v>
      </c>
      <c r="I142" t="s">
        <v>35</v>
      </c>
      <c r="J142" t="s">
        <v>89</v>
      </c>
      <c r="K142" t="s">
        <v>53</v>
      </c>
      <c r="L142" t="s">
        <v>171</v>
      </c>
      <c r="M142" t="s">
        <v>172</v>
      </c>
      <c r="N142" t="s">
        <v>40</v>
      </c>
      <c r="O142" t="s">
        <v>153</v>
      </c>
      <c r="P142" t="s">
        <v>535</v>
      </c>
      <c r="Q142" t="s">
        <v>43</v>
      </c>
      <c r="R142">
        <v>3</v>
      </c>
      <c r="S142" s="15">
        <v>2914.55</v>
      </c>
      <c r="T142" s="4">
        <v>0</v>
      </c>
      <c r="U142" s="3" t="str">
        <f>IF(T142&lt;0, "negative_discount", IF(AND(T142&gt;0.5, T142&lt;=1), "high_discount", ""))</f>
        <v/>
      </c>
      <c r="V142" s="11">
        <v>8743.65</v>
      </c>
      <c r="W142" s="12">
        <v>8743.65</v>
      </c>
      <c r="X142" s="11">
        <v>6603.76</v>
      </c>
      <c r="Y142" s="11">
        <v>2139.89</v>
      </c>
      <c r="Z142" s="11">
        <f>ROUND(W142-X142,2)</f>
        <v>2139.89</v>
      </c>
      <c r="AA142" s="4">
        <f>IF(W142=0,0,Z142/W142)</f>
        <v>0.24473646589239048</v>
      </c>
      <c r="AB142" t="s">
        <v>31</v>
      </c>
      <c r="AC142" t="s">
        <v>32</v>
      </c>
      <c r="AD142" t="str">
        <f>IF(AND(E142="", T142&gt;=0, T142&lt;=0.5, K142&lt;&gt;"Unknown", Q142&lt;&gt;"Unknown"), "CLEAN", _xlfn.CONCAT("WARNING: ", IF(E142&lt;&gt;"","invalid_date",""), IF(T142&lt;0,"negative_discount",""), IF(AND(T142&gt;0.5,T142&lt;=1),"high_discount",""), IF(K142="Unknown","missing_region",""), IF(Q142="Unknown","missing_ship_mode","")))</f>
        <v>CLEAN</v>
      </c>
      <c r="AE142" t="str">
        <f>IF(COUNTIF($AF$2:$AF$926,AF142)&gt;1,"DUPLICATE","UNIQUE")</f>
        <v>UNIQUE</v>
      </c>
      <c r="AF142" t="str">
        <f>A142&amp;"|"&amp;B142&amp;"|"&amp;H142&amp;"|"&amp;I142&amp;"|"&amp;R142&amp;"|"&amp;S142&amp;"|"&amp;V142</f>
        <v>ORD-2024-10141|2024-05-31|CUST-2149|Mira Das|3|2914.55|8743.65</v>
      </c>
      <c r="AG142" t="str">
        <f>IF(COUNTIF($A$2:$A$913,A142)&gt;1,"TRUE","FALSE")</f>
        <v>FALSE</v>
      </c>
    </row>
    <row r="143" spans="1:33">
      <c r="A143" t="s">
        <v>536</v>
      </c>
      <c r="B143" t="s">
        <v>2717</v>
      </c>
      <c r="C143" t="s">
        <v>537</v>
      </c>
      <c r="D143">
        <f>IF(OR(B143="", C143=""), "", (C143 - B143))</f>
        <v>6</v>
      </c>
      <c r="E143" t="str">
        <f>IF(C143&lt;B143, "INVALID: Ship date before order date", "")</f>
        <v/>
      </c>
      <c r="F143" t="str">
        <f>IF(B143="", "", TEXT(B143, "mmmm"))</f>
        <v>March</v>
      </c>
      <c r="G143">
        <f>IF(B143="", "", YEAR(B143))</f>
        <v>2024</v>
      </c>
      <c r="H143" t="s">
        <v>538</v>
      </c>
      <c r="I143" t="s">
        <v>112</v>
      </c>
      <c r="J143" t="s">
        <v>89</v>
      </c>
      <c r="K143" t="s">
        <v>24</v>
      </c>
      <c r="L143" t="s">
        <v>353</v>
      </c>
      <c r="M143" t="s">
        <v>354</v>
      </c>
      <c r="N143" t="s">
        <v>40</v>
      </c>
      <c r="O143" t="s">
        <v>153</v>
      </c>
      <c r="P143" t="s">
        <v>539</v>
      </c>
      <c r="Q143" t="s">
        <v>43</v>
      </c>
      <c r="R143">
        <v>7</v>
      </c>
      <c r="S143" s="15">
        <v>634.29</v>
      </c>
      <c r="T143" s="4">
        <v>0.1</v>
      </c>
      <c r="U143" s="3" t="str">
        <f>IF(T143&lt;0, "negative_discount", IF(AND(T143&gt;0.5, T143&lt;=1), "high_discount", ""))</f>
        <v/>
      </c>
      <c r="V143" s="11">
        <v>3996.03</v>
      </c>
      <c r="W143" s="12">
        <v>3996.03</v>
      </c>
      <c r="X143" s="11">
        <v>2859.51</v>
      </c>
      <c r="Y143" s="11">
        <v>1136.52</v>
      </c>
      <c r="Z143" s="11">
        <f>ROUND(W143-X143,2)</f>
        <v>1136.52</v>
      </c>
      <c r="AA143" s="4">
        <f>IF(W143=0,0,Z143/W143)</f>
        <v>0.28441227918709316</v>
      </c>
      <c r="AB143" t="s">
        <v>31</v>
      </c>
      <c r="AC143" t="s">
        <v>100</v>
      </c>
      <c r="AD143" t="str">
        <f>IF(AND(E143="", T143&gt;=0, T143&lt;=0.5, K143&lt;&gt;"Unknown", Q143&lt;&gt;"Unknown"), "CLEAN", _xlfn.CONCAT("WARNING: ", IF(E143&lt;&gt;"","invalid_date",""), IF(T143&lt;0,"negative_discount",""), IF(AND(T143&gt;0.5,T143&lt;=1),"high_discount",""), IF(K143="Unknown","missing_region",""), IF(Q143="Unknown","missing_ship_mode","")))</f>
        <v>CLEAN</v>
      </c>
      <c r="AE143" t="str">
        <f>IF(COUNTIF($AF$2:$AF$926,AF143)&gt;1,"DUPLICATE","UNIQUE")</f>
        <v>UNIQUE</v>
      </c>
      <c r="AF143" t="str">
        <f>A143&amp;"|"&amp;B143&amp;"|"&amp;H143&amp;"|"&amp;I143&amp;"|"&amp;R143&amp;"|"&amp;S143&amp;"|"&amp;V143</f>
        <v>ORD-2024-10142|2024-03-23|CUST-3314|Priya Menon|7|634.29|3996.03</v>
      </c>
      <c r="AG143" t="str">
        <f>IF(COUNTIF($A$2:$A$913,A143)&gt;1,"TRUE","FALSE")</f>
        <v>FALSE</v>
      </c>
    </row>
    <row r="144" spans="1:33">
      <c r="A144" t="s">
        <v>540</v>
      </c>
      <c r="B144" t="s">
        <v>714</v>
      </c>
      <c r="C144" t="s">
        <v>544</v>
      </c>
      <c r="D144">
        <f>IF(OR(B144="", C144=""), "", (C144 - B144))</f>
        <v>-4</v>
      </c>
      <c r="E144" t="str">
        <f>IF(C144&lt;B144, "INVALID: Ship date before order date", "")</f>
        <v>INVALID: Ship date before order date</v>
      </c>
      <c r="F144" t="str">
        <f>IF(B144="", "", TEXT(B144, "mmmm"))</f>
        <v>March</v>
      </c>
      <c r="G144">
        <f>IF(B144="", "", YEAR(B144))</f>
        <v>2024</v>
      </c>
      <c r="H144" t="s">
        <v>541</v>
      </c>
      <c r="I144" t="s">
        <v>88</v>
      </c>
      <c r="J144" t="s">
        <v>93</v>
      </c>
      <c r="K144" t="s">
        <v>24</v>
      </c>
      <c r="L144" t="s">
        <v>25</v>
      </c>
      <c r="M144" t="s">
        <v>26</v>
      </c>
      <c r="N144" t="s">
        <v>74</v>
      </c>
      <c r="O144" t="s">
        <v>168</v>
      </c>
      <c r="P144" t="s">
        <v>542</v>
      </c>
      <c r="Q144" t="s">
        <v>30</v>
      </c>
      <c r="R144">
        <v>5</v>
      </c>
      <c r="S144" s="15">
        <v>907.54</v>
      </c>
      <c r="T144" s="4">
        <v>0.15</v>
      </c>
      <c r="U144" s="3" t="str">
        <f>IF(T144&lt;0, "negative_discount", IF(AND(T144&gt;0.5, T144&lt;=1), "high_discount", ""))</f>
        <v/>
      </c>
      <c r="V144" s="11">
        <v>3857.04</v>
      </c>
      <c r="W144" s="12">
        <v>3857.05</v>
      </c>
      <c r="X144" s="11">
        <v>2769.26</v>
      </c>
      <c r="Y144" s="11">
        <v>1087.78</v>
      </c>
      <c r="Z144" s="11">
        <f>ROUND(W144-X144,2)</f>
        <v>1087.79</v>
      </c>
      <c r="AA144" s="4">
        <f>IF(W144=0,0,Z144/W144)</f>
        <v>0.28202641915453519</v>
      </c>
      <c r="AB144" t="s">
        <v>31</v>
      </c>
      <c r="AC144" t="s">
        <v>32</v>
      </c>
      <c r="AD144" t="str">
        <f>IF(AND(E144="", T144&gt;=0, T144&lt;=0.5, K144&lt;&gt;"Unknown", Q144&lt;&gt;"Unknown"), "CLEAN", _xlfn.CONCAT("WARNING: ", IF(E144&lt;&gt;"","invalid_date",""), IF(T144&lt;0,"negative_discount",""), IF(AND(T144&gt;0.5,T144&lt;=1),"high_discount",""), IF(K144="Unknown","missing_region",""), IF(Q144="Unknown","missing_ship_mode","")))</f>
        <v>WARNING: invalid_date</v>
      </c>
      <c r="AE144" t="str">
        <f>IF(COUNTIF($AF$2:$AF$926,AF144)&gt;1,"DUPLICATE","UNIQUE")</f>
        <v>UNIQUE</v>
      </c>
      <c r="AF144" t="str">
        <f>A144&amp;"|"&amp;B144&amp;"|"&amp;H144&amp;"|"&amp;I144&amp;"|"&amp;R144&amp;"|"&amp;S144&amp;"|"&amp;V144</f>
        <v>ORD-2024-10143|2024-03-30|CUST-8944|Aditi Sen|5|907.54|3857.04</v>
      </c>
      <c r="AG144" t="str">
        <f>IF(COUNTIF($A$2:$A$913,A144)&gt;1,"TRUE","FALSE")</f>
        <v>TRUE</v>
      </c>
    </row>
    <row r="145" spans="1:33">
      <c r="A145" t="s">
        <v>543</v>
      </c>
      <c r="B145" t="s">
        <v>2051</v>
      </c>
      <c r="C145" t="s">
        <v>544</v>
      </c>
      <c r="D145">
        <f>IF(OR(B145="", C145=""), "", (C145 - B145))</f>
        <v>2</v>
      </c>
      <c r="E145" t="str">
        <f>IF(C145&lt;B145, "INVALID: Ship date before order date", "")</f>
        <v/>
      </c>
      <c r="F145" t="str">
        <f>IF(B145="", "", TEXT(B145, "mmmm"))</f>
        <v>March</v>
      </c>
      <c r="G145">
        <f>IF(B145="", "", YEAR(B145))</f>
        <v>2024</v>
      </c>
      <c r="H145" t="s">
        <v>545</v>
      </c>
      <c r="I145" t="s">
        <v>112</v>
      </c>
      <c r="J145" t="s">
        <v>23</v>
      </c>
      <c r="K145" t="s">
        <v>62</v>
      </c>
      <c r="L145" t="s">
        <v>176</v>
      </c>
      <c r="M145" t="s">
        <v>177</v>
      </c>
      <c r="N145" t="s">
        <v>27</v>
      </c>
      <c r="O145" t="s">
        <v>28</v>
      </c>
      <c r="P145" t="s">
        <v>546</v>
      </c>
      <c r="Q145" t="s">
        <v>30</v>
      </c>
      <c r="R145">
        <v>1</v>
      </c>
      <c r="S145" s="15">
        <v>3409.5</v>
      </c>
      <c r="T145" s="4">
        <v>0.1</v>
      </c>
      <c r="U145" s="3" t="str">
        <f>IF(T145&lt;0, "negative_discount", IF(AND(T145&gt;0.5, T145&lt;=1), "high_discount", ""))</f>
        <v/>
      </c>
      <c r="V145" s="11">
        <v>3068.55</v>
      </c>
      <c r="W145" s="12">
        <v>3068.55</v>
      </c>
      <c r="X145" s="11">
        <v>1916.16</v>
      </c>
      <c r="Y145" s="11">
        <v>1152.3900000000001</v>
      </c>
      <c r="Z145" s="11">
        <f>ROUND(W145-X145,2)</f>
        <v>1152.3900000000001</v>
      </c>
      <c r="AA145" s="4">
        <f>IF(W145=0,0,Z145/W145)</f>
        <v>0.3755487119323459</v>
      </c>
      <c r="AB145" t="s">
        <v>31</v>
      </c>
      <c r="AC145" t="s">
        <v>100</v>
      </c>
      <c r="AD145" t="str">
        <f>IF(AND(E145="", T145&gt;=0, T145&lt;=0.5, K145&lt;&gt;"Unknown", Q145&lt;&gt;"Unknown"), "CLEAN", _xlfn.CONCAT("WARNING: ", IF(E145&lt;&gt;"","invalid_date",""), IF(T145&lt;0,"negative_discount",""), IF(AND(T145&gt;0.5,T145&lt;=1),"high_discount",""), IF(K145="Unknown","missing_region",""), IF(Q145="Unknown","missing_ship_mode","")))</f>
        <v>CLEAN</v>
      </c>
      <c r="AE145" t="str">
        <f>IF(COUNTIF($AF$2:$AF$926,AF145)&gt;1,"DUPLICATE","UNIQUE")</f>
        <v>UNIQUE</v>
      </c>
      <c r="AF145" t="str">
        <f>A145&amp;"|"&amp;B145&amp;"|"&amp;H145&amp;"|"&amp;I145&amp;"|"&amp;R145&amp;"|"&amp;S145&amp;"|"&amp;V145</f>
        <v>ORD-2024-10144|2024-03-24|CUST-3144|Priya Menon|1|3409.5|3068.55</v>
      </c>
      <c r="AG145" t="str">
        <f>IF(COUNTIF($A$2:$A$913,A145)&gt;1,"TRUE","FALSE")</f>
        <v>FALSE</v>
      </c>
    </row>
    <row r="146" spans="1:33">
      <c r="A146" t="s">
        <v>547</v>
      </c>
      <c r="B146" t="s">
        <v>2718</v>
      </c>
      <c r="C146" t="s">
        <v>548</v>
      </c>
      <c r="D146">
        <f>IF(OR(B146="", C146=""), "", (C146 - B146))</f>
        <v>-21</v>
      </c>
      <c r="E146" t="str">
        <f>IF(C146&lt;B146, "INVALID: Ship date before order date", "")</f>
        <v>INVALID: Ship date before order date</v>
      </c>
      <c r="F146" t="str">
        <f>IF(B146="", "", TEXT(B146, "mmmm"))</f>
        <v>July</v>
      </c>
      <c r="G146">
        <f>IF(B146="", "", YEAR(B146))</f>
        <v>2024</v>
      </c>
      <c r="H146" t="s">
        <v>549</v>
      </c>
      <c r="I146" t="s">
        <v>263</v>
      </c>
      <c r="J146" t="s">
        <v>36</v>
      </c>
      <c r="K146" t="s">
        <v>53</v>
      </c>
      <c r="L146" t="s">
        <v>54</v>
      </c>
      <c r="M146" t="s">
        <v>55</v>
      </c>
      <c r="N146" t="s">
        <v>74</v>
      </c>
      <c r="O146" t="s">
        <v>75</v>
      </c>
      <c r="P146" t="s">
        <v>550</v>
      </c>
      <c r="Q146" t="s">
        <v>49</v>
      </c>
      <c r="R146">
        <v>7</v>
      </c>
      <c r="S146" s="15">
        <v>2147.9899999999998</v>
      </c>
      <c r="T146" s="4">
        <v>0.25</v>
      </c>
      <c r="U146" s="3" t="str">
        <f>IF(T146&lt;0, "negative_discount", IF(AND(T146&gt;0.5, T146&lt;=1), "high_discount", ""))</f>
        <v/>
      </c>
      <c r="V146" s="11">
        <v>11276.95</v>
      </c>
      <c r="W146" s="12">
        <v>11276.95</v>
      </c>
      <c r="X146" s="11">
        <v>6908.76</v>
      </c>
      <c r="Y146" s="11">
        <v>4368.1899999999996</v>
      </c>
      <c r="Z146" s="11">
        <f>ROUND(W146-X146,2)</f>
        <v>4368.1899999999996</v>
      </c>
      <c r="AA146" s="4">
        <f>IF(W146=0,0,Z146/W146)</f>
        <v>0.38735562363937054</v>
      </c>
      <c r="AB146" t="s">
        <v>99</v>
      </c>
      <c r="AC146" t="s">
        <v>100</v>
      </c>
      <c r="AD146" t="str">
        <f>IF(AND(E146="", T146&gt;=0, T146&lt;=0.5, K146&lt;&gt;"Unknown", Q146&lt;&gt;"Unknown"), "CLEAN", _xlfn.CONCAT("WARNING: ", IF(E146&lt;&gt;"","invalid_date",""), IF(T146&lt;0,"negative_discount",""), IF(AND(T146&gt;0.5,T146&lt;=1),"high_discount",""), IF(K146="Unknown","missing_region",""), IF(Q146="Unknown","missing_ship_mode","")))</f>
        <v>WARNING: invalid_date</v>
      </c>
      <c r="AE146" t="str">
        <f>IF(COUNTIF($AF$2:$AF$926,AF146)&gt;1,"DUPLICATE","UNIQUE")</f>
        <v>UNIQUE</v>
      </c>
      <c r="AF146" t="str">
        <f>A146&amp;"|"&amp;B146&amp;"|"&amp;H146&amp;"|"&amp;I146&amp;"|"&amp;R146&amp;"|"&amp;S146&amp;"|"&amp;V146</f>
        <v>ORD-2024-10145|2024-07-06|CUST-6747|Kabir Singh|7|2147.99|11276.95</v>
      </c>
      <c r="AG146" t="str">
        <f>IF(COUNTIF($A$2:$A$913,A146)&gt;1,"TRUE","FALSE")</f>
        <v>FALSE</v>
      </c>
    </row>
    <row r="147" spans="1:33">
      <c r="A147" t="s">
        <v>3030</v>
      </c>
      <c r="B147" t="s">
        <v>2719</v>
      </c>
      <c r="C147" t="s">
        <v>1202</v>
      </c>
      <c r="D147">
        <f>IF(OR(B147="", C147=""), "", (C147 - B147))</f>
        <v>-205</v>
      </c>
      <c r="E147" t="str">
        <f>IF(C147&lt;B147, "INVALID: Ship date before order date", "")</f>
        <v>INVALID: Ship date before order date</v>
      </c>
      <c r="F147" t="str">
        <f>IF(B147="", "", TEXT(B147, "mmmm"))</f>
        <v>November</v>
      </c>
      <c r="G147">
        <f>IF(B147="", "", YEAR(B147))</f>
        <v>2025</v>
      </c>
      <c r="H147" t="s">
        <v>551</v>
      </c>
      <c r="I147" t="s">
        <v>35</v>
      </c>
      <c r="J147" t="s">
        <v>36</v>
      </c>
      <c r="K147" t="s">
        <v>62</v>
      </c>
      <c r="L147" t="s">
        <v>185</v>
      </c>
      <c r="M147" t="s">
        <v>186</v>
      </c>
      <c r="N147" t="s">
        <v>27</v>
      </c>
      <c r="O147" t="s">
        <v>28</v>
      </c>
      <c r="P147" t="s">
        <v>552</v>
      </c>
      <c r="Q147" t="s">
        <v>58</v>
      </c>
      <c r="R147">
        <v>4</v>
      </c>
      <c r="S147" s="15">
        <v>4182.1499999999996</v>
      </c>
      <c r="T147" s="4">
        <v>0.1</v>
      </c>
      <c r="U147" s="3" t="str">
        <f>IF(T147&lt;0, "negative_discount", IF(AND(T147&gt;0.5, T147&lt;=1), "high_discount", ""))</f>
        <v/>
      </c>
      <c r="V147" s="11">
        <v>15055.74</v>
      </c>
      <c r="W147" s="12">
        <v>15055.74</v>
      </c>
      <c r="X147" s="11">
        <v>9808.83</v>
      </c>
      <c r="Y147" s="11">
        <v>5246.91</v>
      </c>
      <c r="Z147" s="11">
        <f>ROUND(W147-X147,2)</f>
        <v>5246.91</v>
      </c>
      <c r="AA147" s="4">
        <f>IF(W147=0,0,Z147/W147)</f>
        <v>0.34849897779850075</v>
      </c>
      <c r="AB147" t="s">
        <v>31</v>
      </c>
      <c r="AC147" t="s">
        <v>32</v>
      </c>
      <c r="AD147" t="str">
        <f>IF(AND(E147="", T147&gt;=0, T147&lt;=0.5, K147&lt;&gt;"Unknown", Q147&lt;&gt;"Unknown"), "CLEAN", _xlfn.CONCAT("WARNING: ", IF(E147&lt;&gt;"","invalid_date",""), IF(T147&lt;0,"negative_discount",""), IF(AND(T147&gt;0.5,T147&lt;=1),"high_discount",""), IF(K147="Unknown","missing_region",""), IF(Q147="Unknown","missing_ship_mode","")))</f>
        <v>WARNING: invalid_date</v>
      </c>
      <c r="AE147" t="str">
        <f>IF(COUNTIF($AF$2:$AF$926,AF147)&gt;1,"DUPLICATE","UNIQUE")</f>
        <v>UNIQUE</v>
      </c>
      <c r="AF147" t="str">
        <f>A147&amp;"|"&amp;B147&amp;"|"&amp;H147&amp;"|"&amp;I147&amp;"|"&amp;R147&amp;"|"&amp;S147&amp;"|"&amp;V147</f>
        <v>ORD-2025-10146|2025-11-04|CUST-6161|Mira Das|4|4182.15|15055.74</v>
      </c>
      <c r="AG147" t="str">
        <f>IF(COUNTIF($A$2:$A$913,A147)&gt;1,"TRUE","FALSE")</f>
        <v>FALSE</v>
      </c>
    </row>
    <row r="148" spans="1:33">
      <c r="A148" t="s">
        <v>3031</v>
      </c>
      <c r="B148" t="s">
        <v>2720</v>
      </c>
      <c r="C148" t="s">
        <v>2754</v>
      </c>
      <c r="D148">
        <f>IF(OR(B148="", C148=""), "", (C148 - B148))</f>
        <v>2</v>
      </c>
      <c r="E148" t="str">
        <f>IF(C148&lt;B148, "INVALID: Ship date before order date", "")</f>
        <v/>
      </c>
      <c r="F148" t="str">
        <f>IF(B148="", "", TEXT(B148, "mmmm"))</f>
        <v>July</v>
      </c>
      <c r="G148">
        <f>IF(B148="", "", YEAR(B148))</f>
        <v>2025</v>
      </c>
      <c r="H148" t="s">
        <v>553</v>
      </c>
      <c r="I148" t="s">
        <v>131</v>
      </c>
      <c r="J148" t="s">
        <v>36</v>
      </c>
      <c r="K148" t="s">
        <v>53</v>
      </c>
      <c r="L148" t="s">
        <v>246</v>
      </c>
      <c r="M148" t="s">
        <v>247</v>
      </c>
      <c r="N148" t="s">
        <v>27</v>
      </c>
      <c r="O148" t="s">
        <v>122</v>
      </c>
      <c r="P148" t="s">
        <v>554</v>
      </c>
      <c r="Q148" t="s">
        <v>43</v>
      </c>
      <c r="R148">
        <v>9</v>
      </c>
      <c r="S148" s="15">
        <v>3165.43</v>
      </c>
      <c r="T148" s="4">
        <v>0.1</v>
      </c>
      <c r="U148" s="3" t="str">
        <f>IF(T148&lt;0, "negative_discount", IF(AND(T148&gt;0.5, T148&lt;=1), "high_discount", ""))</f>
        <v/>
      </c>
      <c r="V148" s="11">
        <v>25639.98</v>
      </c>
      <c r="W148" s="12">
        <v>25639.98</v>
      </c>
      <c r="X148" s="11">
        <v>21635.08</v>
      </c>
      <c r="Y148" s="11">
        <v>4004.9</v>
      </c>
      <c r="Z148" s="11">
        <f>ROUND(W148-X148,2)</f>
        <v>4004.9</v>
      </c>
      <c r="AA148" s="4">
        <f>IF(W148=0,0,Z148/W148)</f>
        <v>0.1561974697328157</v>
      </c>
      <c r="AB148" t="s">
        <v>31</v>
      </c>
      <c r="AC148" t="s">
        <v>32</v>
      </c>
      <c r="AD148" t="str">
        <f>IF(AND(E148="", T148&gt;=0, T148&lt;=0.5, K148&lt;&gt;"Unknown", Q148&lt;&gt;"Unknown"), "CLEAN", _xlfn.CONCAT("WARNING: ", IF(E148&lt;&gt;"","invalid_date",""), IF(T148&lt;0,"negative_discount",""), IF(AND(T148&gt;0.5,T148&lt;=1),"high_discount",""), IF(K148="Unknown","missing_region",""), IF(Q148="Unknown","missing_ship_mode","")))</f>
        <v>CLEAN</v>
      </c>
      <c r="AE148" t="str">
        <f>IF(COUNTIF($AF$2:$AF$926,AF148)&gt;1,"DUPLICATE","UNIQUE")</f>
        <v>UNIQUE</v>
      </c>
      <c r="AF148" t="str">
        <f>A148&amp;"|"&amp;B148&amp;"|"&amp;H148&amp;"|"&amp;I148&amp;"|"&amp;R148&amp;"|"&amp;S148&amp;"|"&amp;V148</f>
        <v>ORD-2025-10147|2025-07-30|CUST-1460|Sneha Kapoor|9|3165.43|25639.98</v>
      </c>
      <c r="AG148" t="str">
        <f>IF(COUNTIF($A$2:$A$913,A148)&gt;1,"TRUE","FALSE")</f>
        <v>FALSE</v>
      </c>
    </row>
    <row r="149" spans="1:33">
      <c r="A149" t="s">
        <v>555</v>
      </c>
      <c r="B149" t="s">
        <v>304</v>
      </c>
      <c r="C149" t="s">
        <v>556</v>
      </c>
      <c r="D149">
        <f>IF(OR(B149="", C149=""), "", (C149 - B149))</f>
        <v>7</v>
      </c>
      <c r="E149" t="str">
        <f>IF(C149&lt;B149, "INVALID: Ship date before order date", "")</f>
        <v/>
      </c>
      <c r="F149" t="str">
        <f>IF(B149="", "", TEXT(B149, "mmmm"))</f>
        <v>December</v>
      </c>
      <c r="G149">
        <f>IF(B149="", "", YEAR(B149))</f>
        <v>2024</v>
      </c>
      <c r="H149" t="s">
        <v>557</v>
      </c>
      <c r="I149" t="s">
        <v>112</v>
      </c>
      <c r="J149" t="s">
        <v>93</v>
      </c>
      <c r="K149" t="s">
        <v>62</v>
      </c>
      <c r="L149" t="s">
        <v>185</v>
      </c>
      <c r="M149" t="s">
        <v>186</v>
      </c>
      <c r="N149" t="s">
        <v>40</v>
      </c>
      <c r="O149" t="s">
        <v>56</v>
      </c>
      <c r="P149" t="s">
        <v>558</v>
      </c>
      <c r="Q149" t="s">
        <v>49</v>
      </c>
      <c r="R149">
        <v>8</v>
      </c>
      <c r="S149" s="15">
        <v>386.1</v>
      </c>
      <c r="T149" s="4">
        <v>0.1</v>
      </c>
      <c r="U149" s="3" t="str">
        <f>IF(T149&lt;0, "negative_discount", IF(AND(T149&gt;0.5, T149&lt;=1), "high_discount", ""))</f>
        <v/>
      </c>
      <c r="V149" s="11">
        <v>2779.92</v>
      </c>
      <c r="W149" s="12">
        <v>2779.92</v>
      </c>
      <c r="X149" s="11">
        <v>1744.05</v>
      </c>
      <c r="Y149" s="11">
        <v>1035.8699999999999</v>
      </c>
      <c r="Z149" s="11">
        <f>ROUND(W149-X149,2)</f>
        <v>1035.8699999999999</v>
      </c>
      <c r="AA149" s="4">
        <f>IF(W149=0,0,Z149/W149)</f>
        <v>0.37262583095916424</v>
      </c>
      <c r="AB149" t="s">
        <v>31</v>
      </c>
      <c r="AC149" t="s">
        <v>32</v>
      </c>
      <c r="AD149" t="str">
        <f>IF(AND(E149="", T149&gt;=0, T149&lt;=0.5, K149&lt;&gt;"Unknown", Q149&lt;&gt;"Unknown"), "CLEAN", _xlfn.CONCAT("WARNING: ", IF(E149&lt;&gt;"","invalid_date",""), IF(T149&lt;0,"negative_discount",""), IF(AND(T149&gt;0.5,T149&lt;=1),"high_discount",""), IF(K149="Unknown","missing_region",""), IF(Q149="Unknown","missing_ship_mode","")))</f>
        <v>CLEAN</v>
      </c>
      <c r="AE149" t="str">
        <f>IF(COUNTIF($AF$2:$AF$926,AF149)&gt;1,"DUPLICATE","UNIQUE")</f>
        <v>UNIQUE</v>
      </c>
      <c r="AF149" t="str">
        <f>A149&amp;"|"&amp;B149&amp;"|"&amp;H149&amp;"|"&amp;I149&amp;"|"&amp;R149&amp;"|"&amp;S149&amp;"|"&amp;V149</f>
        <v>ORD-2024-10148|2024-12-23|CUST-2692|Priya Menon|8|386.1|2779.92</v>
      </c>
      <c r="AG149" t="str">
        <f>IF(COUNTIF($A$2:$A$913,A149)&gt;1,"TRUE","FALSE")</f>
        <v>FALSE</v>
      </c>
    </row>
    <row r="150" spans="1:33">
      <c r="A150" t="s">
        <v>3032</v>
      </c>
      <c r="B150" t="s">
        <v>2721</v>
      </c>
      <c r="C150" t="s">
        <v>1543</v>
      </c>
      <c r="D150">
        <f>IF(OR(B150="", C150=""), "", (C150 - B150))</f>
        <v>4</v>
      </c>
      <c r="E150" t="str">
        <f>IF(C150&lt;B150, "INVALID: Ship date before order date", "")</f>
        <v/>
      </c>
      <c r="F150" t="str">
        <f>IF(B150="", "", TEXT(B150, "mmmm"))</f>
        <v>February</v>
      </c>
      <c r="G150">
        <f>IF(B150="", "", YEAR(B150))</f>
        <v>2025</v>
      </c>
      <c r="H150" t="s">
        <v>559</v>
      </c>
      <c r="I150" t="s">
        <v>35</v>
      </c>
      <c r="J150" t="s">
        <v>93</v>
      </c>
      <c r="K150" t="s">
        <v>62</v>
      </c>
      <c r="L150" t="s">
        <v>72</v>
      </c>
      <c r="M150" t="s">
        <v>73</v>
      </c>
      <c r="N150" t="s">
        <v>74</v>
      </c>
      <c r="O150" t="s">
        <v>168</v>
      </c>
      <c r="P150" t="s">
        <v>560</v>
      </c>
      <c r="Q150" t="s">
        <v>2970</v>
      </c>
      <c r="R150">
        <v>8</v>
      </c>
      <c r="S150" s="15">
        <v>1696.07</v>
      </c>
      <c r="T150" s="4">
        <v>0.25</v>
      </c>
      <c r="U150" s="3" t="str">
        <f>IF(T150&lt;0, "negative_discount", IF(AND(T150&gt;0.5, T150&lt;=1), "high_discount", ""))</f>
        <v/>
      </c>
      <c r="V150" s="11">
        <v>10176.42</v>
      </c>
      <c r="W150" s="12">
        <v>10176.42</v>
      </c>
      <c r="X150" s="11">
        <v>7604.47</v>
      </c>
      <c r="Y150" s="11">
        <v>2571.9499999999998</v>
      </c>
      <c r="Z150" s="11">
        <f>ROUND(W150-X150,2)</f>
        <v>2571.9499999999998</v>
      </c>
      <c r="AA150" s="4">
        <f>IF(W150=0,0,Z150/W150)</f>
        <v>0.252736227474888</v>
      </c>
      <c r="AB150" t="s">
        <v>31</v>
      </c>
      <c r="AC150" t="s">
        <v>32</v>
      </c>
      <c r="AD150" t="str">
        <f>IF(AND(E150="", T150&gt;=0, T150&lt;=0.5, K150&lt;&gt;"Unknown", Q150&lt;&gt;"Unknown"), "CLEAN", _xlfn.CONCAT("WARNING: ", IF(E150&lt;&gt;"","invalid_date",""), IF(T150&lt;0,"negative_discount",""), IF(AND(T150&gt;0.5,T150&lt;=1),"high_discount",""), IF(K150="Unknown","missing_region",""), IF(Q150="Unknown","missing_ship_mode","")))</f>
        <v>WARNING: missing_ship_mode</v>
      </c>
      <c r="AE150" t="str">
        <f>IF(COUNTIF($AF$2:$AF$926,AF150)&gt;1,"DUPLICATE","UNIQUE")</f>
        <v>UNIQUE</v>
      </c>
      <c r="AF150" t="str">
        <f>A150&amp;"|"&amp;B150&amp;"|"&amp;H150&amp;"|"&amp;I150&amp;"|"&amp;R150&amp;"|"&amp;S150&amp;"|"&amp;V150</f>
        <v>ORD-2025-10149|2025-02-09|CUST-2822|Mira Das|8|1696.07|10176.42</v>
      </c>
      <c r="AG150" t="str">
        <f>IF(COUNTIF($A$2:$A$913,A150)&gt;1,"TRUE","FALSE")</f>
        <v>FALSE</v>
      </c>
    </row>
    <row r="151" spans="1:33">
      <c r="A151" t="s">
        <v>561</v>
      </c>
      <c r="B151" t="s">
        <v>1684</v>
      </c>
      <c r="C151" t="s">
        <v>1684</v>
      </c>
      <c r="D151">
        <f>IF(OR(B151="", C151=""), "", (C151 - B151))</f>
        <v>0</v>
      </c>
      <c r="E151" t="str">
        <f>IF(C151&lt;B151, "INVALID: Ship date before order date", "")</f>
        <v/>
      </c>
      <c r="F151" t="str">
        <f>IF(B151="", "", TEXT(B151, "mmmm"))</f>
        <v>January</v>
      </c>
      <c r="G151">
        <f>IF(B151="", "", YEAR(B151))</f>
        <v>2024</v>
      </c>
      <c r="H151" t="s">
        <v>562</v>
      </c>
      <c r="I151" t="s">
        <v>126</v>
      </c>
      <c r="J151" t="s">
        <v>36</v>
      </c>
      <c r="K151" t="s">
        <v>62</v>
      </c>
      <c r="L151" t="s">
        <v>25</v>
      </c>
      <c r="M151" t="s">
        <v>107</v>
      </c>
      <c r="N151" t="s">
        <v>74</v>
      </c>
      <c r="O151" t="s">
        <v>79</v>
      </c>
      <c r="P151" t="s">
        <v>563</v>
      </c>
      <c r="Q151" t="s">
        <v>43</v>
      </c>
      <c r="R151">
        <v>7</v>
      </c>
      <c r="S151" s="15">
        <v>2527.61</v>
      </c>
      <c r="T151" s="4">
        <v>0.25</v>
      </c>
      <c r="U151" s="3" t="str">
        <f>IF(T151&lt;0, "negative_discount", IF(AND(T151&gt;0.5, T151&lt;=1), "high_discount", ""))</f>
        <v/>
      </c>
      <c r="V151" s="11">
        <v>13269.95</v>
      </c>
      <c r="W151" s="12">
        <v>13269.95</v>
      </c>
      <c r="X151" s="11">
        <v>8977.1</v>
      </c>
      <c r="Y151" s="11">
        <v>4292.8500000000004</v>
      </c>
      <c r="Z151" s="11">
        <f>ROUND(W151-X151,2)</f>
        <v>4292.8500000000004</v>
      </c>
      <c r="AA151" s="4">
        <f>IF(W151=0,0,Z151/W151)</f>
        <v>0.32350159571060932</v>
      </c>
      <c r="AB151" t="s">
        <v>31</v>
      </c>
      <c r="AC151" t="s">
        <v>32</v>
      </c>
      <c r="AD151" t="str">
        <f>IF(AND(E151="", T151&gt;=0, T151&lt;=0.5, K151&lt;&gt;"Unknown", Q151&lt;&gt;"Unknown"), "CLEAN", _xlfn.CONCAT("WARNING: ", IF(E151&lt;&gt;"","invalid_date",""), IF(T151&lt;0,"negative_discount",""), IF(AND(T151&gt;0.5,T151&lt;=1),"high_discount",""), IF(K151="Unknown","missing_region",""), IF(Q151="Unknown","missing_ship_mode","")))</f>
        <v>CLEAN</v>
      </c>
      <c r="AE151" t="str">
        <f>IF(COUNTIF($AF$2:$AF$926,AF151)&gt;1,"DUPLICATE","UNIQUE")</f>
        <v>UNIQUE</v>
      </c>
      <c r="AF151" t="str">
        <f>A151&amp;"|"&amp;B151&amp;"|"&amp;H151&amp;"|"&amp;I151&amp;"|"&amp;R151&amp;"|"&amp;S151&amp;"|"&amp;V151</f>
        <v>ORD-2024-10150|2024-01-30|CUST-5876|Aarav Sharma|7|2527.61|13269.95</v>
      </c>
      <c r="AG151" t="str">
        <f>IF(COUNTIF($A$2:$A$913,A151)&gt;1,"TRUE","FALSE")</f>
        <v>FALSE</v>
      </c>
    </row>
    <row r="152" spans="1:33">
      <c r="A152" t="s">
        <v>564</v>
      </c>
      <c r="B152" t="s">
        <v>1639</v>
      </c>
      <c r="C152" t="s">
        <v>565</v>
      </c>
      <c r="D152">
        <f>IF(OR(B152="", C152=""), "", (C152 - B152))</f>
        <v>-22</v>
      </c>
      <c r="E152" t="str">
        <f>IF(C152&lt;B152, "INVALID: Ship date before order date", "")</f>
        <v>INVALID: Ship date before order date</v>
      </c>
      <c r="F152" t="str">
        <f>IF(B152="", "", TEXT(B152, "mmmm"))</f>
        <v>April</v>
      </c>
      <c r="G152">
        <f>IF(B152="", "", YEAR(B152))</f>
        <v>2024</v>
      </c>
      <c r="H152" t="s">
        <v>566</v>
      </c>
      <c r="I152" t="s">
        <v>52</v>
      </c>
      <c r="J152" t="s">
        <v>23</v>
      </c>
      <c r="K152" t="s">
        <v>2970</v>
      </c>
      <c r="L152" t="s">
        <v>176</v>
      </c>
      <c r="M152" t="s">
        <v>177</v>
      </c>
      <c r="N152" t="s">
        <v>40</v>
      </c>
      <c r="O152" t="s">
        <v>153</v>
      </c>
      <c r="P152" t="s">
        <v>567</v>
      </c>
      <c r="Q152" t="s">
        <v>49</v>
      </c>
      <c r="R152">
        <v>1</v>
      </c>
      <c r="S152" s="15">
        <v>1554.12</v>
      </c>
      <c r="T152" s="4">
        <v>0.1</v>
      </c>
      <c r="U152" s="3" t="str">
        <f>IF(T152&lt;0, "negative_discount", IF(AND(T152&gt;0.5, T152&lt;=1), "high_discount", ""))</f>
        <v/>
      </c>
      <c r="V152" s="11">
        <v>1398.71</v>
      </c>
      <c r="W152" s="12">
        <v>1398.71</v>
      </c>
      <c r="X152" s="11">
        <v>1056.92</v>
      </c>
      <c r="Y152" s="11">
        <v>341.79</v>
      </c>
      <c r="Z152" s="11">
        <f>ROUND(W152-X152,2)</f>
        <v>341.79</v>
      </c>
      <c r="AA152" s="4">
        <f>IF(W152=0,0,Z152/W152)</f>
        <v>0.24436087537802689</v>
      </c>
      <c r="AB152" t="s">
        <v>31</v>
      </c>
      <c r="AC152" t="s">
        <v>32</v>
      </c>
      <c r="AD152" t="str">
        <f>IF(AND(E152="", T152&gt;=0, T152&lt;=0.5, K152&lt;&gt;"Unknown", Q152&lt;&gt;"Unknown"), "CLEAN", _xlfn.CONCAT("WARNING: ", IF(E152&lt;&gt;"","invalid_date",""), IF(T152&lt;0,"negative_discount",""), IF(AND(T152&gt;0.5,T152&lt;=1),"high_discount",""), IF(K152="Unknown","missing_region",""), IF(Q152="Unknown","missing_ship_mode","")))</f>
        <v>WARNING: invalid_datemissing_region</v>
      </c>
      <c r="AE152" t="str">
        <f>IF(COUNTIF($AF$2:$AF$926,AF152)&gt;1,"DUPLICATE","UNIQUE")</f>
        <v>UNIQUE</v>
      </c>
      <c r="AF152" t="str">
        <f>A152&amp;"|"&amp;B152&amp;"|"&amp;H152&amp;"|"&amp;I152&amp;"|"&amp;R152&amp;"|"&amp;S152&amp;"|"&amp;V152</f>
        <v>ORD-2024-10151|2024-04-03|CUST-4661|Arjun Bose|1|1554.12|1398.71</v>
      </c>
      <c r="AG152" t="str">
        <f>IF(COUNTIF($A$2:$A$913,A152)&gt;1,"TRUE","FALSE")</f>
        <v>FALSE</v>
      </c>
    </row>
    <row r="153" spans="1:33">
      <c r="A153" t="s">
        <v>568</v>
      </c>
      <c r="B153" t="s">
        <v>2722</v>
      </c>
      <c r="C153" t="s">
        <v>2722</v>
      </c>
      <c r="D153">
        <f>IF(OR(B153="", C153=""), "", (C153 - B153))</f>
        <v>0</v>
      </c>
      <c r="E153" t="str">
        <f>IF(C153&lt;B153, "INVALID: Ship date before order date", "")</f>
        <v/>
      </c>
      <c r="F153" t="str">
        <f>IF(B153="", "", TEXT(B153, "mmmm"))</f>
        <v>June</v>
      </c>
      <c r="G153">
        <f>IF(B153="", "", YEAR(B153))</f>
        <v>2024</v>
      </c>
      <c r="H153" t="s">
        <v>569</v>
      </c>
      <c r="I153" t="s">
        <v>78</v>
      </c>
      <c r="J153" t="s">
        <v>93</v>
      </c>
      <c r="K153" t="s">
        <v>2970</v>
      </c>
      <c r="L153" t="s">
        <v>72</v>
      </c>
      <c r="M153" t="s">
        <v>73</v>
      </c>
      <c r="N153" t="s">
        <v>74</v>
      </c>
      <c r="O153" t="s">
        <v>79</v>
      </c>
      <c r="P153" t="s">
        <v>570</v>
      </c>
      <c r="Q153" t="s">
        <v>58</v>
      </c>
      <c r="R153">
        <v>2</v>
      </c>
      <c r="S153" s="15">
        <v>3859.11</v>
      </c>
      <c r="T153" s="4">
        <v>0</v>
      </c>
      <c r="U153" s="3" t="str">
        <f>IF(T153&lt;0, "negative_discount", IF(AND(T153&gt;0.5, T153&lt;=1), "high_discount", ""))</f>
        <v/>
      </c>
      <c r="V153" s="11">
        <v>7718.22</v>
      </c>
      <c r="W153" s="12">
        <v>7718.22</v>
      </c>
      <c r="X153" s="11">
        <v>5355.93</v>
      </c>
      <c r="Y153" s="11">
        <v>2362.29</v>
      </c>
      <c r="Z153" s="11">
        <f>ROUND(W153-X153,2)</f>
        <v>2362.29</v>
      </c>
      <c r="AA153" s="4">
        <f>IF(W153=0,0,Z153/W153)</f>
        <v>0.30606668376905555</v>
      </c>
      <c r="AB153" t="s">
        <v>109</v>
      </c>
      <c r="AC153" t="s">
        <v>100</v>
      </c>
      <c r="AD153" t="str">
        <f>IF(AND(E153="", T153&gt;=0, T153&lt;=0.5, K153&lt;&gt;"Unknown", Q153&lt;&gt;"Unknown"), "CLEAN", _xlfn.CONCAT("WARNING: ", IF(E153&lt;&gt;"","invalid_date",""), IF(T153&lt;0,"negative_discount",""), IF(AND(T153&gt;0.5,T153&lt;=1),"high_discount",""), IF(K153="Unknown","missing_region",""), IF(Q153="Unknown","missing_ship_mode","")))</f>
        <v>WARNING: missing_region</v>
      </c>
      <c r="AE153" t="str">
        <f>IF(COUNTIF($AF$2:$AF$926,AF153)&gt;1,"DUPLICATE","UNIQUE")</f>
        <v>UNIQUE</v>
      </c>
      <c r="AF153" t="str">
        <f>A153&amp;"|"&amp;B153&amp;"|"&amp;H153&amp;"|"&amp;I153&amp;"|"&amp;R153&amp;"|"&amp;S153&amp;"|"&amp;V153</f>
        <v>ORD-2024-10152|2024-06-27|CUST-6011|Neha Gupta|2|3859.11|7718.22</v>
      </c>
      <c r="AG153" t="str">
        <f>IF(COUNTIF($A$2:$A$913,A153)&gt;1,"TRUE","FALSE")</f>
        <v>FALSE</v>
      </c>
    </row>
    <row r="154" spans="1:33">
      <c r="A154" t="s">
        <v>571</v>
      </c>
      <c r="B154" t="s">
        <v>2723</v>
      </c>
      <c r="C154" t="s">
        <v>211</v>
      </c>
      <c r="D154">
        <f>IF(OR(B154="", C154=""), "", (C154 - B154))</f>
        <v>3</v>
      </c>
      <c r="E154" t="str">
        <f>IF(C154&lt;B154, "INVALID: Ship date before order date", "")</f>
        <v/>
      </c>
      <c r="F154" t="str">
        <f>IF(B154="", "", TEXT(B154, "mmmm"))</f>
        <v>June</v>
      </c>
      <c r="G154">
        <f>IF(B154="", "", YEAR(B154))</f>
        <v>2024</v>
      </c>
      <c r="H154" t="s">
        <v>572</v>
      </c>
      <c r="I154" t="s">
        <v>263</v>
      </c>
      <c r="J154" t="s">
        <v>36</v>
      </c>
      <c r="K154" t="s">
        <v>53</v>
      </c>
      <c r="L154" t="s">
        <v>180</v>
      </c>
      <c r="M154" t="s">
        <v>181</v>
      </c>
      <c r="N154" t="s">
        <v>40</v>
      </c>
      <c r="O154" t="s">
        <v>41</v>
      </c>
      <c r="P154" t="s">
        <v>573</v>
      </c>
      <c r="Q154" t="s">
        <v>30</v>
      </c>
      <c r="R154">
        <v>6</v>
      </c>
      <c r="S154" s="15">
        <v>1088.04</v>
      </c>
      <c r="T154" s="4">
        <v>0.1</v>
      </c>
      <c r="U154" s="3" t="str">
        <f>IF(T154&lt;0, "negative_discount", IF(AND(T154&gt;0.5, T154&lt;=1), "high_discount", ""))</f>
        <v/>
      </c>
      <c r="V154" s="11">
        <v>5875.42</v>
      </c>
      <c r="W154" s="12">
        <v>5875.42</v>
      </c>
      <c r="X154" s="11">
        <v>4380.55</v>
      </c>
      <c r="Y154" s="11">
        <v>1494.87</v>
      </c>
      <c r="Z154" s="11">
        <f>ROUND(W154-X154,2)</f>
        <v>1494.87</v>
      </c>
      <c r="AA154" s="4">
        <f>IF(W154=0,0,Z154/W154)</f>
        <v>0.25442776856803428</v>
      </c>
      <c r="AB154" t="s">
        <v>109</v>
      </c>
      <c r="AC154" t="s">
        <v>100</v>
      </c>
      <c r="AD154" t="str">
        <f>IF(AND(E154="", T154&gt;=0, T154&lt;=0.5, K154&lt;&gt;"Unknown", Q154&lt;&gt;"Unknown"), "CLEAN", _xlfn.CONCAT("WARNING: ", IF(E154&lt;&gt;"","invalid_date",""), IF(T154&lt;0,"negative_discount",""), IF(AND(T154&gt;0.5,T154&lt;=1),"high_discount",""), IF(K154="Unknown","missing_region",""), IF(Q154="Unknown","missing_ship_mode","")))</f>
        <v>CLEAN</v>
      </c>
      <c r="AE154" t="str">
        <f>IF(COUNTIF($AF$2:$AF$926,AF154)&gt;1,"DUPLICATE","UNIQUE")</f>
        <v>UNIQUE</v>
      </c>
      <c r="AF154" t="str">
        <f>A154&amp;"|"&amp;B154&amp;"|"&amp;H154&amp;"|"&amp;I154&amp;"|"&amp;R154&amp;"|"&amp;S154&amp;"|"&amp;V154</f>
        <v>ORD-2024-10153|2024-06-14|CUST-6160|Kabir Singh|6|1088.04|5875.42</v>
      </c>
      <c r="AG154" t="str">
        <f>IF(COUNTIF($A$2:$A$913,A154)&gt;1,"TRUE","FALSE")</f>
        <v>FALSE</v>
      </c>
    </row>
    <row r="155" spans="1:33">
      <c r="A155" t="s">
        <v>3033</v>
      </c>
      <c r="B155" t="s">
        <v>881</v>
      </c>
      <c r="C155" t="s">
        <v>574</v>
      </c>
      <c r="D155">
        <f>IF(OR(B155="", C155=""), "", (C155 - B155))</f>
        <v>2</v>
      </c>
      <c r="E155" t="str">
        <f>IF(C155&lt;B155, "INVALID: Ship date before order date", "")</f>
        <v/>
      </c>
      <c r="F155" t="str">
        <f>IF(B155="", "", TEXT(B155, "mmmm"))</f>
        <v>September</v>
      </c>
      <c r="G155">
        <f>IF(B155="", "", YEAR(B155))</f>
        <v>2025</v>
      </c>
      <c r="H155" t="s">
        <v>575</v>
      </c>
      <c r="I155" t="s">
        <v>88</v>
      </c>
      <c r="J155" t="s">
        <v>23</v>
      </c>
      <c r="K155" t="s">
        <v>37</v>
      </c>
      <c r="L155" t="s">
        <v>38</v>
      </c>
      <c r="M155" t="s">
        <v>39</v>
      </c>
      <c r="N155" t="s">
        <v>27</v>
      </c>
      <c r="O155" t="s">
        <v>90</v>
      </c>
      <c r="P155" t="s">
        <v>576</v>
      </c>
      <c r="Q155" t="s">
        <v>58</v>
      </c>
      <c r="R155">
        <v>7</v>
      </c>
      <c r="S155" s="15">
        <v>3280.31</v>
      </c>
      <c r="T155" s="4">
        <v>0</v>
      </c>
      <c r="U155" s="3" t="str">
        <f>IF(T155&lt;0, "negative_discount", IF(AND(T155&gt;0.5, T155&lt;=1), "high_discount", ""))</f>
        <v/>
      </c>
      <c r="V155" s="11">
        <v>22962.17</v>
      </c>
      <c r="W155" s="12">
        <v>22962.17</v>
      </c>
      <c r="X155" s="11">
        <v>15716.5</v>
      </c>
      <c r="Y155" s="11">
        <v>7245.67</v>
      </c>
      <c r="Z155" s="11">
        <f>ROUND(W155-X155,2)</f>
        <v>7245.67</v>
      </c>
      <c r="AA155" s="4">
        <f>IF(W155=0,0,Z155/W155)</f>
        <v>0.31554813852523522</v>
      </c>
      <c r="AB155" t="s">
        <v>99</v>
      </c>
      <c r="AC155" t="s">
        <v>100</v>
      </c>
      <c r="AD155" t="str">
        <f>IF(AND(E155="", T155&gt;=0, T155&lt;=0.5, K155&lt;&gt;"Unknown", Q155&lt;&gt;"Unknown"), "CLEAN", _xlfn.CONCAT("WARNING: ", IF(E155&lt;&gt;"","invalid_date",""), IF(T155&lt;0,"negative_discount",""), IF(AND(T155&gt;0.5,T155&lt;=1),"high_discount",""), IF(K155="Unknown","missing_region",""), IF(Q155="Unknown","missing_ship_mode","")))</f>
        <v>CLEAN</v>
      </c>
      <c r="AE155" t="str">
        <f>IF(COUNTIF($AF$2:$AF$926,AF155)&gt;1,"DUPLICATE","UNIQUE")</f>
        <v>UNIQUE</v>
      </c>
      <c r="AF155" t="str">
        <f>A155&amp;"|"&amp;B155&amp;"|"&amp;H155&amp;"|"&amp;I155&amp;"|"&amp;R155&amp;"|"&amp;S155&amp;"|"&amp;V155</f>
        <v>ORD-2025-10154|2025-09-23|CUST-6971|Aditi Sen|7|3280.31|22962.17</v>
      </c>
      <c r="AG155" t="str">
        <f>IF(COUNTIF($A$2:$A$913,A155)&gt;1,"TRUE","FALSE")</f>
        <v>FALSE</v>
      </c>
    </row>
    <row r="156" spans="1:33">
      <c r="A156" t="s">
        <v>577</v>
      </c>
      <c r="B156" t="s">
        <v>1532</v>
      </c>
      <c r="C156" t="s">
        <v>328</v>
      </c>
      <c r="D156">
        <f>IF(OR(B156="", C156=""), "", (C156 - B156))</f>
        <v>-1</v>
      </c>
      <c r="E156" t="str">
        <f>IF(C156&lt;B156, "INVALID: Ship date before order date", "")</f>
        <v>INVALID: Ship date before order date</v>
      </c>
      <c r="F156" t="str">
        <f>IF(B156="", "", TEXT(B156, "mmmm"))</f>
        <v>February</v>
      </c>
      <c r="G156">
        <f>IF(B156="", "", YEAR(B156))</f>
        <v>2024</v>
      </c>
      <c r="H156" t="s">
        <v>458</v>
      </c>
      <c r="I156" t="s">
        <v>112</v>
      </c>
      <c r="J156" t="s">
        <v>23</v>
      </c>
      <c r="K156" t="s">
        <v>53</v>
      </c>
      <c r="L156" t="s">
        <v>246</v>
      </c>
      <c r="M156" t="s">
        <v>247</v>
      </c>
      <c r="N156" t="s">
        <v>40</v>
      </c>
      <c r="O156" t="s">
        <v>153</v>
      </c>
      <c r="P156" t="s">
        <v>578</v>
      </c>
      <c r="Q156" t="s">
        <v>43</v>
      </c>
      <c r="R156">
        <v>1</v>
      </c>
      <c r="S156" s="15">
        <v>2599.12</v>
      </c>
      <c r="T156" s="4">
        <v>0.15</v>
      </c>
      <c r="U156" s="3" t="str">
        <f>IF(T156&lt;0, "negative_discount", IF(AND(T156&gt;0.5, T156&lt;=1), "high_discount", ""))</f>
        <v/>
      </c>
      <c r="V156" s="11">
        <v>2209.25</v>
      </c>
      <c r="W156" s="12">
        <v>2209.25</v>
      </c>
      <c r="X156" s="11">
        <v>1523.78</v>
      </c>
      <c r="Y156" s="11">
        <v>685.47</v>
      </c>
      <c r="Z156" s="11">
        <f>ROUND(W156-X156,2)</f>
        <v>685.47</v>
      </c>
      <c r="AA156" s="4">
        <f>IF(W156=0,0,Z156/W156)</f>
        <v>0.31027271698540232</v>
      </c>
      <c r="AB156" t="s">
        <v>31</v>
      </c>
      <c r="AC156" t="s">
        <v>32</v>
      </c>
      <c r="AD156" t="str">
        <f>IF(AND(E156="", T156&gt;=0, T156&lt;=0.5, K156&lt;&gt;"Unknown", Q156&lt;&gt;"Unknown"), "CLEAN", _xlfn.CONCAT("WARNING: ", IF(E156&lt;&gt;"","invalid_date",""), IF(T156&lt;0,"negative_discount",""), IF(AND(T156&gt;0.5,T156&lt;=1),"high_discount",""), IF(K156="Unknown","missing_region",""), IF(Q156="Unknown","missing_ship_mode","")))</f>
        <v>WARNING: invalid_date</v>
      </c>
      <c r="AE156" t="str">
        <f>IF(COUNTIF($AF$2:$AF$926,AF156)&gt;1,"DUPLICATE","UNIQUE")</f>
        <v>UNIQUE</v>
      </c>
      <c r="AF156" t="str">
        <f>A156&amp;"|"&amp;B156&amp;"|"&amp;H156&amp;"|"&amp;I156&amp;"|"&amp;R156&amp;"|"&amp;S156&amp;"|"&amp;V156</f>
        <v>ORD-2024-10155|2024-02-12|CUST-7764|Priya Menon|1|2599.12|2209.25</v>
      </c>
      <c r="AG156" t="str">
        <f>IF(COUNTIF($A$2:$A$913,A156)&gt;1,"TRUE","FALSE")</f>
        <v>FALSE</v>
      </c>
    </row>
    <row r="157" spans="1:33">
      <c r="A157" t="s">
        <v>3034</v>
      </c>
      <c r="B157" t="s">
        <v>985</v>
      </c>
      <c r="C157" t="s">
        <v>2696</v>
      </c>
      <c r="D157">
        <f>IF(OR(B157="", C157=""), "", (C157 - B157))</f>
        <v>8</v>
      </c>
      <c r="E157" t="str">
        <f>IF(C157&lt;B157, "INVALID: Ship date before order date", "")</f>
        <v/>
      </c>
      <c r="F157" t="str">
        <f>IF(B157="", "", TEXT(B157, "mmmm"))</f>
        <v>January</v>
      </c>
      <c r="G157">
        <f>IF(B157="", "", YEAR(B157))</f>
        <v>2025</v>
      </c>
      <c r="H157" t="s">
        <v>579</v>
      </c>
      <c r="I157" t="s">
        <v>22</v>
      </c>
      <c r="J157" t="s">
        <v>89</v>
      </c>
      <c r="K157" t="s">
        <v>62</v>
      </c>
      <c r="L157" t="s">
        <v>25</v>
      </c>
      <c r="M157" t="s">
        <v>107</v>
      </c>
      <c r="N157" t="s">
        <v>40</v>
      </c>
      <c r="O157" t="s">
        <v>56</v>
      </c>
      <c r="P157" t="s">
        <v>580</v>
      </c>
      <c r="Q157" t="s">
        <v>43</v>
      </c>
      <c r="R157">
        <v>3</v>
      </c>
      <c r="S157" s="15">
        <v>2859.32</v>
      </c>
      <c r="T157" s="4">
        <v>0.1</v>
      </c>
      <c r="U157" s="3" t="str">
        <f>IF(T157&lt;0, "negative_discount", IF(AND(T157&gt;0.5, T157&lt;=1), "high_discount", ""))</f>
        <v/>
      </c>
      <c r="V157" s="11">
        <v>7720.16</v>
      </c>
      <c r="W157" s="12">
        <v>7720.16</v>
      </c>
      <c r="X157" s="11">
        <v>5881</v>
      </c>
      <c r="Y157" s="11">
        <v>1839.16</v>
      </c>
      <c r="Z157" s="11">
        <f>ROUND(W157-X157,2)</f>
        <v>1839.16</v>
      </c>
      <c r="AA157" s="4">
        <f>IF(W157=0,0,Z157/W157)</f>
        <v>0.2382282232492591</v>
      </c>
      <c r="AB157" t="s">
        <v>99</v>
      </c>
      <c r="AC157" t="s">
        <v>100</v>
      </c>
      <c r="AD157" t="str">
        <f>IF(AND(E157="", T157&gt;=0, T157&lt;=0.5, K157&lt;&gt;"Unknown", Q157&lt;&gt;"Unknown"), "CLEAN", _xlfn.CONCAT("WARNING: ", IF(E157&lt;&gt;"","invalid_date",""), IF(T157&lt;0,"negative_discount",""), IF(AND(T157&gt;0.5,T157&lt;=1),"high_discount",""), IF(K157="Unknown","missing_region",""), IF(Q157="Unknown","missing_ship_mode","")))</f>
        <v>CLEAN</v>
      </c>
      <c r="AE157" t="str">
        <f>IF(COUNTIF($AF$2:$AF$926,AF157)&gt;1,"DUPLICATE","UNIQUE")</f>
        <v>UNIQUE</v>
      </c>
      <c r="AF157" t="str">
        <f>A157&amp;"|"&amp;B157&amp;"|"&amp;H157&amp;"|"&amp;I157&amp;"|"&amp;R157&amp;"|"&amp;S157&amp;"|"&amp;V157</f>
        <v>ORD-2025-10156|2025-01-26|CUST-8327|Karan Malhotra|3|2859.32|7720.16</v>
      </c>
      <c r="AG157" t="str">
        <f>IF(COUNTIF($A$2:$A$913,A157)&gt;1,"TRUE","FALSE")</f>
        <v>FALSE</v>
      </c>
    </row>
    <row r="158" spans="1:33">
      <c r="A158" t="s">
        <v>3035</v>
      </c>
      <c r="B158" t="s">
        <v>2724</v>
      </c>
      <c r="C158" t="s">
        <v>2724</v>
      </c>
      <c r="D158">
        <f>IF(OR(B158="", C158=""), "", (C158 - B158))</f>
        <v>0</v>
      </c>
      <c r="E158" t="str">
        <f>IF(C158&lt;B158, "INVALID: Ship date before order date", "")</f>
        <v/>
      </c>
      <c r="F158" t="str">
        <f>IF(B158="", "", TEXT(B158, "mmmm"))</f>
        <v>March</v>
      </c>
      <c r="G158">
        <f>IF(B158="", "", YEAR(B158))</f>
        <v>2025</v>
      </c>
      <c r="H158" t="s">
        <v>581</v>
      </c>
      <c r="I158" t="s">
        <v>71</v>
      </c>
      <c r="J158" t="s">
        <v>36</v>
      </c>
      <c r="K158" t="s">
        <v>37</v>
      </c>
      <c r="L158" t="s">
        <v>142</v>
      </c>
      <c r="M158" t="s">
        <v>143</v>
      </c>
      <c r="N158" t="s">
        <v>74</v>
      </c>
      <c r="O158" t="s">
        <v>272</v>
      </c>
      <c r="P158" t="s">
        <v>582</v>
      </c>
      <c r="Q158" t="s">
        <v>30</v>
      </c>
      <c r="R158">
        <v>7</v>
      </c>
      <c r="S158" s="15">
        <v>2305.37</v>
      </c>
      <c r="T158" s="4">
        <v>0.25</v>
      </c>
      <c r="U158" s="3" t="str">
        <f>IF(T158&lt;0, "negative_discount", IF(AND(T158&gt;0.5, T158&lt;=1), "high_discount", ""))</f>
        <v/>
      </c>
      <c r="V158" s="11">
        <v>12103.19</v>
      </c>
      <c r="W158" s="12">
        <v>12103.19</v>
      </c>
      <c r="X158" s="11">
        <v>6717.87</v>
      </c>
      <c r="Y158" s="11">
        <v>5385.32</v>
      </c>
      <c r="Z158" s="11">
        <f>ROUND(W158-X158,2)</f>
        <v>5385.32</v>
      </c>
      <c r="AA158" s="4">
        <f>IF(W158=0,0,Z158/W158)</f>
        <v>0.444950463472853</v>
      </c>
      <c r="AB158" t="s">
        <v>31</v>
      </c>
      <c r="AC158" t="s">
        <v>32</v>
      </c>
      <c r="AD158" t="str">
        <f>IF(AND(E158="", T158&gt;=0, T158&lt;=0.5, K158&lt;&gt;"Unknown", Q158&lt;&gt;"Unknown"), "CLEAN", _xlfn.CONCAT("WARNING: ", IF(E158&lt;&gt;"","invalid_date",""), IF(T158&lt;0,"negative_discount",""), IF(AND(T158&gt;0.5,T158&lt;=1),"high_discount",""), IF(K158="Unknown","missing_region",""), IF(Q158="Unknown","missing_ship_mode","")))</f>
        <v>CLEAN</v>
      </c>
      <c r="AE158" t="str">
        <f>IF(COUNTIF($AF$2:$AF$926,AF158)&gt;1,"DUPLICATE","UNIQUE")</f>
        <v>UNIQUE</v>
      </c>
      <c r="AF158" t="str">
        <f>A158&amp;"|"&amp;B158&amp;"|"&amp;H158&amp;"|"&amp;I158&amp;"|"&amp;R158&amp;"|"&amp;S158&amp;"|"&amp;V158</f>
        <v>ORD-2025-10157|2025-03-27|CUST-4058|Vikram Iyer|7|2305.37|12103.19</v>
      </c>
      <c r="AG158" t="str">
        <f>IF(COUNTIF($A$2:$A$913,A158)&gt;1,"TRUE","FALSE")</f>
        <v>FALSE</v>
      </c>
    </row>
    <row r="159" spans="1:33">
      <c r="A159" t="s">
        <v>583</v>
      </c>
      <c r="B159" t="s">
        <v>2501</v>
      </c>
      <c r="C159" t="s">
        <v>441</v>
      </c>
      <c r="D159">
        <f>IF(OR(B159="", C159=""), "", (C159 - B159))</f>
        <v>2</v>
      </c>
      <c r="E159" t="str">
        <f>IF(C159&lt;B159, "INVALID: Ship date before order date", "")</f>
        <v/>
      </c>
      <c r="F159" t="str">
        <f>IF(B159="", "", TEXT(B159, "mmmm"))</f>
        <v>October</v>
      </c>
      <c r="G159">
        <f>IF(B159="", "", YEAR(B159))</f>
        <v>2024</v>
      </c>
      <c r="H159" t="s">
        <v>584</v>
      </c>
      <c r="I159" t="s">
        <v>139</v>
      </c>
      <c r="J159" t="s">
        <v>36</v>
      </c>
      <c r="K159" t="s">
        <v>53</v>
      </c>
      <c r="L159" t="s">
        <v>83</v>
      </c>
      <c r="M159" t="s">
        <v>84</v>
      </c>
      <c r="N159" t="s">
        <v>40</v>
      </c>
      <c r="O159" t="s">
        <v>153</v>
      </c>
      <c r="P159" t="s">
        <v>585</v>
      </c>
      <c r="Q159" t="s">
        <v>58</v>
      </c>
      <c r="R159">
        <v>3</v>
      </c>
      <c r="S159" s="15">
        <v>915.84</v>
      </c>
      <c r="T159" s="4">
        <v>0.15</v>
      </c>
      <c r="U159" s="3" t="str">
        <f>IF(T159&lt;0, "negative_discount", IF(AND(T159&gt;0.5, T159&lt;=1), "high_discount", ""))</f>
        <v/>
      </c>
      <c r="V159" s="11">
        <v>2335.39</v>
      </c>
      <c r="W159" s="12">
        <v>2335.39</v>
      </c>
      <c r="X159" s="11">
        <v>1466.15</v>
      </c>
      <c r="Y159" s="11">
        <v>869.24</v>
      </c>
      <c r="Z159" s="11">
        <f>ROUND(W159-X159,2)</f>
        <v>869.24</v>
      </c>
      <c r="AA159" s="4">
        <f>IF(W159=0,0,Z159/W159)</f>
        <v>0.37220335789739617</v>
      </c>
      <c r="AB159" t="s">
        <v>31</v>
      </c>
      <c r="AC159" t="s">
        <v>32</v>
      </c>
      <c r="AD159" t="str">
        <f>IF(AND(E159="", T159&gt;=0, T159&lt;=0.5, K159&lt;&gt;"Unknown", Q159&lt;&gt;"Unknown"), "CLEAN", _xlfn.CONCAT("WARNING: ", IF(E159&lt;&gt;"","invalid_date",""), IF(T159&lt;0,"negative_discount",""), IF(AND(T159&gt;0.5,T159&lt;=1),"high_discount",""), IF(K159="Unknown","missing_region",""), IF(Q159="Unknown","missing_ship_mode","")))</f>
        <v>CLEAN</v>
      </c>
      <c r="AE159" t="str">
        <f>IF(COUNTIF($AF$2:$AF$926,AF159)&gt;1,"DUPLICATE","UNIQUE")</f>
        <v>UNIQUE</v>
      </c>
      <c r="AF159" t="str">
        <f>A159&amp;"|"&amp;B159&amp;"|"&amp;H159&amp;"|"&amp;I159&amp;"|"&amp;R159&amp;"|"&amp;S159&amp;"|"&amp;V159</f>
        <v>ORD-2024-10158|2024-10-22|CUST-1142|Rohan Mehta|3|915.84|2335.39</v>
      </c>
      <c r="AG159" t="str">
        <f>IF(COUNTIF($A$2:$A$913,A159)&gt;1,"TRUE","FALSE")</f>
        <v>FALSE</v>
      </c>
    </row>
    <row r="160" spans="1:33">
      <c r="A160" t="s">
        <v>586</v>
      </c>
      <c r="B160" t="s">
        <v>587</v>
      </c>
      <c r="C160" t="s">
        <v>2863</v>
      </c>
      <c r="D160">
        <f>IF(OR(B160="", C160=""), "", (C160 - B160))</f>
        <v>2</v>
      </c>
      <c r="E160" t="str">
        <f>IF(C160&lt;B160, "INVALID: Ship date before order date", "")</f>
        <v/>
      </c>
      <c r="F160" t="str">
        <f>IF(B160="", "", TEXT(B160, "mmmm"))</f>
        <v>September</v>
      </c>
      <c r="G160">
        <f>IF(B160="", "", YEAR(B160))</f>
        <v>2024</v>
      </c>
      <c r="H160" t="s">
        <v>588</v>
      </c>
      <c r="I160" t="s">
        <v>78</v>
      </c>
      <c r="J160" t="s">
        <v>93</v>
      </c>
      <c r="K160" t="s">
        <v>53</v>
      </c>
      <c r="L160" t="s">
        <v>54</v>
      </c>
      <c r="M160" t="s">
        <v>55</v>
      </c>
      <c r="N160" t="s">
        <v>40</v>
      </c>
      <c r="O160" t="s">
        <v>153</v>
      </c>
      <c r="P160" t="s">
        <v>589</v>
      </c>
      <c r="Q160" t="s">
        <v>49</v>
      </c>
      <c r="R160">
        <v>1</v>
      </c>
      <c r="S160" s="15">
        <v>4199.54</v>
      </c>
      <c r="T160" s="4">
        <v>0.05</v>
      </c>
      <c r="U160" s="3" t="str">
        <f>IF(T160&lt;0, "negative_discount", IF(AND(T160&gt;0.5, T160&lt;=1), "high_discount", ""))</f>
        <v/>
      </c>
      <c r="V160" s="11">
        <v>3989.56</v>
      </c>
      <c r="W160" s="12">
        <v>3989.56</v>
      </c>
      <c r="X160" s="11">
        <v>2381.38</v>
      </c>
      <c r="Y160" s="11">
        <v>1608.18</v>
      </c>
      <c r="Z160" s="11">
        <f>ROUND(W160-X160,2)</f>
        <v>1608.18</v>
      </c>
      <c r="AA160" s="4">
        <f>IF(W160=0,0,Z160/W160)</f>
        <v>0.40309708338764177</v>
      </c>
      <c r="AB160" t="s">
        <v>31</v>
      </c>
      <c r="AC160" t="s">
        <v>32</v>
      </c>
      <c r="AD160" t="str">
        <f>IF(AND(E160="", T160&gt;=0, T160&lt;=0.5, K160&lt;&gt;"Unknown", Q160&lt;&gt;"Unknown"), "CLEAN", _xlfn.CONCAT("WARNING: ", IF(E160&lt;&gt;"","invalid_date",""), IF(T160&lt;0,"negative_discount",""), IF(AND(T160&gt;0.5,T160&lt;=1),"high_discount",""), IF(K160="Unknown","missing_region",""), IF(Q160="Unknown","missing_ship_mode","")))</f>
        <v>CLEAN</v>
      </c>
      <c r="AE160" t="str">
        <f>IF(COUNTIF($AF$2:$AF$926,AF160)&gt;1,"DUPLICATE","UNIQUE")</f>
        <v>UNIQUE</v>
      </c>
      <c r="AF160" t="str">
        <f>A160&amp;"|"&amp;B160&amp;"|"&amp;H160&amp;"|"&amp;I160&amp;"|"&amp;R160&amp;"|"&amp;S160&amp;"|"&amp;V160</f>
        <v>ORD-2024-10159|2024-09-09|CUST-2324|Neha Gupta|1|4199.54|3989.56</v>
      </c>
      <c r="AG160" t="str">
        <f>IF(COUNTIF($A$2:$A$913,A160)&gt;1,"TRUE","FALSE")</f>
        <v>FALSE</v>
      </c>
    </row>
    <row r="161" spans="1:33">
      <c r="A161" t="s">
        <v>3036</v>
      </c>
      <c r="B161" t="s">
        <v>590</v>
      </c>
      <c r="C161" t="s">
        <v>1168</v>
      </c>
      <c r="D161">
        <f>IF(OR(B161="", C161=""), "", (C161 - B161))</f>
        <v>62</v>
      </c>
      <c r="E161" t="str">
        <f>IF(C161&lt;B161, "INVALID: Ship date before order date", "")</f>
        <v/>
      </c>
      <c r="F161" t="str">
        <f>IF(B161="", "", TEXT(B161, "mmmm"))</f>
        <v>January</v>
      </c>
      <c r="G161">
        <f>IF(B161="", "", YEAR(B161))</f>
        <v>2025</v>
      </c>
      <c r="H161" t="s">
        <v>591</v>
      </c>
      <c r="I161" t="s">
        <v>112</v>
      </c>
      <c r="J161" t="s">
        <v>89</v>
      </c>
      <c r="K161" t="s">
        <v>24</v>
      </c>
      <c r="L161" t="s">
        <v>234</v>
      </c>
      <c r="M161" t="s">
        <v>235</v>
      </c>
      <c r="N161" t="s">
        <v>40</v>
      </c>
      <c r="O161" t="s">
        <v>65</v>
      </c>
      <c r="P161" t="s">
        <v>592</v>
      </c>
      <c r="Q161" t="s">
        <v>43</v>
      </c>
      <c r="R161">
        <v>9</v>
      </c>
      <c r="S161" s="15">
        <v>4430.5</v>
      </c>
      <c r="T161" s="4">
        <v>0.15</v>
      </c>
      <c r="U161" s="3" t="str">
        <f>IF(T161&lt;0, "negative_discount", IF(AND(T161&gt;0.5, T161&lt;=1), "high_discount", ""))</f>
        <v/>
      </c>
      <c r="V161" s="11">
        <v>33893.32</v>
      </c>
      <c r="W161" s="12">
        <v>33893.33</v>
      </c>
      <c r="X161" s="11">
        <v>25750.35</v>
      </c>
      <c r="Y161" s="11">
        <v>8142.97</v>
      </c>
      <c r="Z161" s="11">
        <f>ROUND(W161-X161,2)</f>
        <v>8142.98</v>
      </c>
      <c r="AA161" s="4">
        <f>IF(W161=0,0,Z161/W161)</f>
        <v>0.24025317075660607</v>
      </c>
      <c r="AB161" t="s">
        <v>109</v>
      </c>
      <c r="AC161" t="s">
        <v>67</v>
      </c>
      <c r="AD161" t="str">
        <f>IF(AND(E161="", T161&gt;=0, T161&lt;=0.5, K161&lt;&gt;"Unknown", Q161&lt;&gt;"Unknown"), "CLEAN", _xlfn.CONCAT("WARNING: ", IF(E161&lt;&gt;"","invalid_date",""), IF(T161&lt;0,"negative_discount",""), IF(AND(T161&gt;0.5,T161&lt;=1),"high_discount",""), IF(K161="Unknown","missing_region",""), IF(Q161="Unknown","missing_ship_mode","")))</f>
        <v>CLEAN</v>
      </c>
      <c r="AE161" t="str">
        <f>IF(COUNTIF($AF$2:$AF$926,AF161)&gt;1,"DUPLICATE","UNIQUE")</f>
        <v>UNIQUE</v>
      </c>
      <c r="AF161" t="str">
        <f>A161&amp;"|"&amp;B161&amp;"|"&amp;H161&amp;"|"&amp;I161&amp;"|"&amp;R161&amp;"|"&amp;S161&amp;"|"&amp;V161</f>
        <v>ORD-2025-10160|2025-01-30|CUST-7717|Priya Menon|9|4430.5|33893.32</v>
      </c>
      <c r="AG161" t="str">
        <f>IF(COUNTIF($A$2:$A$913,A161)&gt;1,"TRUE","FALSE")</f>
        <v>FALSE</v>
      </c>
    </row>
    <row r="162" spans="1:33">
      <c r="A162" t="s">
        <v>3037</v>
      </c>
      <c r="B162" t="s">
        <v>2015</v>
      </c>
      <c r="C162" t="s">
        <v>2869</v>
      </c>
      <c r="D162">
        <f>IF(OR(B162="", C162=""), "", (C162 - B162))</f>
        <v>57</v>
      </c>
      <c r="E162" t="str">
        <f>IF(C162&lt;B162, "INVALID: Ship date before order date", "")</f>
        <v/>
      </c>
      <c r="F162" t="str">
        <f>IF(B162="", "", TEXT(B162, "mmmm"))</f>
        <v>August</v>
      </c>
      <c r="G162">
        <f>IF(B162="", "", YEAR(B162))</f>
        <v>2025</v>
      </c>
      <c r="H162" t="s">
        <v>593</v>
      </c>
      <c r="I162" t="s">
        <v>71</v>
      </c>
      <c r="J162" t="s">
        <v>36</v>
      </c>
      <c r="K162" t="s">
        <v>62</v>
      </c>
      <c r="L162" t="s">
        <v>63</v>
      </c>
      <c r="M162" t="s">
        <v>64</v>
      </c>
      <c r="N162" t="s">
        <v>27</v>
      </c>
      <c r="O162" t="s">
        <v>28</v>
      </c>
      <c r="P162" t="s">
        <v>594</v>
      </c>
      <c r="Q162" t="s">
        <v>30</v>
      </c>
      <c r="R162">
        <v>4</v>
      </c>
      <c r="S162" s="15">
        <v>1260.42</v>
      </c>
      <c r="T162" s="4">
        <v>0.05</v>
      </c>
      <c r="U162" s="3" t="str">
        <f>IF(T162&lt;0, "negative_discount", IF(AND(T162&gt;0.5, T162&lt;=1), "high_discount", ""))</f>
        <v/>
      </c>
      <c r="V162" s="11">
        <v>4789.6000000000004</v>
      </c>
      <c r="W162" s="12">
        <v>4789.6000000000004</v>
      </c>
      <c r="X162" s="11">
        <v>4037.64</v>
      </c>
      <c r="Y162" s="11">
        <v>751.96</v>
      </c>
      <c r="Z162" s="11">
        <f>ROUND(W162-X162,2)</f>
        <v>751.96</v>
      </c>
      <c r="AA162" s="4">
        <f>IF(W162=0,0,Z162/W162)</f>
        <v>0.15699849674294303</v>
      </c>
      <c r="AB162" t="s">
        <v>109</v>
      </c>
      <c r="AC162" t="s">
        <v>67</v>
      </c>
      <c r="AD162" t="str">
        <f>IF(AND(E162="", T162&gt;=0, T162&lt;=0.5, K162&lt;&gt;"Unknown", Q162&lt;&gt;"Unknown"), "CLEAN", _xlfn.CONCAT("WARNING: ", IF(E162&lt;&gt;"","invalid_date",""), IF(T162&lt;0,"negative_discount",""), IF(AND(T162&gt;0.5,T162&lt;=1),"high_discount",""), IF(K162="Unknown","missing_region",""), IF(Q162="Unknown","missing_ship_mode","")))</f>
        <v>CLEAN</v>
      </c>
      <c r="AE162" t="str">
        <f>IF(COUNTIF($AF$2:$AF$926,AF162)&gt;1,"DUPLICATE","UNIQUE")</f>
        <v>UNIQUE</v>
      </c>
      <c r="AF162" t="str">
        <f>A162&amp;"|"&amp;B162&amp;"|"&amp;H162&amp;"|"&amp;I162&amp;"|"&amp;R162&amp;"|"&amp;S162&amp;"|"&amp;V162</f>
        <v>ORD-2025-10161|2025-08-10|CUST-4932|Vikram Iyer|4|1260.42|4789.6</v>
      </c>
      <c r="AG162" t="str">
        <f>IF(COUNTIF($A$2:$A$913,A162)&gt;1,"TRUE","FALSE")</f>
        <v>FALSE</v>
      </c>
    </row>
    <row r="163" spans="1:33">
      <c r="A163" t="s">
        <v>3038</v>
      </c>
      <c r="B163" t="s">
        <v>595</v>
      </c>
      <c r="C163" t="s">
        <v>2720</v>
      </c>
      <c r="D163">
        <f>IF(OR(B163="", C163=""), "", (C163 - B163))</f>
        <v>6</v>
      </c>
      <c r="E163" t="str">
        <f>IF(C163&lt;B163, "INVALID: Ship date before order date", "")</f>
        <v/>
      </c>
      <c r="F163" t="str">
        <f>IF(B163="", "", TEXT(B163, "mmmm"))</f>
        <v>July</v>
      </c>
      <c r="G163">
        <f>IF(B163="", "", YEAR(B163))</f>
        <v>2025</v>
      </c>
      <c r="H163" t="s">
        <v>596</v>
      </c>
      <c r="I163" t="s">
        <v>52</v>
      </c>
      <c r="J163" t="s">
        <v>23</v>
      </c>
      <c r="K163" t="s">
        <v>62</v>
      </c>
      <c r="L163" t="s">
        <v>25</v>
      </c>
      <c r="M163" t="s">
        <v>107</v>
      </c>
      <c r="N163" t="s">
        <v>27</v>
      </c>
      <c r="O163" t="s">
        <v>149</v>
      </c>
      <c r="P163" t="s">
        <v>597</v>
      </c>
      <c r="Q163" t="s">
        <v>58</v>
      </c>
      <c r="R163">
        <v>1</v>
      </c>
      <c r="S163" s="15">
        <v>1643.41</v>
      </c>
      <c r="T163" s="4">
        <v>0</v>
      </c>
      <c r="U163" s="3" t="str">
        <f>IF(T163&lt;0, "negative_discount", IF(AND(T163&gt;0.5, T163&lt;=1), "high_discount", ""))</f>
        <v/>
      </c>
      <c r="V163" s="11">
        <v>1643.41</v>
      </c>
      <c r="W163" s="12">
        <v>1643.41</v>
      </c>
      <c r="X163" s="11">
        <v>907.4</v>
      </c>
      <c r="Y163" s="11">
        <v>736.01</v>
      </c>
      <c r="Z163" s="11">
        <f>ROUND(W163-X163,2)</f>
        <v>736.01</v>
      </c>
      <c r="AA163" s="4">
        <f>IF(W163=0,0,Z163/W163)</f>
        <v>0.4478553738872223</v>
      </c>
      <c r="AB163" t="s">
        <v>109</v>
      </c>
      <c r="AC163" t="s">
        <v>67</v>
      </c>
      <c r="AD163" t="str">
        <f>IF(AND(E163="", T163&gt;=0, T163&lt;=0.5, K163&lt;&gt;"Unknown", Q163&lt;&gt;"Unknown"), "CLEAN", _xlfn.CONCAT("WARNING: ", IF(E163&lt;&gt;"","invalid_date",""), IF(T163&lt;0,"negative_discount",""), IF(AND(T163&gt;0.5,T163&lt;=1),"high_discount",""), IF(K163="Unknown","missing_region",""), IF(Q163="Unknown","missing_ship_mode","")))</f>
        <v>CLEAN</v>
      </c>
      <c r="AE163" t="str">
        <f>IF(COUNTIF($AF$2:$AF$926,AF163)&gt;1,"DUPLICATE","UNIQUE")</f>
        <v>UNIQUE</v>
      </c>
      <c r="AF163" t="str">
        <f>A163&amp;"|"&amp;B163&amp;"|"&amp;H163&amp;"|"&amp;I163&amp;"|"&amp;R163&amp;"|"&amp;S163&amp;"|"&amp;V163</f>
        <v>ORD-2025-10162|2025-07-24|CUST-2367|Arjun Bose|1|1643.41|1643.41</v>
      </c>
      <c r="AG163" t="str">
        <f>IF(COUNTIF($A$2:$A$913,A163)&gt;1,"TRUE","FALSE")</f>
        <v>FALSE</v>
      </c>
    </row>
    <row r="164" spans="1:33">
      <c r="A164" t="s">
        <v>598</v>
      </c>
      <c r="B164" t="s">
        <v>599</v>
      </c>
      <c r="C164" t="s">
        <v>2910</v>
      </c>
      <c r="D164">
        <f>IF(OR(B164="", C164=""), "", (C164 - B164))</f>
        <v>5</v>
      </c>
      <c r="E164" t="str">
        <f>IF(C164&lt;B164, "INVALID: Ship date before order date", "")</f>
        <v/>
      </c>
      <c r="F164" t="str">
        <f>IF(B164="", "", TEXT(B164, "mmmm"))</f>
        <v>March</v>
      </c>
      <c r="G164">
        <f>IF(B164="", "", YEAR(B164))</f>
        <v>2024</v>
      </c>
      <c r="H164" t="s">
        <v>600</v>
      </c>
      <c r="I164" t="s">
        <v>78</v>
      </c>
      <c r="J164" t="s">
        <v>36</v>
      </c>
      <c r="K164" t="s">
        <v>62</v>
      </c>
      <c r="L164" t="s">
        <v>185</v>
      </c>
      <c r="M164" t="s">
        <v>186</v>
      </c>
      <c r="N164" t="s">
        <v>40</v>
      </c>
      <c r="O164" t="s">
        <v>56</v>
      </c>
      <c r="P164" t="s">
        <v>601</v>
      </c>
      <c r="Q164" t="s">
        <v>30</v>
      </c>
      <c r="R164">
        <v>8</v>
      </c>
      <c r="S164" s="15">
        <v>4472.84</v>
      </c>
      <c r="T164" s="4">
        <v>0</v>
      </c>
      <c r="U164" s="3" t="str">
        <f>IF(T164&lt;0, "negative_discount", IF(AND(T164&gt;0.5, T164&lt;=1), "high_discount", ""))</f>
        <v/>
      </c>
      <c r="V164" s="11">
        <v>35997.620000000003</v>
      </c>
      <c r="W164" s="12">
        <v>35782.720000000001</v>
      </c>
      <c r="X164" s="11">
        <v>26424.41</v>
      </c>
      <c r="Y164" s="11">
        <v>9358.31</v>
      </c>
      <c r="Z164" s="11">
        <f>ROUND(W164-X164,2)</f>
        <v>9358.31</v>
      </c>
      <c r="AA164" s="4">
        <f>IF(W164=0,0,Z164/W164)</f>
        <v>0.26153154371719084</v>
      </c>
      <c r="AB164" t="s">
        <v>109</v>
      </c>
      <c r="AC164" t="s">
        <v>100</v>
      </c>
      <c r="AD164" t="str">
        <f>IF(AND(E164="", T164&gt;=0, T164&lt;=0.5, K164&lt;&gt;"Unknown", Q164&lt;&gt;"Unknown"), "CLEAN", _xlfn.CONCAT("WARNING: ", IF(E164&lt;&gt;"","invalid_date",""), IF(T164&lt;0,"negative_discount",""), IF(AND(T164&gt;0.5,T164&lt;=1),"high_discount",""), IF(K164="Unknown","missing_region",""), IF(Q164="Unknown","missing_ship_mode","")))</f>
        <v>CLEAN</v>
      </c>
      <c r="AE164" t="str">
        <f>IF(COUNTIF($AF$2:$AF$926,AF164)&gt;1,"DUPLICATE","UNIQUE")</f>
        <v>UNIQUE</v>
      </c>
      <c r="AF164" t="str">
        <f>A164&amp;"|"&amp;B164&amp;"|"&amp;H164&amp;"|"&amp;I164&amp;"|"&amp;R164&amp;"|"&amp;S164&amp;"|"&amp;V164</f>
        <v>ORD-2024-10163|2024-03-09|CUST-4830|Neha Gupta|8|4472.84|35997.62</v>
      </c>
      <c r="AG164" t="str">
        <f>IF(COUNTIF($A$2:$A$913,A164)&gt;1,"TRUE","FALSE")</f>
        <v>FALSE</v>
      </c>
    </row>
    <row r="165" spans="1:33">
      <c r="A165" t="s">
        <v>3039</v>
      </c>
      <c r="B165" t="s">
        <v>2725</v>
      </c>
      <c r="C165" t="s">
        <v>2794</v>
      </c>
      <c r="D165">
        <f>IF(OR(B165="", C165=""), "", (C165 - B165))</f>
        <v>5</v>
      </c>
      <c r="E165" t="str">
        <f>IF(C165&lt;B165, "INVALID: Ship date before order date", "")</f>
        <v/>
      </c>
      <c r="F165" t="str">
        <f>IF(B165="", "", TEXT(B165, "mmmm"))</f>
        <v>September</v>
      </c>
      <c r="G165">
        <f>IF(B165="", "", YEAR(B165))</f>
        <v>2025</v>
      </c>
      <c r="H165" t="s">
        <v>602</v>
      </c>
      <c r="I165" t="s">
        <v>139</v>
      </c>
      <c r="J165" t="s">
        <v>93</v>
      </c>
      <c r="K165" t="s">
        <v>62</v>
      </c>
      <c r="L165" t="s">
        <v>176</v>
      </c>
      <c r="M165" t="s">
        <v>177</v>
      </c>
      <c r="N165" t="s">
        <v>40</v>
      </c>
      <c r="O165" t="s">
        <v>41</v>
      </c>
      <c r="P165" t="s">
        <v>603</v>
      </c>
      <c r="Q165" t="s">
        <v>2970</v>
      </c>
      <c r="R165">
        <v>6</v>
      </c>
      <c r="S165" s="15">
        <v>2903.58</v>
      </c>
      <c r="T165" s="4">
        <v>0.1</v>
      </c>
      <c r="U165" s="3" t="str">
        <f>IF(T165&lt;0, "negative_discount", IF(AND(T165&gt;0.5, T165&lt;=1), "high_discount", ""))</f>
        <v/>
      </c>
      <c r="V165" s="11">
        <v>15679.33</v>
      </c>
      <c r="W165" s="12">
        <v>15679.33</v>
      </c>
      <c r="X165" s="11">
        <v>12477.82</v>
      </c>
      <c r="Y165" s="11">
        <v>3201.51</v>
      </c>
      <c r="Z165" s="11">
        <f>ROUND(W165-X165,2)</f>
        <v>3201.51</v>
      </c>
      <c r="AA165" s="4">
        <f>IF(W165=0,0,Z165/W165)</f>
        <v>0.20418665848604503</v>
      </c>
      <c r="AB165" t="s">
        <v>109</v>
      </c>
      <c r="AC165" t="s">
        <v>100</v>
      </c>
      <c r="AD165" t="str">
        <f>IF(AND(E165="", T165&gt;=0, T165&lt;=0.5, K165&lt;&gt;"Unknown", Q165&lt;&gt;"Unknown"), "CLEAN", _xlfn.CONCAT("WARNING: ", IF(E165&lt;&gt;"","invalid_date",""), IF(T165&lt;0,"negative_discount",""), IF(AND(T165&gt;0.5,T165&lt;=1),"high_discount",""), IF(K165="Unknown","missing_region",""), IF(Q165="Unknown","missing_ship_mode","")))</f>
        <v>WARNING: missing_ship_mode</v>
      </c>
      <c r="AE165" t="str">
        <f>IF(COUNTIF($AF$2:$AF$926,AF165)&gt;1,"DUPLICATE","UNIQUE")</f>
        <v>UNIQUE</v>
      </c>
      <c r="AF165" t="str">
        <f>A165&amp;"|"&amp;B165&amp;"|"&amp;H165&amp;"|"&amp;I165&amp;"|"&amp;R165&amp;"|"&amp;S165&amp;"|"&amp;V165</f>
        <v>ORD-2025-10164|2025-09-21|CUST-2548|Rohan Mehta|6|2903.58|15679.33</v>
      </c>
      <c r="AG165" t="str">
        <f>IF(COUNTIF($A$2:$A$913,A165)&gt;1,"TRUE","FALSE")</f>
        <v>FALSE</v>
      </c>
    </row>
    <row r="166" spans="1:33">
      <c r="A166" t="s">
        <v>3040</v>
      </c>
      <c r="B166" t="s">
        <v>1112</v>
      </c>
      <c r="C166" t="s">
        <v>2911</v>
      </c>
      <c r="D166">
        <f>IF(OR(B166="", C166=""), "", (C166 - B166))</f>
        <v>5</v>
      </c>
      <c r="E166" t="str">
        <f>IF(C166&lt;B166, "INVALID: Ship date before order date", "")</f>
        <v/>
      </c>
      <c r="F166" t="str">
        <f>IF(B166="", "", TEXT(B166, "mmmm"))</f>
        <v>September</v>
      </c>
      <c r="G166">
        <f>IF(B166="", "", YEAR(B166))</f>
        <v>2025</v>
      </c>
      <c r="H166" t="s">
        <v>604</v>
      </c>
      <c r="I166" t="s">
        <v>116</v>
      </c>
      <c r="J166" t="s">
        <v>36</v>
      </c>
      <c r="K166" t="s">
        <v>37</v>
      </c>
      <c r="L166" t="s">
        <v>96</v>
      </c>
      <c r="M166" t="s">
        <v>97</v>
      </c>
      <c r="N166" t="s">
        <v>40</v>
      </c>
      <c r="O166" t="s">
        <v>153</v>
      </c>
      <c r="P166" t="s">
        <v>605</v>
      </c>
      <c r="Q166" t="s">
        <v>30</v>
      </c>
      <c r="R166">
        <v>1</v>
      </c>
      <c r="S166" s="15">
        <v>3154.42</v>
      </c>
      <c r="T166" s="4">
        <v>0.25</v>
      </c>
      <c r="U166" s="3" t="str">
        <f>IF(T166&lt;0, "negative_discount", IF(AND(T166&gt;0.5, T166&lt;=1), "high_discount", ""))</f>
        <v/>
      </c>
      <c r="V166" s="11">
        <v>2365.8200000000002</v>
      </c>
      <c r="W166" s="12">
        <v>2365.8200000000002</v>
      </c>
      <c r="X166" s="11">
        <v>1547.99</v>
      </c>
      <c r="Y166" s="11">
        <v>817.83</v>
      </c>
      <c r="Z166" s="11">
        <f>ROUND(W166-X166,2)</f>
        <v>817.83</v>
      </c>
      <c r="AA166" s="4">
        <f>IF(W166=0,0,Z166/W166)</f>
        <v>0.34568563965136823</v>
      </c>
      <c r="AB166" t="s">
        <v>31</v>
      </c>
      <c r="AC166" t="s">
        <v>32</v>
      </c>
      <c r="AD166" t="str">
        <f>IF(AND(E166="", T166&gt;=0, T166&lt;=0.5, K166&lt;&gt;"Unknown", Q166&lt;&gt;"Unknown"), "CLEAN", _xlfn.CONCAT("WARNING: ", IF(E166&lt;&gt;"","invalid_date",""), IF(T166&lt;0,"negative_discount",""), IF(AND(T166&gt;0.5,T166&lt;=1),"high_discount",""), IF(K166="Unknown","missing_region",""), IF(Q166="Unknown","missing_ship_mode","")))</f>
        <v>CLEAN</v>
      </c>
      <c r="AE166" t="str">
        <f>IF(COUNTIF($AF$2:$AF$926,AF166)&gt;1,"DUPLICATE","UNIQUE")</f>
        <v>UNIQUE</v>
      </c>
      <c r="AF166" t="str">
        <f>A166&amp;"|"&amp;B166&amp;"|"&amp;H166&amp;"|"&amp;I166&amp;"|"&amp;R166&amp;"|"&amp;S166&amp;"|"&amp;V166</f>
        <v>ORD-2025-10165|2025-09-09|CUST-3833|Rahul Verma|1|3154.42|2365.82</v>
      </c>
      <c r="AG166" t="str">
        <f>IF(COUNTIF($A$2:$A$913,A166)&gt;1,"TRUE","FALSE")</f>
        <v>FALSE</v>
      </c>
    </row>
    <row r="167" spans="1:33">
      <c r="A167" t="s">
        <v>606</v>
      </c>
      <c r="B167" t="s">
        <v>1548</v>
      </c>
      <c r="C167" t="s">
        <v>2897</v>
      </c>
      <c r="D167">
        <f>IF(OR(B167="", C167=""), "", (C167 - B167))</f>
        <v>7</v>
      </c>
      <c r="E167" t="str">
        <f>IF(C167&lt;B167, "INVALID: Ship date before order date", "")</f>
        <v/>
      </c>
      <c r="F167" t="str">
        <f>IF(B167="", "", TEXT(B167, "mmmm"))</f>
        <v>November</v>
      </c>
      <c r="G167">
        <f>IF(B167="", "", YEAR(B167))</f>
        <v>2024</v>
      </c>
      <c r="H167" t="s">
        <v>607</v>
      </c>
      <c r="I167" t="s">
        <v>35</v>
      </c>
      <c r="J167" t="s">
        <v>93</v>
      </c>
      <c r="K167" t="s">
        <v>37</v>
      </c>
      <c r="L167" t="s">
        <v>142</v>
      </c>
      <c r="M167" t="s">
        <v>143</v>
      </c>
      <c r="N167" t="s">
        <v>40</v>
      </c>
      <c r="O167" t="s">
        <v>65</v>
      </c>
      <c r="P167" t="s">
        <v>608</v>
      </c>
      <c r="Q167" t="s">
        <v>58</v>
      </c>
      <c r="R167">
        <v>4</v>
      </c>
      <c r="S167" s="15">
        <v>3422.99</v>
      </c>
      <c r="T167" s="4">
        <v>0.25</v>
      </c>
      <c r="U167" s="3" t="str">
        <f>IF(T167&lt;0, "negative_discount", IF(AND(T167&gt;0.5, T167&lt;=1), "high_discount", ""))</f>
        <v/>
      </c>
      <c r="V167" s="11">
        <v>10268.969999999999</v>
      </c>
      <c r="W167" s="12">
        <v>10268.969999999999</v>
      </c>
      <c r="X167" s="11">
        <v>6470.92</v>
      </c>
      <c r="Y167" s="11">
        <v>3798.05</v>
      </c>
      <c r="Z167" s="11">
        <f>ROUND(W167-X167,2)</f>
        <v>3798.05</v>
      </c>
      <c r="AA167" s="4">
        <f>IF(W167=0,0,Z167/W167)</f>
        <v>0.36985695741637187</v>
      </c>
      <c r="AB167" t="s">
        <v>31</v>
      </c>
      <c r="AC167" t="s">
        <v>32</v>
      </c>
      <c r="AD167" t="str">
        <f>IF(AND(E167="", T167&gt;=0, T167&lt;=0.5, K167&lt;&gt;"Unknown", Q167&lt;&gt;"Unknown"), "CLEAN", _xlfn.CONCAT("WARNING: ", IF(E167&lt;&gt;"","invalid_date",""), IF(T167&lt;0,"negative_discount",""), IF(AND(T167&gt;0.5,T167&lt;=1),"high_discount",""), IF(K167="Unknown","missing_region",""), IF(Q167="Unknown","missing_ship_mode","")))</f>
        <v>CLEAN</v>
      </c>
      <c r="AE167" t="str">
        <f>IF(COUNTIF($AF$2:$AF$926,AF167)&gt;1,"DUPLICATE","UNIQUE")</f>
        <v>UNIQUE</v>
      </c>
      <c r="AF167" t="str">
        <f>A167&amp;"|"&amp;B167&amp;"|"&amp;H167&amp;"|"&amp;I167&amp;"|"&amp;R167&amp;"|"&amp;S167&amp;"|"&amp;V167</f>
        <v>ORD-2024-10166|2024-11-22|CUST-4598|Mira Das|4|3422.99|10268.97</v>
      </c>
      <c r="AG167" t="str">
        <f>IF(COUNTIF($A$2:$A$913,A167)&gt;1,"TRUE","FALSE")</f>
        <v>FALSE</v>
      </c>
    </row>
    <row r="168" spans="1:33">
      <c r="A168" t="s">
        <v>3041</v>
      </c>
      <c r="B168" t="s">
        <v>2726</v>
      </c>
      <c r="C168" t="s">
        <v>2742</v>
      </c>
      <c r="D168">
        <f>IF(OR(B168="", C168=""), "", (C168 - B168))</f>
        <v>6</v>
      </c>
      <c r="E168" t="str">
        <f>IF(C168&lt;B168, "INVALID: Ship date before order date", "")</f>
        <v/>
      </c>
      <c r="F168" t="str">
        <f>IF(B168="", "", TEXT(B168, "mmmm"))</f>
        <v>February</v>
      </c>
      <c r="G168">
        <f>IF(B168="", "", YEAR(B168))</f>
        <v>2025</v>
      </c>
      <c r="H168" t="s">
        <v>609</v>
      </c>
      <c r="I168" t="s">
        <v>22</v>
      </c>
      <c r="J168" t="s">
        <v>36</v>
      </c>
      <c r="K168" t="s">
        <v>62</v>
      </c>
      <c r="L168" t="s">
        <v>176</v>
      </c>
      <c r="M168" t="s">
        <v>177</v>
      </c>
      <c r="N168" t="s">
        <v>27</v>
      </c>
      <c r="O168" t="s">
        <v>90</v>
      </c>
      <c r="P168" t="s">
        <v>610</v>
      </c>
      <c r="Q168" t="s">
        <v>49</v>
      </c>
      <c r="R168">
        <v>1</v>
      </c>
      <c r="S168" s="15">
        <v>2557.85</v>
      </c>
      <c r="T168" s="4">
        <v>0.2</v>
      </c>
      <c r="U168" s="3" t="str">
        <f>IF(T168&lt;0, "negative_discount", IF(AND(T168&gt;0.5, T168&lt;=1), "high_discount", ""))</f>
        <v/>
      </c>
      <c r="V168" s="11">
        <v>2046.28</v>
      </c>
      <c r="W168" s="12">
        <v>2046.28</v>
      </c>
      <c r="X168" s="11">
        <v>1449.54</v>
      </c>
      <c r="Y168" s="11">
        <v>596.74</v>
      </c>
      <c r="Z168" s="11">
        <f>ROUND(W168-X168,2)</f>
        <v>596.74</v>
      </c>
      <c r="AA168" s="4">
        <f>IF(W168=0,0,Z168/W168)</f>
        <v>0.29162186992982386</v>
      </c>
      <c r="AB168" t="s">
        <v>31</v>
      </c>
      <c r="AC168" t="s">
        <v>32</v>
      </c>
      <c r="AD168" t="str">
        <f>IF(AND(E168="", T168&gt;=0, T168&lt;=0.5, K168&lt;&gt;"Unknown", Q168&lt;&gt;"Unknown"), "CLEAN", _xlfn.CONCAT("WARNING: ", IF(E168&lt;&gt;"","invalid_date",""), IF(T168&lt;0,"negative_discount",""), IF(AND(T168&gt;0.5,T168&lt;=1),"high_discount",""), IF(K168="Unknown","missing_region",""), IF(Q168="Unknown","missing_ship_mode","")))</f>
        <v>CLEAN</v>
      </c>
      <c r="AE168" t="str">
        <f>IF(COUNTIF($AF$2:$AF$926,AF168)&gt;1,"DUPLICATE","UNIQUE")</f>
        <v>UNIQUE</v>
      </c>
      <c r="AF168" t="str">
        <f>A168&amp;"|"&amp;B168&amp;"|"&amp;H168&amp;"|"&amp;I168&amp;"|"&amp;R168&amp;"|"&amp;S168&amp;"|"&amp;V168</f>
        <v>ORD-2025-10167|2025-02-20|CUST-7215|Karan Malhotra|1|2557.85|2046.28</v>
      </c>
      <c r="AG168" t="str">
        <f>IF(COUNTIF($A$2:$A$913,A168)&gt;1,"TRUE","FALSE")</f>
        <v>FALSE</v>
      </c>
    </row>
    <row r="169" spans="1:33">
      <c r="A169" t="s">
        <v>3042</v>
      </c>
      <c r="B169" t="s">
        <v>611</v>
      </c>
      <c r="C169" t="s">
        <v>611</v>
      </c>
      <c r="D169">
        <f>IF(OR(B169="", C169=""), "", (C169 - B169))</f>
        <v>0</v>
      </c>
      <c r="E169" t="str">
        <f>IF(C169&lt;B169, "INVALID: Ship date before order date", "")</f>
        <v/>
      </c>
      <c r="F169" t="str">
        <f>IF(B169="", "", TEXT(B169, "mmmm"))</f>
        <v>August</v>
      </c>
      <c r="G169">
        <f>IF(B169="", "", YEAR(B169))</f>
        <v>2025</v>
      </c>
      <c r="H169" t="s">
        <v>612</v>
      </c>
      <c r="I169" t="s">
        <v>52</v>
      </c>
      <c r="J169" t="s">
        <v>93</v>
      </c>
      <c r="K169" t="s">
        <v>53</v>
      </c>
      <c r="L169" t="s">
        <v>171</v>
      </c>
      <c r="M169" t="s">
        <v>172</v>
      </c>
      <c r="N169" t="s">
        <v>27</v>
      </c>
      <c r="O169" t="s">
        <v>122</v>
      </c>
      <c r="P169" t="s">
        <v>613</v>
      </c>
      <c r="Q169" t="s">
        <v>49</v>
      </c>
      <c r="R169">
        <v>9</v>
      </c>
      <c r="S169" s="15">
        <v>3030.93</v>
      </c>
      <c r="T169" s="4">
        <v>0.15</v>
      </c>
      <c r="U169" s="3" t="str">
        <f>IF(T169&lt;0, "negative_discount", IF(AND(T169&gt;0.5, T169&lt;=1), "high_discount", ""))</f>
        <v/>
      </c>
      <c r="V169" s="11">
        <v>23186.61</v>
      </c>
      <c r="W169" s="12">
        <v>23186.61</v>
      </c>
      <c r="X169" s="11">
        <v>17906.54</v>
      </c>
      <c r="Y169" s="11">
        <v>5280.07</v>
      </c>
      <c r="Z169" s="11">
        <f>ROUND(W169-X169,2)</f>
        <v>5280.07</v>
      </c>
      <c r="AA169" s="4">
        <f>IF(W169=0,0,Z169/W169)</f>
        <v>0.22772065429142077</v>
      </c>
      <c r="AB169" t="s">
        <v>31</v>
      </c>
      <c r="AC169" t="s">
        <v>100</v>
      </c>
      <c r="AD169" t="str">
        <f>IF(AND(E169="", T169&gt;=0, T169&lt;=0.5, K169&lt;&gt;"Unknown", Q169&lt;&gt;"Unknown"), "CLEAN", _xlfn.CONCAT("WARNING: ", IF(E169&lt;&gt;"","invalid_date",""), IF(T169&lt;0,"negative_discount",""), IF(AND(T169&gt;0.5,T169&lt;=1),"high_discount",""), IF(K169="Unknown","missing_region",""), IF(Q169="Unknown","missing_ship_mode","")))</f>
        <v>CLEAN</v>
      </c>
      <c r="AE169" t="str">
        <f>IF(COUNTIF($AF$2:$AF$926,AF169)&gt;1,"DUPLICATE","UNIQUE")</f>
        <v>UNIQUE</v>
      </c>
      <c r="AF169" t="str">
        <f>A169&amp;"|"&amp;B169&amp;"|"&amp;H169&amp;"|"&amp;I169&amp;"|"&amp;R169&amp;"|"&amp;S169&amp;"|"&amp;V169</f>
        <v>ORD-2025-10168|2025-08-18|CUST-7770|Arjun Bose|9|3030.93|23186.61</v>
      </c>
      <c r="AG169" t="str">
        <f>IF(COUNTIF($A$2:$A$913,A169)&gt;1,"TRUE","FALSE")</f>
        <v>FALSE</v>
      </c>
    </row>
    <row r="170" spans="1:33">
      <c r="A170" t="s">
        <v>3043</v>
      </c>
      <c r="B170" t="s">
        <v>2727</v>
      </c>
      <c r="C170" t="s">
        <v>2701</v>
      </c>
      <c r="D170">
        <f>IF(OR(B170="", C170=""), "", (C170 - B170))</f>
        <v>3</v>
      </c>
      <c r="E170" t="str">
        <f>IF(C170&lt;B170, "INVALID: Ship date before order date", "")</f>
        <v/>
      </c>
      <c r="F170" t="str">
        <f>IF(B170="", "", TEXT(B170, "mmmm"))</f>
        <v>January</v>
      </c>
      <c r="G170">
        <f>IF(B170="", "", YEAR(B170))</f>
        <v>2025</v>
      </c>
      <c r="H170" t="s">
        <v>614</v>
      </c>
      <c r="I170" t="s">
        <v>263</v>
      </c>
      <c r="J170" t="s">
        <v>23</v>
      </c>
      <c r="K170" t="s">
        <v>62</v>
      </c>
      <c r="L170" t="s">
        <v>63</v>
      </c>
      <c r="M170" t="s">
        <v>64</v>
      </c>
      <c r="N170" t="s">
        <v>74</v>
      </c>
      <c r="O170" t="s">
        <v>75</v>
      </c>
      <c r="P170" t="s">
        <v>615</v>
      </c>
      <c r="Q170" t="s">
        <v>43</v>
      </c>
      <c r="R170">
        <v>5</v>
      </c>
      <c r="S170" s="15">
        <v>639.27</v>
      </c>
      <c r="T170" s="4">
        <v>0</v>
      </c>
      <c r="U170" s="3" t="str">
        <f>IF(T170&lt;0, "negative_discount", IF(AND(T170&gt;0.5, T170&lt;=1), "high_discount", ""))</f>
        <v/>
      </c>
      <c r="V170" s="11">
        <v>2557.08</v>
      </c>
      <c r="W170" s="12">
        <v>3196.35</v>
      </c>
      <c r="X170" s="11">
        <v>2025.69</v>
      </c>
      <c r="Y170" s="11">
        <v>531.39</v>
      </c>
      <c r="Z170" s="11">
        <f>ROUND(W170-X170,2)</f>
        <v>1170.6600000000001</v>
      </c>
      <c r="AA170" s="4">
        <f>IF(W170=0,0,Z170/W170)</f>
        <v>0.36624900276878319</v>
      </c>
      <c r="AB170" t="s">
        <v>31</v>
      </c>
      <c r="AC170" t="s">
        <v>67</v>
      </c>
      <c r="AD170" t="str">
        <f>IF(AND(E170="", T170&gt;=0, T170&lt;=0.5, K170&lt;&gt;"Unknown", Q170&lt;&gt;"Unknown"), "CLEAN", _xlfn.CONCAT("WARNING: ", IF(E170&lt;&gt;"","invalid_date",""), IF(T170&lt;0,"negative_discount",""), IF(AND(T170&gt;0.5,T170&lt;=1),"high_discount",""), IF(K170="Unknown","missing_region",""), IF(Q170="Unknown","missing_ship_mode","")))</f>
        <v>CLEAN</v>
      </c>
      <c r="AE170" t="str">
        <f>IF(COUNTIF($AF$2:$AF$926,AF170)&gt;1,"DUPLICATE","UNIQUE")</f>
        <v>UNIQUE</v>
      </c>
      <c r="AF170" t="str">
        <f>A170&amp;"|"&amp;B170&amp;"|"&amp;H170&amp;"|"&amp;I170&amp;"|"&amp;R170&amp;"|"&amp;S170&amp;"|"&amp;V170</f>
        <v>ORD-2025-10169|2025-01-20|CUST-9756|Kabir Singh|5|639.27|2557.08</v>
      </c>
      <c r="AG170" t="str">
        <f>IF(COUNTIF($A$2:$A$913,A170)&gt;1,"TRUE","FALSE")</f>
        <v>FALSE</v>
      </c>
    </row>
    <row r="171" spans="1:33">
      <c r="A171" t="s">
        <v>3044</v>
      </c>
      <c r="B171" t="s">
        <v>616</v>
      </c>
      <c r="C171" t="s">
        <v>616</v>
      </c>
      <c r="D171">
        <f>IF(OR(B171="", C171=""), "", (C171 - B171))</f>
        <v>0</v>
      </c>
      <c r="E171" t="str">
        <f>IF(C171&lt;B171, "INVALID: Ship date before order date", "")</f>
        <v/>
      </c>
      <c r="F171" t="str">
        <f>IF(B171="", "", TEXT(B171, "mmmm"))</f>
        <v>September</v>
      </c>
      <c r="G171">
        <f>IF(B171="", "", YEAR(B171))</f>
        <v>2025</v>
      </c>
      <c r="H171" t="s">
        <v>617</v>
      </c>
      <c r="I171" t="s">
        <v>158</v>
      </c>
      <c r="J171" t="s">
        <v>23</v>
      </c>
      <c r="K171" t="s">
        <v>37</v>
      </c>
      <c r="L171" t="s">
        <v>163</v>
      </c>
      <c r="M171" t="s">
        <v>164</v>
      </c>
      <c r="N171" t="s">
        <v>27</v>
      </c>
      <c r="O171" t="s">
        <v>47</v>
      </c>
      <c r="P171" t="s">
        <v>618</v>
      </c>
      <c r="Q171" t="s">
        <v>58</v>
      </c>
      <c r="R171">
        <v>8</v>
      </c>
      <c r="S171" s="15">
        <v>733.9</v>
      </c>
      <c r="T171" s="4">
        <v>0.05</v>
      </c>
      <c r="U171" s="3" t="str">
        <f>IF(T171&lt;0, "negative_discount", IF(AND(T171&gt;0.5, T171&lt;=1), "high_discount", ""))</f>
        <v/>
      </c>
      <c r="V171" s="11">
        <v>5577.64</v>
      </c>
      <c r="W171" s="12">
        <v>5577.64</v>
      </c>
      <c r="X171" s="11">
        <v>3541.29</v>
      </c>
      <c r="Y171" s="11">
        <v>2036.35</v>
      </c>
      <c r="Z171" s="11">
        <f>ROUND(W171-X171,2)</f>
        <v>2036.35</v>
      </c>
      <c r="AA171" s="4">
        <f>IF(W171=0,0,Z171/W171)</f>
        <v>0.36509168752375554</v>
      </c>
      <c r="AB171" t="s">
        <v>109</v>
      </c>
      <c r="AC171" t="s">
        <v>100</v>
      </c>
      <c r="AD171" t="str">
        <f>IF(AND(E171="", T171&gt;=0, T171&lt;=0.5, K171&lt;&gt;"Unknown", Q171&lt;&gt;"Unknown"), "CLEAN", _xlfn.CONCAT("WARNING: ", IF(E171&lt;&gt;"","invalid_date",""), IF(T171&lt;0,"negative_discount",""), IF(AND(T171&gt;0.5,T171&lt;=1),"high_discount",""), IF(K171="Unknown","missing_region",""), IF(Q171="Unknown","missing_ship_mode","")))</f>
        <v>CLEAN</v>
      </c>
      <c r="AE171" t="str">
        <f>IF(COUNTIF($AF$2:$AF$926,AF171)&gt;1,"DUPLICATE","UNIQUE")</f>
        <v>UNIQUE</v>
      </c>
      <c r="AF171" t="str">
        <f>A171&amp;"|"&amp;B171&amp;"|"&amp;H171&amp;"|"&amp;I171&amp;"|"&amp;R171&amp;"|"&amp;S171&amp;"|"&amp;V171</f>
        <v>ORD-2025-10170|2025-09-13|CUST-2261|Diya Patel|8|733.9|5577.64</v>
      </c>
      <c r="AG171" t="str">
        <f>IF(COUNTIF($A$2:$A$913,A171)&gt;1,"TRUE","FALSE")</f>
        <v>FALSE</v>
      </c>
    </row>
    <row r="172" spans="1:33">
      <c r="A172" t="s">
        <v>3045</v>
      </c>
      <c r="B172" t="s">
        <v>1695</v>
      </c>
      <c r="C172" t="s">
        <v>2912</v>
      </c>
      <c r="D172">
        <f>IF(OR(B172="", C172=""), "", (C172 - B172))</f>
        <v>68</v>
      </c>
      <c r="E172" t="str">
        <f>IF(C172&lt;B172, "INVALID: Ship date before order date", "")</f>
        <v/>
      </c>
      <c r="F172" t="str">
        <f>IF(B172="", "", TEXT(B172, "mmmm"))</f>
        <v>July</v>
      </c>
      <c r="G172">
        <f>IF(B172="", "", YEAR(B172))</f>
        <v>2025</v>
      </c>
      <c r="H172" t="s">
        <v>619</v>
      </c>
      <c r="I172" t="s">
        <v>139</v>
      </c>
      <c r="J172" t="s">
        <v>89</v>
      </c>
      <c r="K172" t="s">
        <v>37</v>
      </c>
      <c r="L172" t="s">
        <v>142</v>
      </c>
      <c r="M172" t="s">
        <v>143</v>
      </c>
      <c r="N172" t="s">
        <v>74</v>
      </c>
      <c r="O172" t="s">
        <v>79</v>
      </c>
      <c r="P172" t="s">
        <v>620</v>
      </c>
      <c r="Q172" t="s">
        <v>58</v>
      </c>
      <c r="R172">
        <v>3</v>
      </c>
      <c r="S172" s="15">
        <v>1711.32</v>
      </c>
      <c r="T172" s="4">
        <v>0</v>
      </c>
      <c r="U172" s="3" t="str">
        <f>IF(T172&lt;0, "negative_discount", IF(AND(T172&gt;0.5, T172&lt;=1), "high_discount", ""))</f>
        <v/>
      </c>
      <c r="V172" s="11">
        <v>5133.96</v>
      </c>
      <c r="W172" s="12">
        <v>5133.96</v>
      </c>
      <c r="X172" s="11">
        <v>3930</v>
      </c>
      <c r="Y172" s="11">
        <v>1203.96</v>
      </c>
      <c r="Z172" s="11">
        <f>ROUND(W172-X172,2)</f>
        <v>1203.96</v>
      </c>
      <c r="AA172" s="4">
        <f>IF(W172=0,0,Z172/W172)</f>
        <v>0.23450903396208775</v>
      </c>
      <c r="AB172" t="s">
        <v>31</v>
      </c>
      <c r="AC172" t="s">
        <v>32</v>
      </c>
      <c r="AD172" t="str">
        <f>IF(AND(E172="", T172&gt;=0, T172&lt;=0.5, K172&lt;&gt;"Unknown", Q172&lt;&gt;"Unknown"), "CLEAN", _xlfn.CONCAT("WARNING: ", IF(E172&lt;&gt;"","invalid_date",""), IF(T172&lt;0,"negative_discount",""), IF(AND(T172&gt;0.5,T172&lt;=1),"high_discount",""), IF(K172="Unknown","missing_region",""), IF(Q172="Unknown","missing_ship_mode","")))</f>
        <v>CLEAN</v>
      </c>
      <c r="AE172" t="str">
        <f>IF(COUNTIF($AF$2:$AF$926,AF172)&gt;1,"DUPLICATE","UNIQUE")</f>
        <v>UNIQUE</v>
      </c>
      <c r="AF172" t="str">
        <f>A172&amp;"|"&amp;B172&amp;"|"&amp;H172&amp;"|"&amp;I172&amp;"|"&amp;R172&amp;"|"&amp;S172&amp;"|"&amp;V172</f>
        <v>ORD-2025-10171|2025-07-09|CUST-3734|Rohan Mehta|3|1711.32|5133.96</v>
      </c>
      <c r="AG172" t="str">
        <f>IF(COUNTIF($A$2:$A$913,A172)&gt;1,"TRUE","FALSE")</f>
        <v>TRUE</v>
      </c>
    </row>
    <row r="173" spans="1:33">
      <c r="A173" t="s">
        <v>3046</v>
      </c>
      <c r="B173" t="s">
        <v>81</v>
      </c>
      <c r="C173" t="s">
        <v>2792</v>
      </c>
      <c r="D173">
        <f>IF(OR(B173="", C173=""), "", (C173 - B173))</f>
        <v>2</v>
      </c>
      <c r="E173" t="str">
        <f>IF(C173&lt;B173, "INVALID: Ship date before order date", "")</f>
        <v/>
      </c>
      <c r="F173" t="str">
        <f>IF(B173="", "", TEXT(B173, "mmmm"))</f>
        <v>February</v>
      </c>
      <c r="G173">
        <f>IF(B173="", "", YEAR(B173))</f>
        <v>2025</v>
      </c>
      <c r="H173" t="s">
        <v>621</v>
      </c>
      <c r="I173" t="s">
        <v>22</v>
      </c>
      <c r="J173" t="s">
        <v>89</v>
      </c>
      <c r="K173" t="s">
        <v>37</v>
      </c>
      <c r="L173" t="s">
        <v>142</v>
      </c>
      <c r="M173" t="s">
        <v>143</v>
      </c>
      <c r="N173" t="s">
        <v>27</v>
      </c>
      <c r="O173" t="s">
        <v>90</v>
      </c>
      <c r="P173" t="s">
        <v>622</v>
      </c>
      <c r="Q173" t="s">
        <v>43</v>
      </c>
      <c r="R173">
        <v>5</v>
      </c>
      <c r="S173" s="15">
        <v>4246.2700000000004</v>
      </c>
      <c r="T173" s="4">
        <v>0.25</v>
      </c>
      <c r="U173" s="3" t="str">
        <f>IF(T173&lt;0, "negative_discount", IF(AND(T173&gt;0.5, T173&lt;=1), "high_discount", ""))</f>
        <v/>
      </c>
      <c r="V173" s="11">
        <v>15923.51</v>
      </c>
      <c r="W173" s="12">
        <v>15923.51</v>
      </c>
      <c r="X173" s="11">
        <v>11291.8</v>
      </c>
      <c r="Y173" s="11">
        <v>4631.71</v>
      </c>
      <c r="Z173" s="11">
        <f>ROUND(W173-X173,2)</f>
        <v>4631.71</v>
      </c>
      <c r="AA173" s="4">
        <f>IF(W173=0,0,Z173/W173)</f>
        <v>0.29087242699630922</v>
      </c>
      <c r="AB173" t="s">
        <v>31</v>
      </c>
      <c r="AC173" t="s">
        <v>32</v>
      </c>
      <c r="AD173" t="str">
        <f>IF(AND(E173="", T173&gt;=0, T173&lt;=0.5, K173&lt;&gt;"Unknown", Q173&lt;&gt;"Unknown"), "CLEAN", _xlfn.CONCAT("WARNING: ", IF(E173&lt;&gt;"","invalid_date",""), IF(T173&lt;0,"negative_discount",""), IF(AND(T173&gt;0.5,T173&lt;=1),"high_discount",""), IF(K173="Unknown","missing_region",""), IF(Q173="Unknown","missing_ship_mode","")))</f>
        <v>CLEAN</v>
      </c>
      <c r="AE173" t="str">
        <f>IF(COUNTIF($AF$2:$AF$926,AF173)&gt;1,"DUPLICATE","UNIQUE")</f>
        <v>UNIQUE</v>
      </c>
      <c r="AF173" t="str">
        <f>A173&amp;"|"&amp;B173&amp;"|"&amp;H173&amp;"|"&amp;I173&amp;"|"&amp;R173&amp;"|"&amp;S173&amp;"|"&amp;V173</f>
        <v>ORD-2025-10172|2025-02-23|CUST-3436|Karan Malhotra|5|4246.27|15923.51</v>
      </c>
      <c r="AG173" t="str">
        <f>IF(COUNTIF($A$2:$A$913,A173)&gt;1,"TRUE","FALSE")</f>
        <v>FALSE</v>
      </c>
    </row>
    <row r="174" spans="1:33">
      <c r="A174" t="s">
        <v>3047</v>
      </c>
      <c r="B174" t="s">
        <v>1455</v>
      </c>
      <c r="C174" t="s">
        <v>2415</v>
      </c>
      <c r="D174">
        <f>IF(OR(B174="", C174=""), "", (C174 - B174))</f>
        <v>242</v>
      </c>
      <c r="E174" t="str">
        <f>IF(C174&lt;B174, "INVALID: Ship date before order date", "")</f>
        <v/>
      </c>
      <c r="F174" t="str">
        <f>IF(B174="", "", TEXT(B174, "mmmm"))</f>
        <v>February</v>
      </c>
      <c r="G174">
        <f>IF(B174="", "", YEAR(B174))</f>
        <v>2025</v>
      </c>
      <c r="H174" t="s">
        <v>623</v>
      </c>
      <c r="I174" t="s">
        <v>22</v>
      </c>
      <c r="J174" t="s">
        <v>89</v>
      </c>
      <c r="K174" t="s">
        <v>24</v>
      </c>
      <c r="L174" t="s">
        <v>353</v>
      </c>
      <c r="M174" t="s">
        <v>354</v>
      </c>
      <c r="N174" t="s">
        <v>40</v>
      </c>
      <c r="O174" t="s">
        <v>56</v>
      </c>
      <c r="P174" t="s">
        <v>624</v>
      </c>
      <c r="Q174" t="s">
        <v>43</v>
      </c>
      <c r="R174">
        <v>9</v>
      </c>
      <c r="S174" s="15">
        <v>2962.62</v>
      </c>
      <c r="T174" s="4">
        <v>0.1</v>
      </c>
      <c r="U174" s="3" t="str">
        <f>IF(T174&lt;0, "negative_discount", IF(AND(T174&gt;0.5, T174&lt;=1), "high_discount", ""))</f>
        <v/>
      </c>
      <c r="V174" s="11">
        <v>23997.22</v>
      </c>
      <c r="W174" s="12">
        <v>23997.22</v>
      </c>
      <c r="X174" s="11">
        <v>16134.63</v>
      </c>
      <c r="Y174" s="11">
        <v>7862.59</v>
      </c>
      <c r="Z174" s="11">
        <f>ROUND(W174-X174,2)</f>
        <v>7862.59</v>
      </c>
      <c r="AA174" s="4">
        <f>IF(W174=0,0,Z174/W174)</f>
        <v>0.32764586897982351</v>
      </c>
      <c r="AB174" t="s">
        <v>99</v>
      </c>
      <c r="AC174" t="s">
        <v>100</v>
      </c>
      <c r="AD174" t="str">
        <f>IF(AND(E174="", T174&gt;=0, T174&lt;=0.5, K174&lt;&gt;"Unknown", Q174&lt;&gt;"Unknown"), "CLEAN", _xlfn.CONCAT("WARNING: ", IF(E174&lt;&gt;"","invalid_date",""), IF(T174&lt;0,"negative_discount",""), IF(AND(T174&gt;0.5,T174&lt;=1),"high_discount",""), IF(K174="Unknown","missing_region",""), IF(Q174="Unknown","missing_ship_mode","")))</f>
        <v>CLEAN</v>
      </c>
      <c r="AE174" t="str">
        <f>IF(COUNTIF($AF$2:$AF$926,AF174)&gt;1,"DUPLICATE","UNIQUE")</f>
        <v>UNIQUE</v>
      </c>
      <c r="AF174" t="str">
        <f>A174&amp;"|"&amp;B174&amp;"|"&amp;H174&amp;"|"&amp;I174&amp;"|"&amp;R174&amp;"|"&amp;S174&amp;"|"&amp;V174</f>
        <v>ORD-2025-10173|2025-02-08|CUST-4845|Karan Malhotra|9|2962.62|23997.22</v>
      </c>
      <c r="AG174" t="str">
        <f>IF(COUNTIF($A$2:$A$913,A174)&gt;1,"TRUE","FALSE")</f>
        <v>FALSE</v>
      </c>
    </row>
    <row r="175" spans="1:33">
      <c r="A175" t="s">
        <v>625</v>
      </c>
      <c r="B175" t="s">
        <v>2728</v>
      </c>
      <c r="C175" t="s">
        <v>1745</v>
      </c>
      <c r="D175">
        <f>IF(OR(B175="", C175=""), "", (C175 - B175))</f>
        <v>93</v>
      </c>
      <c r="E175" t="str">
        <f>IF(C175&lt;B175, "INVALID: Ship date before order date", "")</f>
        <v/>
      </c>
      <c r="F175" t="str">
        <f>IF(B175="", "", TEXT(B175, "mmmm"))</f>
        <v>February</v>
      </c>
      <c r="G175">
        <f>IF(B175="", "", YEAR(B175))</f>
        <v>2024</v>
      </c>
      <c r="H175" t="s">
        <v>626</v>
      </c>
      <c r="I175" t="s">
        <v>112</v>
      </c>
      <c r="J175" t="s">
        <v>93</v>
      </c>
      <c r="K175" t="s">
        <v>24</v>
      </c>
      <c r="L175" t="s">
        <v>120</v>
      </c>
      <c r="M175" t="s">
        <v>121</v>
      </c>
      <c r="N175" t="s">
        <v>74</v>
      </c>
      <c r="O175" t="s">
        <v>79</v>
      </c>
      <c r="P175" t="s">
        <v>627</v>
      </c>
      <c r="Q175" t="s">
        <v>30</v>
      </c>
      <c r="R175">
        <v>1</v>
      </c>
      <c r="S175" s="15">
        <v>2312.25</v>
      </c>
      <c r="T175" s="4">
        <v>0.25</v>
      </c>
      <c r="U175" s="3" t="str">
        <f>IF(T175&lt;0, "negative_discount", IF(AND(T175&gt;0.5, T175&lt;=1), "high_discount", ""))</f>
        <v/>
      </c>
      <c r="V175" s="11">
        <v>1734.19</v>
      </c>
      <c r="W175" s="12">
        <v>1734.19</v>
      </c>
      <c r="X175" s="11">
        <v>1386.07</v>
      </c>
      <c r="Y175" s="11">
        <v>348.12</v>
      </c>
      <c r="Z175" s="11">
        <f>ROUND(W175-X175,2)</f>
        <v>348.12</v>
      </c>
      <c r="AA175" s="4">
        <f>IF(W175=0,0,Z175/W175)</f>
        <v>0.20073925002450713</v>
      </c>
      <c r="AB175" t="s">
        <v>31</v>
      </c>
      <c r="AC175" t="s">
        <v>32</v>
      </c>
      <c r="AD175" t="str">
        <f>IF(AND(E175="", T175&gt;=0, T175&lt;=0.5, K175&lt;&gt;"Unknown", Q175&lt;&gt;"Unknown"), "CLEAN", _xlfn.CONCAT("WARNING: ", IF(E175&lt;&gt;"","invalid_date",""), IF(T175&lt;0,"negative_discount",""), IF(AND(T175&gt;0.5,T175&lt;=1),"high_discount",""), IF(K175="Unknown","missing_region",""), IF(Q175="Unknown","missing_ship_mode","")))</f>
        <v>CLEAN</v>
      </c>
      <c r="AE175" t="str">
        <f>IF(COUNTIF($AF$2:$AF$926,AF175)&gt;1,"DUPLICATE","UNIQUE")</f>
        <v>UNIQUE</v>
      </c>
      <c r="AF175" t="str">
        <f>A175&amp;"|"&amp;B175&amp;"|"&amp;H175&amp;"|"&amp;I175&amp;"|"&amp;R175&amp;"|"&amp;S175&amp;"|"&amp;V175</f>
        <v>ORD-2024-10174|2024-02-05|CUST-6153|Priya Menon|1|2312.25|1734.19</v>
      </c>
      <c r="AG175" t="str">
        <f>IF(COUNTIF($A$2:$A$913,A175)&gt;1,"TRUE","FALSE")</f>
        <v>FALSE</v>
      </c>
    </row>
    <row r="176" spans="1:33">
      <c r="A176" t="s">
        <v>3048</v>
      </c>
      <c r="B176" t="s">
        <v>2729</v>
      </c>
      <c r="C176" t="s">
        <v>1679</v>
      </c>
      <c r="D176">
        <f>IF(OR(B176="", C176=""), "", (C176 - B176))</f>
        <v>-171</v>
      </c>
      <c r="E176" t="str">
        <f>IF(C176&lt;B176, "INVALID: Ship date before order date", "")</f>
        <v>INVALID: Ship date before order date</v>
      </c>
      <c r="F176" t="str">
        <f>IF(B176="", "", TEXT(B176, "mmmm"))</f>
        <v>September</v>
      </c>
      <c r="G176">
        <f>IF(B176="", "", YEAR(B176))</f>
        <v>2025</v>
      </c>
      <c r="H176" t="s">
        <v>628</v>
      </c>
      <c r="I176" t="s">
        <v>22</v>
      </c>
      <c r="J176" t="s">
        <v>36</v>
      </c>
      <c r="K176" t="s">
        <v>53</v>
      </c>
      <c r="L176" t="s">
        <v>171</v>
      </c>
      <c r="M176" t="s">
        <v>172</v>
      </c>
      <c r="N176" t="s">
        <v>40</v>
      </c>
      <c r="O176" t="s">
        <v>153</v>
      </c>
      <c r="P176" t="s">
        <v>629</v>
      </c>
      <c r="Q176" t="s">
        <v>49</v>
      </c>
      <c r="R176">
        <v>6</v>
      </c>
      <c r="S176" s="15">
        <v>1620.53</v>
      </c>
      <c r="T176" s="4">
        <v>0.15</v>
      </c>
      <c r="U176" s="3" t="str">
        <f>IF(T176&lt;0, "negative_discount", IF(AND(T176&gt;0.5, T176&lt;=1), "high_discount", ""))</f>
        <v/>
      </c>
      <c r="V176" s="11">
        <v>8264.7000000000007</v>
      </c>
      <c r="W176" s="12">
        <v>8264.7000000000007</v>
      </c>
      <c r="X176" s="11">
        <v>4768.75</v>
      </c>
      <c r="Y176" s="11">
        <v>3495.95</v>
      </c>
      <c r="Z176" s="11">
        <f>ROUND(W176-X176,2)</f>
        <v>3495.95</v>
      </c>
      <c r="AA176" s="4">
        <f>IF(W176=0,0,Z176/W176)</f>
        <v>0.42299780996285402</v>
      </c>
      <c r="AB176" t="s">
        <v>109</v>
      </c>
      <c r="AC176" t="s">
        <v>100</v>
      </c>
      <c r="AD176" t="str">
        <f>IF(AND(E176="", T176&gt;=0, T176&lt;=0.5, K176&lt;&gt;"Unknown", Q176&lt;&gt;"Unknown"), "CLEAN", _xlfn.CONCAT("WARNING: ", IF(E176&lt;&gt;"","invalid_date",""), IF(T176&lt;0,"negative_discount",""), IF(AND(T176&gt;0.5,T176&lt;=1),"high_discount",""), IF(K176="Unknown","missing_region",""), IF(Q176="Unknown","missing_ship_mode","")))</f>
        <v>WARNING: invalid_date</v>
      </c>
      <c r="AE176" t="str">
        <f>IF(COUNTIF($AF$2:$AF$926,AF176)&gt;1,"DUPLICATE","UNIQUE")</f>
        <v>UNIQUE</v>
      </c>
      <c r="AF176" t="str">
        <f>A176&amp;"|"&amp;B176&amp;"|"&amp;H176&amp;"|"&amp;I176&amp;"|"&amp;R176&amp;"|"&amp;S176&amp;"|"&amp;V176</f>
        <v>ORD-2025-10175|2025-09-28|CUST-5475|Karan Malhotra|6|1620.53|8264.7</v>
      </c>
      <c r="AG176" t="str">
        <f>IF(COUNTIF($A$2:$A$913,A176)&gt;1,"TRUE","FALSE")</f>
        <v>FALSE</v>
      </c>
    </row>
    <row r="177" spans="1:33">
      <c r="A177" t="s">
        <v>630</v>
      </c>
      <c r="B177" t="s">
        <v>503</v>
      </c>
      <c r="C177" t="s">
        <v>631</v>
      </c>
      <c r="D177">
        <f>IF(OR(B177="", C177=""), "", (C177 - B177))</f>
        <v>7</v>
      </c>
      <c r="E177" t="str">
        <f>IF(C177&lt;B177, "INVALID: Ship date before order date", "")</f>
        <v/>
      </c>
      <c r="F177" t="str">
        <f>IF(B177="", "", TEXT(B177, "mmmm"))</f>
        <v>January</v>
      </c>
      <c r="G177">
        <f>IF(B177="", "", YEAR(B177))</f>
        <v>2024</v>
      </c>
      <c r="H177" t="s">
        <v>632</v>
      </c>
      <c r="I177" t="s">
        <v>52</v>
      </c>
      <c r="J177" t="s">
        <v>36</v>
      </c>
      <c r="K177" t="s">
        <v>37</v>
      </c>
      <c r="L177" t="s">
        <v>142</v>
      </c>
      <c r="M177" t="s">
        <v>143</v>
      </c>
      <c r="N177" t="s">
        <v>74</v>
      </c>
      <c r="O177" t="s">
        <v>272</v>
      </c>
      <c r="P177" t="s">
        <v>633</v>
      </c>
      <c r="Q177" t="s">
        <v>43</v>
      </c>
      <c r="R177">
        <v>7</v>
      </c>
      <c r="S177" s="15">
        <v>2673.42</v>
      </c>
      <c r="T177" s="4">
        <v>0.15</v>
      </c>
      <c r="U177" s="3" t="str">
        <f>IF(T177&lt;0, "negative_discount", IF(AND(T177&gt;0.5, T177&lt;=1), "high_discount", ""))</f>
        <v/>
      </c>
      <c r="V177" s="11">
        <v>15906.85</v>
      </c>
      <c r="W177" s="12">
        <v>15906.85</v>
      </c>
      <c r="X177" s="11">
        <v>11014.46</v>
      </c>
      <c r="Y177" s="11">
        <v>4892.3900000000003</v>
      </c>
      <c r="Z177" s="11">
        <f>ROUND(W177-X177,2)</f>
        <v>4892.3900000000003</v>
      </c>
      <c r="AA177" s="4">
        <f>IF(W177=0,0,Z177/W177)</f>
        <v>0.30756497986716413</v>
      </c>
      <c r="AB177" t="s">
        <v>31</v>
      </c>
      <c r="AC177" t="s">
        <v>100</v>
      </c>
      <c r="AD177" t="str">
        <f>IF(AND(E177="", T177&gt;=0, T177&lt;=0.5, K177&lt;&gt;"Unknown", Q177&lt;&gt;"Unknown"), "CLEAN", _xlfn.CONCAT("WARNING: ", IF(E177&lt;&gt;"","invalid_date",""), IF(T177&lt;0,"negative_discount",""), IF(AND(T177&gt;0.5,T177&lt;=1),"high_discount",""), IF(K177="Unknown","missing_region",""), IF(Q177="Unknown","missing_ship_mode","")))</f>
        <v>CLEAN</v>
      </c>
      <c r="AE177" t="str">
        <f>IF(COUNTIF($AF$2:$AF$926,AF177)&gt;1,"DUPLICATE","UNIQUE")</f>
        <v>UNIQUE</v>
      </c>
      <c r="AF177" t="str">
        <f>A177&amp;"|"&amp;B177&amp;"|"&amp;H177&amp;"|"&amp;I177&amp;"|"&amp;R177&amp;"|"&amp;S177&amp;"|"&amp;V177</f>
        <v>ORD-2024-10176|2024-01-27|CUST-5580|Arjun Bose|7|2673.42|15906.85</v>
      </c>
      <c r="AG177" t="str">
        <f>IF(COUNTIF($A$2:$A$913,A177)&gt;1,"TRUE","FALSE")</f>
        <v>FALSE</v>
      </c>
    </row>
    <row r="178" spans="1:33">
      <c r="A178" t="s">
        <v>3049</v>
      </c>
      <c r="B178" t="s">
        <v>2730</v>
      </c>
      <c r="C178" t="s">
        <v>2158</v>
      </c>
      <c r="D178">
        <f>IF(OR(B178="", C178=""), "", (C178 - B178))</f>
        <v>8</v>
      </c>
      <c r="E178" t="str">
        <f>IF(C178&lt;B178, "INVALID: Ship date before order date", "")</f>
        <v/>
      </c>
      <c r="F178" t="str">
        <f>IF(B178="", "", TEXT(B178, "mmmm"))</f>
        <v>March</v>
      </c>
      <c r="G178">
        <f>IF(B178="", "", YEAR(B178))</f>
        <v>2025</v>
      </c>
      <c r="H178" t="s">
        <v>634</v>
      </c>
      <c r="I178" t="s">
        <v>71</v>
      </c>
      <c r="J178" t="s">
        <v>89</v>
      </c>
      <c r="K178" t="s">
        <v>37</v>
      </c>
      <c r="L178" t="s">
        <v>226</v>
      </c>
      <c r="M178" t="s">
        <v>227</v>
      </c>
      <c r="N178" t="s">
        <v>40</v>
      </c>
      <c r="O178" t="s">
        <v>153</v>
      </c>
      <c r="P178" t="s">
        <v>635</v>
      </c>
      <c r="Q178" t="s">
        <v>58</v>
      </c>
      <c r="R178">
        <v>8</v>
      </c>
      <c r="S178" s="15">
        <v>3563.09</v>
      </c>
      <c r="T178" s="4">
        <v>0.15</v>
      </c>
      <c r="U178" s="3" t="str">
        <f>IF(T178&lt;0, "negative_discount", IF(AND(T178&gt;0.5, T178&lt;=1), "high_discount", ""))</f>
        <v/>
      </c>
      <c r="V178" s="11">
        <v>24229.01</v>
      </c>
      <c r="W178" s="12">
        <v>24229.01</v>
      </c>
      <c r="X178" s="11">
        <v>13910.64</v>
      </c>
      <c r="Y178" s="11">
        <v>10318.370000000001</v>
      </c>
      <c r="Z178" s="11">
        <f>ROUND(W178-X178,2)</f>
        <v>10318.370000000001</v>
      </c>
      <c r="AA178" s="4">
        <f>IF(W178=0,0,Z178/W178)</f>
        <v>0.42586841146212751</v>
      </c>
      <c r="AB178" t="s">
        <v>31</v>
      </c>
      <c r="AC178" t="s">
        <v>32</v>
      </c>
      <c r="AD178" t="str">
        <f>IF(AND(E178="", T178&gt;=0, T178&lt;=0.5, K178&lt;&gt;"Unknown", Q178&lt;&gt;"Unknown"), "CLEAN", _xlfn.CONCAT("WARNING: ", IF(E178&lt;&gt;"","invalid_date",""), IF(T178&lt;0,"negative_discount",""), IF(AND(T178&gt;0.5,T178&lt;=1),"high_discount",""), IF(K178="Unknown","missing_region",""), IF(Q178="Unknown","missing_ship_mode","")))</f>
        <v>CLEAN</v>
      </c>
      <c r="AE178" t="str">
        <f>IF(COUNTIF($AF$2:$AF$926,AF178)&gt;1,"DUPLICATE","UNIQUE")</f>
        <v>UNIQUE</v>
      </c>
      <c r="AF178" t="str">
        <f>A178&amp;"|"&amp;B178&amp;"|"&amp;H178&amp;"|"&amp;I178&amp;"|"&amp;R178&amp;"|"&amp;S178&amp;"|"&amp;V178</f>
        <v>ORD-2025-10177|2025-03-18|CUST-3027|Vikram Iyer|8|3563.09|24229.01</v>
      </c>
      <c r="AG178" t="str">
        <f>IF(COUNTIF($A$2:$A$913,A178)&gt;1,"TRUE","FALSE")</f>
        <v>FALSE</v>
      </c>
    </row>
    <row r="179" spans="1:33">
      <c r="A179" t="s">
        <v>636</v>
      </c>
      <c r="B179" t="s">
        <v>2731</v>
      </c>
      <c r="C179" t="s">
        <v>2913</v>
      </c>
      <c r="D179">
        <f>IF(OR(B179="", C179=""), "", (C179 - B179))</f>
        <v>149</v>
      </c>
      <c r="E179" t="str">
        <f>IF(C179&lt;B179, "INVALID: Ship date before order date", "")</f>
        <v/>
      </c>
      <c r="F179" t="str">
        <f>IF(B179="", "", TEXT(B179, "mmmm"))</f>
        <v>January</v>
      </c>
      <c r="G179">
        <f>IF(B179="", "", YEAR(B179))</f>
        <v>2024</v>
      </c>
      <c r="H179" t="s">
        <v>637</v>
      </c>
      <c r="I179" t="s">
        <v>131</v>
      </c>
      <c r="J179" t="s">
        <v>93</v>
      </c>
      <c r="K179" t="s">
        <v>2970</v>
      </c>
      <c r="L179" t="s">
        <v>142</v>
      </c>
      <c r="M179" t="s">
        <v>143</v>
      </c>
      <c r="N179" t="s">
        <v>27</v>
      </c>
      <c r="O179" t="s">
        <v>47</v>
      </c>
      <c r="P179" t="s">
        <v>638</v>
      </c>
      <c r="Q179" t="s">
        <v>43</v>
      </c>
      <c r="R179">
        <v>8</v>
      </c>
      <c r="S179" s="15">
        <v>3879.95</v>
      </c>
      <c r="T179" s="4">
        <v>0</v>
      </c>
      <c r="U179" s="3" t="str">
        <f>IF(T179&lt;0, "negative_discount", IF(AND(T179&gt;0.5, T179&lt;=1), "high_discount", ""))</f>
        <v/>
      </c>
      <c r="V179" s="11">
        <v>31039.599999999999</v>
      </c>
      <c r="W179" s="12">
        <v>31039.599999999999</v>
      </c>
      <c r="X179" s="11">
        <v>20866.72</v>
      </c>
      <c r="Y179" s="11">
        <v>10172.879999999999</v>
      </c>
      <c r="Z179" s="11">
        <f>ROUND(W179-X179,2)</f>
        <v>10172.879999999999</v>
      </c>
      <c r="AA179" s="4">
        <f>IF(W179=0,0,Z179/W179)</f>
        <v>0.3277387595200969</v>
      </c>
      <c r="AB179" t="s">
        <v>31</v>
      </c>
      <c r="AC179" t="s">
        <v>32</v>
      </c>
      <c r="AD179" t="str">
        <f>IF(AND(E179="", T179&gt;=0, T179&lt;=0.5, K179&lt;&gt;"Unknown", Q179&lt;&gt;"Unknown"), "CLEAN", _xlfn.CONCAT("WARNING: ", IF(E179&lt;&gt;"","invalid_date",""), IF(T179&lt;0,"negative_discount",""), IF(AND(T179&gt;0.5,T179&lt;=1),"high_discount",""), IF(K179="Unknown","missing_region",""), IF(Q179="Unknown","missing_ship_mode","")))</f>
        <v>WARNING: missing_region</v>
      </c>
      <c r="AE179" t="str">
        <f>IF(COUNTIF($AF$2:$AF$926,AF179)&gt;1,"DUPLICATE","UNIQUE")</f>
        <v>UNIQUE</v>
      </c>
      <c r="AF179" t="str">
        <f>A179&amp;"|"&amp;B179&amp;"|"&amp;H179&amp;"|"&amp;I179&amp;"|"&amp;R179&amp;"|"&amp;S179&amp;"|"&amp;V179</f>
        <v>ORD-2024-10178|2024-01-06|CUST-4399|Sneha Kapoor|8|3879.95|31039.6</v>
      </c>
      <c r="AG179" t="str">
        <f>IF(COUNTIF($A$2:$A$913,A179)&gt;1,"TRUE","FALSE")</f>
        <v>FALSE</v>
      </c>
    </row>
    <row r="180" spans="1:33">
      <c r="A180" t="s">
        <v>639</v>
      </c>
      <c r="B180" t="s">
        <v>640</v>
      </c>
      <c r="C180" t="s">
        <v>640</v>
      </c>
      <c r="D180">
        <f>IF(OR(B180="", C180=""), "", (C180 - B180))</f>
        <v>0</v>
      </c>
      <c r="E180" t="str">
        <f>IF(C180&lt;B180, "INVALID: Ship date before order date", "")</f>
        <v/>
      </c>
      <c r="F180" t="str">
        <f>IF(B180="", "", TEXT(B180, "mmmm"))</f>
        <v>September</v>
      </c>
      <c r="G180">
        <f>IF(B180="", "", YEAR(B180))</f>
        <v>2024</v>
      </c>
      <c r="H180" t="s">
        <v>641</v>
      </c>
      <c r="I180" t="s">
        <v>46</v>
      </c>
      <c r="J180" t="s">
        <v>89</v>
      </c>
      <c r="K180" t="s">
        <v>53</v>
      </c>
      <c r="L180" t="s">
        <v>54</v>
      </c>
      <c r="M180" t="s">
        <v>55</v>
      </c>
      <c r="N180" t="s">
        <v>27</v>
      </c>
      <c r="O180" t="s">
        <v>47</v>
      </c>
      <c r="P180" t="s">
        <v>642</v>
      </c>
      <c r="Q180" t="s">
        <v>58</v>
      </c>
      <c r="R180">
        <v>4</v>
      </c>
      <c r="S180" s="15">
        <v>3281.74</v>
      </c>
      <c r="T180" s="4">
        <v>0</v>
      </c>
      <c r="U180" s="3" t="str">
        <f>IF(T180&lt;0, "negative_discount", IF(AND(T180&gt;0.5, T180&lt;=1), "high_discount", ""))</f>
        <v/>
      </c>
      <c r="V180" s="11">
        <v>13126.96</v>
      </c>
      <c r="W180" s="12">
        <v>13126.96</v>
      </c>
      <c r="X180" s="11">
        <v>10732.44</v>
      </c>
      <c r="Y180" s="11">
        <v>2394.52</v>
      </c>
      <c r="Z180" s="11">
        <f>ROUND(W180-X180,2)</f>
        <v>2394.52</v>
      </c>
      <c r="AA180" s="4">
        <f>IF(W180=0,0,Z180/W180)</f>
        <v>0.18241237879905173</v>
      </c>
      <c r="AB180" t="s">
        <v>31</v>
      </c>
      <c r="AC180" t="s">
        <v>32</v>
      </c>
      <c r="AD180" t="str">
        <f>IF(AND(E180="", T180&gt;=0, T180&lt;=0.5, K180&lt;&gt;"Unknown", Q180&lt;&gt;"Unknown"), "CLEAN", _xlfn.CONCAT("WARNING: ", IF(E180&lt;&gt;"","invalid_date",""), IF(T180&lt;0,"negative_discount",""), IF(AND(T180&gt;0.5,T180&lt;=1),"high_discount",""), IF(K180="Unknown","missing_region",""), IF(Q180="Unknown","missing_ship_mode","")))</f>
        <v>CLEAN</v>
      </c>
      <c r="AE180" t="str">
        <f>IF(COUNTIF($AF$2:$AF$926,AF180)&gt;1,"DUPLICATE","UNIQUE")</f>
        <v>UNIQUE</v>
      </c>
      <c r="AF180" t="str">
        <f>A180&amp;"|"&amp;B180&amp;"|"&amp;H180&amp;"|"&amp;I180&amp;"|"&amp;R180&amp;"|"&amp;S180&amp;"|"&amp;V180</f>
        <v>ORD-2024-10179|2024-09-30|CUST-3092|Isha Nair|4|3281.74|13126.96</v>
      </c>
      <c r="AG180" t="str">
        <f>IF(COUNTIF($A$2:$A$913,A180)&gt;1,"TRUE","FALSE")</f>
        <v>FALSE</v>
      </c>
    </row>
    <row r="181" spans="1:33">
      <c r="A181" t="s">
        <v>643</v>
      </c>
      <c r="B181" t="s">
        <v>644</v>
      </c>
      <c r="C181" t="s">
        <v>2914</v>
      </c>
      <c r="D181">
        <f>IF(OR(B181="", C181=""), "", (C181 - B181))</f>
        <v>4</v>
      </c>
      <c r="E181" t="str">
        <f>IF(C181&lt;B181, "INVALID: Ship date before order date", "")</f>
        <v/>
      </c>
      <c r="F181" t="str">
        <f>IF(B181="", "", TEXT(B181, "mmmm"))</f>
        <v>March</v>
      </c>
      <c r="G181">
        <f>IF(B181="", "", YEAR(B181))</f>
        <v>2024</v>
      </c>
      <c r="H181" t="s">
        <v>645</v>
      </c>
      <c r="I181" t="s">
        <v>61</v>
      </c>
      <c r="J181" t="s">
        <v>36</v>
      </c>
      <c r="K181" t="s">
        <v>53</v>
      </c>
      <c r="L181" t="s">
        <v>246</v>
      </c>
      <c r="M181" t="s">
        <v>247</v>
      </c>
      <c r="N181" t="s">
        <v>40</v>
      </c>
      <c r="O181" t="s">
        <v>56</v>
      </c>
      <c r="P181" t="s">
        <v>646</v>
      </c>
      <c r="Q181" t="s">
        <v>58</v>
      </c>
      <c r="R181">
        <v>4</v>
      </c>
      <c r="S181" s="15">
        <v>3186.3</v>
      </c>
      <c r="T181" s="4">
        <v>0.25</v>
      </c>
      <c r="U181" s="3" t="str">
        <f>IF(T181&lt;0, "negative_discount", IF(AND(T181&gt;0.5, T181&lt;=1), "high_discount", ""))</f>
        <v/>
      </c>
      <c r="V181" s="11">
        <v>9558.9</v>
      </c>
      <c r="W181" s="12">
        <v>9558.9</v>
      </c>
      <c r="X181" s="11">
        <v>5516.76</v>
      </c>
      <c r="Y181" s="11">
        <v>4042.14</v>
      </c>
      <c r="Z181" s="11">
        <f>ROUND(W181-X181,2)</f>
        <v>4042.14</v>
      </c>
      <c r="AA181" s="4">
        <f>IF(W181=0,0,Z181/W181)</f>
        <v>0.4228666478360481</v>
      </c>
      <c r="AB181" t="s">
        <v>99</v>
      </c>
      <c r="AC181" t="s">
        <v>100</v>
      </c>
      <c r="AD181" t="str">
        <f>IF(AND(E181="", T181&gt;=0, T181&lt;=0.5, K181&lt;&gt;"Unknown", Q181&lt;&gt;"Unknown"), "CLEAN", _xlfn.CONCAT("WARNING: ", IF(E181&lt;&gt;"","invalid_date",""), IF(T181&lt;0,"negative_discount",""), IF(AND(T181&gt;0.5,T181&lt;=1),"high_discount",""), IF(K181="Unknown","missing_region",""), IF(Q181="Unknown","missing_ship_mode","")))</f>
        <v>CLEAN</v>
      </c>
      <c r="AE181" t="str">
        <f>IF(COUNTIF($AF$2:$AF$926,AF181)&gt;1,"DUPLICATE","UNIQUE")</f>
        <v>UNIQUE</v>
      </c>
      <c r="AF181" t="str">
        <f>A181&amp;"|"&amp;B181&amp;"|"&amp;H181&amp;"|"&amp;I181&amp;"|"&amp;R181&amp;"|"&amp;S181&amp;"|"&amp;V181</f>
        <v>ORD-2024-10180|2024-03-15|CUST-1778|Ananya Rao|4|3186.3|9558.9</v>
      </c>
      <c r="AG181" t="str">
        <f>IF(COUNTIF($A$2:$A$913,A181)&gt;1,"TRUE","FALSE")</f>
        <v>FALSE</v>
      </c>
    </row>
    <row r="182" spans="1:33">
      <c r="A182" t="s">
        <v>647</v>
      </c>
      <c r="B182" t="s">
        <v>648</v>
      </c>
      <c r="C182" t="s">
        <v>648</v>
      </c>
      <c r="D182">
        <f>IF(OR(B182="", C182=""), "", (C182 - B182))</f>
        <v>0</v>
      </c>
      <c r="E182" t="str">
        <f>IF(C182&lt;B182, "INVALID: Ship date before order date", "")</f>
        <v/>
      </c>
      <c r="F182" t="str">
        <f>IF(B182="", "", TEXT(B182, "mmmm"))</f>
        <v>August</v>
      </c>
      <c r="G182">
        <f>IF(B182="", "", YEAR(B182))</f>
        <v>2024</v>
      </c>
      <c r="H182" t="s">
        <v>649</v>
      </c>
      <c r="I182" t="s">
        <v>35</v>
      </c>
      <c r="J182" t="s">
        <v>93</v>
      </c>
      <c r="K182" t="s">
        <v>24</v>
      </c>
      <c r="L182" t="s">
        <v>134</v>
      </c>
      <c r="M182" t="s">
        <v>135</v>
      </c>
      <c r="N182" t="s">
        <v>27</v>
      </c>
      <c r="O182" t="s">
        <v>149</v>
      </c>
      <c r="P182" t="s">
        <v>650</v>
      </c>
      <c r="Q182" t="s">
        <v>49</v>
      </c>
      <c r="R182">
        <v>7</v>
      </c>
      <c r="S182" s="15">
        <v>844.59</v>
      </c>
      <c r="T182" s="4">
        <v>0.1</v>
      </c>
      <c r="U182" s="3" t="str">
        <f>IF(T182&lt;0, "negative_discount", IF(AND(T182&gt;0.5, T182&lt;=1), "high_discount", ""))</f>
        <v/>
      </c>
      <c r="V182" s="11">
        <v>5320.92</v>
      </c>
      <c r="W182" s="12">
        <v>5320.92</v>
      </c>
      <c r="X182" s="11">
        <v>3041.5</v>
      </c>
      <c r="Y182" s="11">
        <v>2279.42</v>
      </c>
      <c r="Z182" s="11">
        <f>ROUND(W182-X182,2)</f>
        <v>2279.42</v>
      </c>
      <c r="AA182" s="4">
        <f>IF(W182=0,0,Z182/W182)</f>
        <v>0.42838832382369968</v>
      </c>
      <c r="AB182" t="s">
        <v>31</v>
      </c>
      <c r="AC182" t="s">
        <v>32</v>
      </c>
      <c r="AD182" t="str">
        <f>IF(AND(E182="", T182&gt;=0, T182&lt;=0.5, K182&lt;&gt;"Unknown", Q182&lt;&gt;"Unknown"), "CLEAN", _xlfn.CONCAT("WARNING: ", IF(E182&lt;&gt;"","invalid_date",""), IF(T182&lt;0,"negative_discount",""), IF(AND(T182&gt;0.5,T182&lt;=1),"high_discount",""), IF(K182="Unknown","missing_region",""), IF(Q182="Unknown","missing_ship_mode","")))</f>
        <v>CLEAN</v>
      </c>
      <c r="AE182" t="str">
        <f>IF(COUNTIF($AF$2:$AF$926,AF182)&gt;1,"DUPLICATE","UNIQUE")</f>
        <v>UNIQUE</v>
      </c>
      <c r="AF182" t="str">
        <f>A182&amp;"|"&amp;B182&amp;"|"&amp;H182&amp;"|"&amp;I182&amp;"|"&amp;R182&amp;"|"&amp;S182&amp;"|"&amp;V182</f>
        <v>ORD-2024-10181|2024-08-26|CUST-3787|Mira Das|7|844.59|5320.92</v>
      </c>
      <c r="AG182" t="str">
        <f>IF(COUNTIF($A$2:$A$913,A182)&gt;1,"TRUE","FALSE")</f>
        <v>FALSE</v>
      </c>
    </row>
    <row r="183" spans="1:33">
      <c r="A183" t="s">
        <v>3050</v>
      </c>
      <c r="B183" t="s">
        <v>1112</v>
      </c>
      <c r="C183" t="s">
        <v>2883</v>
      </c>
      <c r="D183">
        <f>IF(OR(B183="", C183=""), "", (C183 - B183))</f>
        <v>30</v>
      </c>
      <c r="E183" t="str">
        <f>IF(C183&lt;B183, "INVALID: Ship date before order date", "")</f>
        <v/>
      </c>
      <c r="F183" t="str">
        <f>IF(B183="", "", TEXT(B183, "mmmm"))</f>
        <v>September</v>
      </c>
      <c r="G183">
        <f>IF(B183="", "", YEAR(B183))</f>
        <v>2025</v>
      </c>
      <c r="H183" t="s">
        <v>651</v>
      </c>
      <c r="I183" t="s">
        <v>112</v>
      </c>
      <c r="J183" t="s">
        <v>93</v>
      </c>
      <c r="K183" t="s">
        <v>53</v>
      </c>
      <c r="L183" t="s">
        <v>246</v>
      </c>
      <c r="M183" t="s">
        <v>247</v>
      </c>
      <c r="N183" t="s">
        <v>27</v>
      </c>
      <c r="O183" t="s">
        <v>47</v>
      </c>
      <c r="P183" t="s">
        <v>652</v>
      </c>
      <c r="Q183" t="s">
        <v>30</v>
      </c>
      <c r="R183">
        <v>4</v>
      </c>
      <c r="S183" s="15">
        <v>2551.4499999999998</v>
      </c>
      <c r="T183" s="4">
        <v>0</v>
      </c>
      <c r="U183" s="3" t="str">
        <f>IF(T183&lt;0, "negative_discount", IF(AND(T183&gt;0.5, T183&lt;=1), "high_discount", ""))</f>
        <v/>
      </c>
      <c r="V183" s="11">
        <v>10205.799999999999</v>
      </c>
      <c r="W183" s="12">
        <v>10205.799999999999</v>
      </c>
      <c r="X183" s="11">
        <v>5986.31</v>
      </c>
      <c r="Y183" s="11">
        <v>4219.49</v>
      </c>
      <c r="Z183" s="11">
        <f>ROUND(W183-X183,2)</f>
        <v>4219.49</v>
      </c>
      <c r="AA183" s="4">
        <f>IF(W183=0,0,Z183/W183)</f>
        <v>0.41344039663720628</v>
      </c>
      <c r="AB183" t="s">
        <v>31</v>
      </c>
      <c r="AC183" t="s">
        <v>32</v>
      </c>
      <c r="AD183" t="str">
        <f>IF(AND(E183="", T183&gt;=0, T183&lt;=0.5, K183&lt;&gt;"Unknown", Q183&lt;&gt;"Unknown"), "CLEAN", _xlfn.CONCAT("WARNING: ", IF(E183&lt;&gt;"","invalid_date",""), IF(T183&lt;0,"negative_discount",""), IF(AND(T183&gt;0.5,T183&lt;=1),"high_discount",""), IF(K183="Unknown","missing_region",""), IF(Q183="Unknown","missing_ship_mode","")))</f>
        <v>CLEAN</v>
      </c>
      <c r="AE183" t="str">
        <f>IF(COUNTIF($AF$2:$AF$926,AF183)&gt;1,"DUPLICATE","UNIQUE")</f>
        <v>UNIQUE</v>
      </c>
      <c r="AF183" t="str">
        <f>A183&amp;"|"&amp;B183&amp;"|"&amp;H183&amp;"|"&amp;I183&amp;"|"&amp;R183&amp;"|"&amp;S183&amp;"|"&amp;V183</f>
        <v>ORD-2025-10182|2025-09-09|CUST-5119|Priya Menon|4|2551.45|10205.8</v>
      </c>
      <c r="AG183" t="str">
        <f>IF(COUNTIF($A$2:$A$913,A183)&gt;1,"TRUE","FALSE")</f>
        <v>FALSE</v>
      </c>
    </row>
    <row r="184" spans="1:33">
      <c r="A184" t="s">
        <v>653</v>
      </c>
      <c r="B184" t="s">
        <v>2732</v>
      </c>
      <c r="C184" t="s">
        <v>2732</v>
      </c>
      <c r="D184">
        <f>IF(OR(B184="", C184=""), "", (C184 - B184))</f>
        <v>0</v>
      </c>
      <c r="E184" t="str">
        <f>IF(C184&lt;B184, "INVALID: Ship date before order date", "")</f>
        <v/>
      </c>
      <c r="F184" t="str">
        <f>IF(B184="", "", TEXT(B184, "mmmm"))</f>
        <v>October</v>
      </c>
      <c r="G184">
        <f>IF(B184="", "", YEAR(B184))</f>
        <v>2024</v>
      </c>
      <c r="H184" t="s">
        <v>654</v>
      </c>
      <c r="I184" t="s">
        <v>61</v>
      </c>
      <c r="J184" t="s">
        <v>93</v>
      </c>
      <c r="K184" t="s">
        <v>37</v>
      </c>
      <c r="L184" t="s">
        <v>142</v>
      </c>
      <c r="M184" t="s">
        <v>143</v>
      </c>
      <c r="N184" t="s">
        <v>74</v>
      </c>
      <c r="O184" t="s">
        <v>272</v>
      </c>
      <c r="P184" t="s">
        <v>655</v>
      </c>
      <c r="Q184" t="s">
        <v>58</v>
      </c>
      <c r="R184">
        <v>7</v>
      </c>
      <c r="S184" s="15">
        <v>775.77</v>
      </c>
      <c r="T184" s="4">
        <v>0</v>
      </c>
      <c r="U184" s="3" t="str">
        <f>IF(T184&lt;0, "negative_discount", IF(AND(T184&gt;0.5, T184&lt;=1), "high_discount", ""))</f>
        <v/>
      </c>
      <c r="V184" s="11">
        <v>5430.39</v>
      </c>
      <c r="W184" s="12">
        <v>5430.39</v>
      </c>
      <c r="X184" s="11">
        <v>3707.66</v>
      </c>
      <c r="Y184" s="11">
        <v>1722.73</v>
      </c>
      <c r="Z184" s="11">
        <f>ROUND(W184-X184,2)</f>
        <v>1722.73</v>
      </c>
      <c r="AA184" s="4">
        <f>IF(W184=0,0,Z184/W184)</f>
        <v>0.31723872502711592</v>
      </c>
      <c r="AB184" t="s">
        <v>31</v>
      </c>
      <c r="AC184" t="s">
        <v>32</v>
      </c>
      <c r="AD184" t="str">
        <f>IF(AND(E184="", T184&gt;=0, T184&lt;=0.5, K184&lt;&gt;"Unknown", Q184&lt;&gt;"Unknown"), "CLEAN", _xlfn.CONCAT("WARNING: ", IF(E184&lt;&gt;"","invalid_date",""), IF(T184&lt;0,"negative_discount",""), IF(AND(T184&gt;0.5,T184&lt;=1),"high_discount",""), IF(K184="Unknown","missing_region",""), IF(Q184="Unknown","missing_ship_mode","")))</f>
        <v>CLEAN</v>
      </c>
      <c r="AE184" t="str">
        <f>IF(COUNTIF($AF$2:$AF$926,AF184)&gt;1,"DUPLICATE","UNIQUE")</f>
        <v>UNIQUE</v>
      </c>
      <c r="AF184" t="str">
        <f>A184&amp;"|"&amp;B184&amp;"|"&amp;H184&amp;"|"&amp;I184&amp;"|"&amp;R184&amp;"|"&amp;S184&amp;"|"&amp;V184</f>
        <v>ORD-2024-10183|2024-10-16|CUST-4121|Ananya Rao|7|775.77|5430.39</v>
      </c>
      <c r="AG184" t="str">
        <f>IF(COUNTIF($A$2:$A$913,A184)&gt;1,"TRUE","FALSE")</f>
        <v>FALSE</v>
      </c>
    </row>
    <row r="185" spans="1:33">
      <c r="A185" t="s">
        <v>3051</v>
      </c>
      <c r="B185" t="s">
        <v>656</v>
      </c>
      <c r="C185" t="s">
        <v>1091</v>
      </c>
      <c r="D185">
        <f>IF(OR(B185="", C185=""), "", (C185 - B185))</f>
        <v>3</v>
      </c>
      <c r="E185" t="str">
        <f>IF(C185&lt;B185, "INVALID: Ship date before order date", "")</f>
        <v/>
      </c>
      <c r="F185" t="str">
        <f>IF(B185="", "", TEXT(B185, "mmmm"))</f>
        <v>June</v>
      </c>
      <c r="G185">
        <f>IF(B185="", "", YEAR(B185))</f>
        <v>2025</v>
      </c>
      <c r="H185" t="s">
        <v>657</v>
      </c>
      <c r="I185" t="s">
        <v>71</v>
      </c>
      <c r="J185" t="s">
        <v>93</v>
      </c>
      <c r="K185" t="s">
        <v>53</v>
      </c>
      <c r="L185" t="s">
        <v>54</v>
      </c>
      <c r="M185" t="s">
        <v>55</v>
      </c>
      <c r="N185" t="s">
        <v>74</v>
      </c>
      <c r="O185" t="s">
        <v>79</v>
      </c>
      <c r="P185" t="s">
        <v>658</v>
      </c>
      <c r="Q185" t="s">
        <v>58</v>
      </c>
      <c r="R185">
        <v>7</v>
      </c>
      <c r="S185" s="15">
        <v>2304.86</v>
      </c>
      <c r="T185" s="4">
        <v>0.2</v>
      </c>
      <c r="U185" s="3" t="str">
        <f>IF(T185&lt;0, "negative_discount", IF(AND(T185&gt;0.5, T185&lt;=1), "high_discount", ""))</f>
        <v/>
      </c>
      <c r="V185" s="11">
        <v>12907.22</v>
      </c>
      <c r="W185" s="12">
        <v>12907.22</v>
      </c>
      <c r="X185" s="11">
        <v>8327.89</v>
      </c>
      <c r="Y185" s="11">
        <v>4579.33</v>
      </c>
      <c r="Z185" s="11">
        <f>ROUND(W185-X185,2)</f>
        <v>4579.33</v>
      </c>
      <c r="AA185" s="4">
        <f>IF(W185=0,0,Z185/W185)</f>
        <v>0.35478825029712052</v>
      </c>
      <c r="AB185" t="s">
        <v>31</v>
      </c>
      <c r="AC185" t="s">
        <v>100</v>
      </c>
      <c r="AD185" t="str">
        <f>IF(AND(E185="", T185&gt;=0, T185&lt;=0.5, K185&lt;&gt;"Unknown", Q185&lt;&gt;"Unknown"), "CLEAN", _xlfn.CONCAT("WARNING: ", IF(E185&lt;&gt;"","invalid_date",""), IF(T185&lt;0,"negative_discount",""), IF(AND(T185&gt;0.5,T185&lt;=1),"high_discount",""), IF(K185="Unknown","missing_region",""), IF(Q185="Unknown","missing_ship_mode","")))</f>
        <v>CLEAN</v>
      </c>
      <c r="AE185" t="str">
        <f>IF(COUNTIF($AF$2:$AF$926,AF185)&gt;1,"DUPLICATE","UNIQUE")</f>
        <v>UNIQUE</v>
      </c>
      <c r="AF185" t="str">
        <f>A185&amp;"|"&amp;B185&amp;"|"&amp;H185&amp;"|"&amp;I185&amp;"|"&amp;R185&amp;"|"&amp;S185&amp;"|"&amp;V185</f>
        <v>ORD-2025-10184|2025-06-24|CUST-3366|Vikram Iyer|7|2304.86|12907.22</v>
      </c>
      <c r="AG185" t="str">
        <f>IF(COUNTIF($A$2:$A$913,A185)&gt;1,"TRUE","FALSE")</f>
        <v>FALSE</v>
      </c>
    </row>
    <row r="186" spans="1:33">
      <c r="A186" t="s">
        <v>659</v>
      </c>
      <c r="B186" t="s">
        <v>660</v>
      </c>
      <c r="C186" t="s">
        <v>252</v>
      </c>
      <c r="D186">
        <f>IF(OR(B186="", C186=""), "", (C186 - B186))</f>
        <v>4</v>
      </c>
      <c r="E186" t="str">
        <f>IF(C186&lt;B186, "INVALID: Ship date before order date", "")</f>
        <v/>
      </c>
      <c r="F186" t="str">
        <f>IF(B186="", "", TEXT(B186, "mmmm"))</f>
        <v>April</v>
      </c>
      <c r="G186">
        <f>IF(B186="", "", YEAR(B186))</f>
        <v>2024</v>
      </c>
      <c r="H186" t="s">
        <v>661</v>
      </c>
      <c r="I186" t="s">
        <v>71</v>
      </c>
      <c r="J186" t="s">
        <v>89</v>
      </c>
      <c r="K186" t="s">
        <v>62</v>
      </c>
      <c r="L186" t="s">
        <v>72</v>
      </c>
      <c r="M186" t="s">
        <v>73</v>
      </c>
      <c r="N186" t="s">
        <v>40</v>
      </c>
      <c r="O186" t="s">
        <v>153</v>
      </c>
      <c r="P186" t="s">
        <v>662</v>
      </c>
      <c r="Q186" t="s">
        <v>58</v>
      </c>
      <c r="R186">
        <v>2</v>
      </c>
      <c r="S186" s="15">
        <v>888.98</v>
      </c>
      <c r="T186" s="4">
        <v>0</v>
      </c>
      <c r="U186" s="3" t="str">
        <f>IF(T186&lt;0, "negative_discount", IF(AND(T186&gt;0.5, T186&lt;=1), "high_discount", ""))</f>
        <v/>
      </c>
      <c r="V186" s="11">
        <v>1777.96</v>
      </c>
      <c r="W186" s="12">
        <v>1777.96</v>
      </c>
      <c r="X186" s="11">
        <v>1021.16</v>
      </c>
      <c r="Y186" s="11">
        <v>756.8</v>
      </c>
      <c r="Z186" s="11">
        <f>ROUND(W186-X186,2)</f>
        <v>756.8</v>
      </c>
      <c r="AA186" s="4">
        <f>IF(W186=0,0,Z186/W186)</f>
        <v>0.42565637022205222</v>
      </c>
      <c r="AB186" t="s">
        <v>99</v>
      </c>
      <c r="AC186" t="s">
        <v>100</v>
      </c>
      <c r="AD186" t="str">
        <f>IF(AND(E186="", T186&gt;=0, T186&lt;=0.5, K186&lt;&gt;"Unknown", Q186&lt;&gt;"Unknown"), "CLEAN", _xlfn.CONCAT("WARNING: ", IF(E186&lt;&gt;"","invalid_date",""), IF(T186&lt;0,"negative_discount",""), IF(AND(T186&gt;0.5,T186&lt;=1),"high_discount",""), IF(K186="Unknown","missing_region",""), IF(Q186="Unknown","missing_ship_mode","")))</f>
        <v>CLEAN</v>
      </c>
      <c r="AE186" t="str">
        <f>IF(COUNTIF($AF$2:$AF$926,AF186)&gt;1,"DUPLICATE","UNIQUE")</f>
        <v>UNIQUE</v>
      </c>
      <c r="AF186" t="str">
        <f>A186&amp;"|"&amp;B186&amp;"|"&amp;H186&amp;"|"&amp;I186&amp;"|"&amp;R186&amp;"|"&amp;S186&amp;"|"&amp;V186</f>
        <v>ORD-2024-10185|2024-04-02|CUST-1358|Vikram Iyer|2|888.98|1777.96</v>
      </c>
      <c r="AG186" t="str">
        <f>IF(COUNTIF($A$2:$A$913,A186)&gt;1,"TRUE","FALSE")</f>
        <v>FALSE</v>
      </c>
    </row>
    <row r="187" spans="1:33">
      <c r="A187" t="s">
        <v>663</v>
      </c>
      <c r="B187" t="s">
        <v>867</v>
      </c>
      <c r="C187" t="s">
        <v>664</v>
      </c>
      <c r="D187">
        <f>IF(OR(B187="", C187=""), "", (C187 - B187))</f>
        <v>8</v>
      </c>
      <c r="E187" t="str">
        <f>IF(C187&lt;B187, "INVALID: Ship date before order date", "")</f>
        <v/>
      </c>
      <c r="F187" t="str">
        <f>IF(B187="", "", TEXT(B187, "mmmm"))</f>
        <v>November</v>
      </c>
      <c r="G187">
        <f>IF(B187="", "", YEAR(B187))</f>
        <v>2024</v>
      </c>
      <c r="H187" t="s">
        <v>665</v>
      </c>
      <c r="I187" t="s">
        <v>52</v>
      </c>
      <c r="J187" t="s">
        <v>23</v>
      </c>
      <c r="K187" t="s">
        <v>2970</v>
      </c>
      <c r="L187" t="s">
        <v>120</v>
      </c>
      <c r="M187" t="s">
        <v>121</v>
      </c>
      <c r="N187" t="s">
        <v>27</v>
      </c>
      <c r="O187" t="s">
        <v>90</v>
      </c>
      <c r="P187" t="s">
        <v>666</v>
      </c>
      <c r="Q187" t="s">
        <v>30</v>
      </c>
      <c r="R187">
        <v>2</v>
      </c>
      <c r="S187" s="15">
        <v>1003.17</v>
      </c>
      <c r="T187" s="4">
        <v>0.2</v>
      </c>
      <c r="U187" s="3" t="str">
        <f>IF(T187&lt;0, "negative_discount", IF(AND(T187&gt;0.5, T187&lt;=1), "high_discount", ""))</f>
        <v/>
      </c>
      <c r="V187" s="11">
        <v>1605.07</v>
      </c>
      <c r="W187" s="12">
        <v>1605.07</v>
      </c>
      <c r="X187" s="11">
        <v>1337.28</v>
      </c>
      <c r="Y187" s="11">
        <v>267.79000000000002</v>
      </c>
      <c r="Z187" s="11">
        <f>ROUND(W187-X187,2)</f>
        <v>267.79000000000002</v>
      </c>
      <c r="AA187" s="4">
        <f>IF(W187=0,0,Z187/W187)</f>
        <v>0.16684007551072541</v>
      </c>
      <c r="AB187" t="s">
        <v>31</v>
      </c>
      <c r="AC187" t="s">
        <v>32</v>
      </c>
      <c r="AD187" t="str">
        <f>IF(AND(E187="", T187&gt;=0, T187&lt;=0.5, K187&lt;&gt;"Unknown", Q187&lt;&gt;"Unknown"), "CLEAN", _xlfn.CONCAT("WARNING: ", IF(E187&lt;&gt;"","invalid_date",""), IF(T187&lt;0,"negative_discount",""), IF(AND(T187&gt;0.5,T187&lt;=1),"high_discount",""), IF(K187="Unknown","missing_region",""), IF(Q187="Unknown","missing_ship_mode","")))</f>
        <v>WARNING: missing_region</v>
      </c>
      <c r="AE187" t="str">
        <f>IF(COUNTIF($AF$2:$AF$926,AF187)&gt;1,"DUPLICATE","UNIQUE")</f>
        <v>UNIQUE</v>
      </c>
      <c r="AF187" t="str">
        <f>A187&amp;"|"&amp;B187&amp;"|"&amp;H187&amp;"|"&amp;I187&amp;"|"&amp;R187&amp;"|"&amp;S187&amp;"|"&amp;V187</f>
        <v>ORD-2024-10186|2024-11-05|CUST-4968|Arjun Bose|2|1003.17|1605.07</v>
      </c>
      <c r="AG187" t="str">
        <f>IF(COUNTIF($A$2:$A$913,A187)&gt;1,"TRUE","FALSE")</f>
        <v>FALSE</v>
      </c>
    </row>
    <row r="188" spans="1:33">
      <c r="A188" t="s">
        <v>667</v>
      </c>
      <c r="B188" t="s">
        <v>290</v>
      </c>
      <c r="C188" t="s">
        <v>2693</v>
      </c>
      <c r="D188">
        <f>IF(OR(B188="", C188=""), "", (C188 - B188))</f>
        <v>1</v>
      </c>
      <c r="E188" t="str">
        <f>IF(C188&lt;B188, "INVALID: Ship date before order date", "")</f>
        <v/>
      </c>
      <c r="F188" t="str">
        <f>IF(B188="", "", TEXT(B188, "mmmm"))</f>
        <v>July</v>
      </c>
      <c r="G188">
        <f>IF(B188="", "", YEAR(B188))</f>
        <v>2024</v>
      </c>
      <c r="H188" t="s">
        <v>262</v>
      </c>
      <c r="I188" t="s">
        <v>71</v>
      </c>
      <c r="J188" t="s">
        <v>23</v>
      </c>
      <c r="K188" t="s">
        <v>53</v>
      </c>
      <c r="L188" t="s">
        <v>246</v>
      </c>
      <c r="M188" t="s">
        <v>247</v>
      </c>
      <c r="N188" t="s">
        <v>40</v>
      </c>
      <c r="O188" t="s">
        <v>41</v>
      </c>
      <c r="P188" t="s">
        <v>668</v>
      </c>
      <c r="Q188" t="s">
        <v>49</v>
      </c>
      <c r="R188">
        <v>7</v>
      </c>
      <c r="S188" s="15">
        <v>3608.43</v>
      </c>
      <c r="T188" s="4">
        <v>0.05</v>
      </c>
      <c r="U188" s="3" t="str">
        <f>IF(T188&lt;0, "negative_discount", IF(AND(T188&gt;0.5, T188&lt;=1), "high_discount", ""))</f>
        <v/>
      </c>
      <c r="V188" s="11">
        <v>23996.06</v>
      </c>
      <c r="W188" s="12">
        <v>23996.06</v>
      </c>
      <c r="X188" s="11">
        <v>20167.28</v>
      </c>
      <c r="Y188" s="11">
        <v>3828.78</v>
      </c>
      <c r="Z188" s="11">
        <f>ROUND(W188-X188,2)</f>
        <v>3828.78</v>
      </c>
      <c r="AA188" s="4">
        <f>IF(W188=0,0,Z188/W188)</f>
        <v>0.15955869421896762</v>
      </c>
      <c r="AB188" t="s">
        <v>31</v>
      </c>
      <c r="AC188" t="s">
        <v>32</v>
      </c>
      <c r="AD188" t="str">
        <f>IF(AND(E188="", T188&gt;=0, T188&lt;=0.5, K188&lt;&gt;"Unknown", Q188&lt;&gt;"Unknown"), "CLEAN", _xlfn.CONCAT("WARNING: ", IF(E188&lt;&gt;"","invalid_date",""), IF(T188&lt;0,"negative_discount",""), IF(AND(T188&gt;0.5,T188&lt;=1),"high_discount",""), IF(K188="Unknown","missing_region",""), IF(Q188="Unknown","missing_ship_mode","")))</f>
        <v>CLEAN</v>
      </c>
      <c r="AE188" t="str">
        <f>IF(COUNTIF($AF$2:$AF$926,AF188)&gt;1,"DUPLICATE","UNIQUE")</f>
        <v>UNIQUE</v>
      </c>
      <c r="AF188" t="str">
        <f>A188&amp;"|"&amp;B188&amp;"|"&amp;H188&amp;"|"&amp;I188&amp;"|"&amp;R188&amp;"|"&amp;S188&amp;"|"&amp;V188</f>
        <v>ORD-2024-10187|2024-07-19|CUST-2778|Vikram Iyer|7|3608.43|23996.06</v>
      </c>
      <c r="AG188" t="str">
        <f>IF(COUNTIF($A$2:$A$913,A188)&gt;1,"TRUE","FALSE")</f>
        <v>FALSE</v>
      </c>
    </row>
    <row r="189" spans="1:33">
      <c r="A189" t="s">
        <v>3052</v>
      </c>
      <c r="B189" t="s">
        <v>669</v>
      </c>
      <c r="C189" t="s">
        <v>2708</v>
      </c>
      <c r="D189">
        <f>IF(OR(B189="", C189=""), "", (C189 - B189))</f>
        <v>1</v>
      </c>
      <c r="E189" t="str">
        <f>IF(C189&lt;B189, "INVALID: Ship date before order date", "")</f>
        <v/>
      </c>
      <c r="F189" t="str">
        <f>IF(B189="", "", TEXT(B189, "mmmm"))</f>
        <v>May</v>
      </c>
      <c r="G189">
        <f>IF(B189="", "", YEAR(B189))</f>
        <v>2025</v>
      </c>
      <c r="H189" t="s">
        <v>670</v>
      </c>
      <c r="I189" t="s">
        <v>35</v>
      </c>
      <c r="J189" t="s">
        <v>23</v>
      </c>
      <c r="K189" t="s">
        <v>62</v>
      </c>
      <c r="L189" t="s">
        <v>72</v>
      </c>
      <c r="M189" t="s">
        <v>73</v>
      </c>
      <c r="N189" t="s">
        <v>40</v>
      </c>
      <c r="O189" t="s">
        <v>65</v>
      </c>
      <c r="P189" t="s">
        <v>671</v>
      </c>
      <c r="Q189" t="s">
        <v>43</v>
      </c>
      <c r="R189">
        <v>3</v>
      </c>
      <c r="S189" s="15">
        <v>2905.74</v>
      </c>
      <c r="T189" s="4">
        <v>0</v>
      </c>
      <c r="U189" s="3" t="str">
        <f>IF(T189&lt;0, "negative_discount", IF(AND(T189&gt;0.5, T189&lt;=1), "high_discount", ""))</f>
        <v/>
      </c>
      <c r="V189" s="11">
        <v>8717.2199999999993</v>
      </c>
      <c r="W189" s="12">
        <v>8717.2199999999993</v>
      </c>
      <c r="X189" s="11">
        <v>6215.96</v>
      </c>
      <c r="Y189" s="11">
        <v>2501.2600000000002</v>
      </c>
      <c r="Z189" s="11">
        <f>ROUND(W189-X189,2)</f>
        <v>2501.2600000000002</v>
      </c>
      <c r="AA189" s="4">
        <f>IF(W189=0,0,Z189/W189)</f>
        <v>0.28693321953558593</v>
      </c>
      <c r="AB189" t="s">
        <v>31</v>
      </c>
      <c r="AC189" t="s">
        <v>100</v>
      </c>
      <c r="AD189" t="str">
        <f>IF(AND(E189="", T189&gt;=0, T189&lt;=0.5, K189&lt;&gt;"Unknown", Q189&lt;&gt;"Unknown"), "CLEAN", _xlfn.CONCAT("WARNING: ", IF(E189&lt;&gt;"","invalid_date",""), IF(T189&lt;0,"negative_discount",""), IF(AND(T189&gt;0.5,T189&lt;=1),"high_discount",""), IF(K189="Unknown","missing_region",""), IF(Q189="Unknown","missing_ship_mode","")))</f>
        <v>CLEAN</v>
      </c>
      <c r="AE189" t="str">
        <f>IF(COUNTIF($AF$2:$AF$926,AF189)&gt;1,"DUPLICATE","UNIQUE")</f>
        <v>UNIQUE</v>
      </c>
      <c r="AF189" t="str">
        <f>A189&amp;"|"&amp;B189&amp;"|"&amp;H189&amp;"|"&amp;I189&amp;"|"&amp;R189&amp;"|"&amp;S189&amp;"|"&amp;V189</f>
        <v>ORD-2025-10188|2025-05-01|CUST-3109|Mira Das|3|2905.74|8717.22</v>
      </c>
      <c r="AG189" t="str">
        <f>IF(COUNTIF($A$2:$A$913,A189)&gt;1,"TRUE","FALSE")</f>
        <v>FALSE</v>
      </c>
    </row>
    <row r="190" spans="1:33">
      <c r="A190" t="s">
        <v>3053</v>
      </c>
      <c r="B190" t="s">
        <v>672</v>
      </c>
      <c r="C190" t="s">
        <v>1088</v>
      </c>
      <c r="D190">
        <f>IF(OR(B190="", C190=""), "", (C190 - B190))</f>
        <v>7</v>
      </c>
      <c r="E190" t="str">
        <f>IF(C190&lt;B190, "INVALID: Ship date before order date", "")</f>
        <v/>
      </c>
      <c r="F190" t="str">
        <f>IF(B190="", "", TEXT(B190, "mmmm"))</f>
        <v>May</v>
      </c>
      <c r="G190">
        <f>IF(B190="", "", YEAR(B190))</f>
        <v>2025</v>
      </c>
      <c r="H190" t="s">
        <v>673</v>
      </c>
      <c r="I190" t="s">
        <v>112</v>
      </c>
      <c r="J190" t="s">
        <v>89</v>
      </c>
      <c r="K190" t="s">
        <v>37</v>
      </c>
      <c r="L190" t="s">
        <v>96</v>
      </c>
      <c r="M190" t="s">
        <v>97</v>
      </c>
      <c r="N190" t="s">
        <v>40</v>
      </c>
      <c r="O190" t="s">
        <v>153</v>
      </c>
      <c r="P190" t="s">
        <v>674</v>
      </c>
      <c r="Q190" t="s">
        <v>43</v>
      </c>
      <c r="R190">
        <v>2</v>
      </c>
      <c r="S190" s="15">
        <v>3559.57</v>
      </c>
      <c r="T190" s="4">
        <v>0.1</v>
      </c>
      <c r="U190" s="3" t="str">
        <f>IF(T190&lt;0, "negative_discount", IF(AND(T190&gt;0.5, T190&lt;=1), "high_discount", ""))</f>
        <v/>
      </c>
      <c r="V190" s="11">
        <v>6553.95</v>
      </c>
      <c r="W190" s="12">
        <v>6407.23</v>
      </c>
      <c r="X190" s="11">
        <v>4923.09</v>
      </c>
      <c r="Y190" s="11">
        <v>1484.14</v>
      </c>
      <c r="Z190" s="11">
        <f>ROUND(W190-X190,2)</f>
        <v>1484.14</v>
      </c>
      <c r="AA190" s="4">
        <f>IF(W190=0,0,Z190/W190)</f>
        <v>0.2316351996104401</v>
      </c>
      <c r="AB190" t="s">
        <v>31</v>
      </c>
      <c r="AC190" t="s">
        <v>32</v>
      </c>
      <c r="AD190" t="str">
        <f>IF(AND(E190="", T190&gt;=0, T190&lt;=0.5, K190&lt;&gt;"Unknown", Q190&lt;&gt;"Unknown"), "CLEAN", _xlfn.CONCAT("WARNING: ", IF(E190&lt;&gt;"","invalid_date",""), IF(T190&lt;0,"negative_discount",""), IF(AND(T190&gt;0.5,T190&lt;=1),"high_discount",""), IF(K190="Unknown","missing_region",""), IF(Q190="Unknown","missing_ship_mode","")))</f>
        <v>CLEAN</v>
      </c>
      <c r="AE190" t="str">
        <f>IF(COUNTIF($AF$2:$AF$926,AF190)&gt;1,"DUPLICATE","UNIQUE")</f>
        <v>UNIQUE</v>
      </c>
      <c r="AF190" t="str">
        <f>A190&amp;"|"&amp;B190&amp;"|"&amp;H190&amp;"|"&amp;I190&amp;"|"&amp;R190&amp;"|"&amp;S190&amp;"|"&amp;V190</f>
        <v>ORD-2025-10189|2025-05-21|CUST-3422|Priya Menon|2|3559.57|6553.95</v>
      </c>
      <c r="AG190" t="str">
        <f>IF(COUNTIF($A$2:$A$913,A190)&gt;1,"TRUE","FALSE")</f>
        <v>FALSE</v>
      </c>
    </row>
    <row r="191" spans="1:33">
      <c r="A191" t="s">
        <v>3054</v>
      </c>
      <c r="B191" t="s">
        <v>675</v>
      </c>
      <c r="C191" t="s">
        <v>2802</v>
      </c>
      <c r="D191">
        <f>IF(OR(B191="", C191=""), "", (C191 - B191))</f>
        <v>1</v>
      </c>
      <c r="E191" t="str">
        <f>IF(C191&lt;B191, "INVALID: Ship date before order date", "")</f>
        <v/>
      </c>
      <c r="F191" t="str">
        <f>IF(B191="", "", TEXT(B191, "mmmm"))</f>
        <v>May</v>
      </c>
      <c r="G191">
        <f>IF(B191="", "", YEAR(B191))</f>
        <v>2025</v>
      </c>
      <c r="H191" t="s">
        <v>676</v>
      </c>
      <c r="I191" t="s">
        <v>52</v>
      </c>
      <c r="J191" t="s">
        <v>23</v>
      </c>
      <c r="K191" t="s">
        <v>62</v>
      </c>
      <c r="L191" t="s">
        <v>25</v>
      </c>
      <c r="M191" t="s">
        <v>107</v>
      </c>
      <c r="N191" t="s">
        <v>40</v>
      </c>
      <c r="O191" t="s">
        <v>153</v>
      </c>
      <c r="P191" t="s">
        <v>677</v>
      </c>
      <c r="Q191" t="s">
        <v>49</v>
      </c>
      <c r="R191">
        <v>9</v>
      </c>
      <c r="S191" s="15">
        <v>3318.24</v>
      </c>
      <c r="T191" s="4">
        <v>0</v>
      </c>
      <c r="U191" s="3" t="str">
        <f>IF(T191&lt;0, "negative_discount", IF(AND(T191&gt;0.5, T191&lt;=1), "high_discount", ""))</f>
        <v/>
      </c>
      <c r="V191" s="11">
        <v>25384.54</v>
      </c>
      <c r="W191" s="12">
        <v>29864.16</v>
      </c>
      <c r="X191" s="11">
        <v>16872.39</v>
      </c>
      <c r="Y191" s="11">
        <v>8512.15</v>
      </c>
      <c r="Z191" s="11">
        <f>ROUND(W191-X191,2)</f>
        <v>12991.77</v>
      </c>
      <c r="AA191" s="4">
        <f>IF(W191=0,0,Z191/W191)</f>
        <v>0.43502881045373454</v>
      </c>
      <c r="AB191" t="s">
        <v>31</v>
      </c>
      <c r="AC191" t="s">
        <v>32</v>
      </c>
      <c r="AD191" t="str">
        <f>IF(AND(E191="", T191&gt;=0, T191&lt;=0.5, K191&lt;&gt;"Unknown", Q191&lt;&gt;"Unknown"), "CLEAN", _xlfn.CONCAT("WARNING: ", IF(E191&lt;&gt;"","invalid_date",""), IF(T191&lt;0,"negative_discount",""), IF(AND(T191&gt;0.5,T191&lt;=1),"high_discount",""), IF(K191="Unknown","missing_region",""), IF(Q191="Unknown","missing_ship_mode","")))</f>
        <v>CLEAN</v>
      </c>
      <c r="AE191" t="str">
        <f>IF(COUNTIF($AF$2:$AF$926,AF191)&gt;1,"DUPLICATE","UNIQUE")</f>
        <v>UNIQUE</v>
      </c>
      <c r="AF191" t="str">
        <f>A191&amp;"|"&amp;B191&amp;"|"&amp;H191&amp;"|"&amp;I191&amp;"|"&amp;R191&amp;"|"&amp;S191&amp;"|"&amp;V191</f>
        <v>ORD-2025-10190|2025-05-06|CUST-3375|Arjun Bose|9|3318.24|25384.54</v>
      </c>
      <c r="AG191" t="str">
        <f>IF(COUNTIF($A$2:$A$913,A191)&gt;1,"TRUE","FALSE")</f>
        <v>FALSE</v>
      </c>
    </row>
    <row r="192" spans="1:33">
      <c r="A192" t="s">
        <v>3055</v>
      </c>
      <c r="B192" t="s">
        <v>2733</v>
      </c>
      <c r="C192" t="s">
        <v>2737</v>
      </c>
      <c r="D192">
        <f>IF(OR(B192="", C192=""), "", (C192 - B192))</f>
        <v>1</v>
      </c>
      <c r="E192" t="str">
        <f>IF(C192&lt;B192, "INVALID: Ship date before order date", "")</f>
        <v/>
      </c>
      <c r="F192" t="str">
        <f>IF(B192="", "", TEXT(B192, "mmmm"))</f>
        <v>April</v>
      </c>
      <c r="G192">
        <f>IF(B192="", "", YEAR(B192))</f>
        <v>2025</v>
      </c>
      <c r="H192" t="s">
        <v>678</v>
      </c>
      <c r="I192" t="s">
        <v>88</v>
      </c>
      <c r="J192" t="s">
        <v>23</v>
      </c>
      <c r="K192" t="s">
        <v>53</v>
      </c>
      <c r="L192" t="s">
        <v>246</v>
      </c>
      <c r="M192" t="s">
        <v>247</v>
      </c>
      <c r="N192" t="s">
        <v>27</v>
      </c>
      <c r="O192" t="s">
        <v>122</v>
      </c>
      <c r="P192" t="s">
        <v>679</v>
      </c>
      <c r="Q192" t="s">
        <v>49</v>
      </c>
      <c r="R192">
        <v>3</v>
      </c>
      <c r="S192" s="15">
        <v>540.09</v>
      </c>
      <c r="T192" s="4">
        <v>0.1</v>
      </c>
      <c r="U192" s="3" t="str">
        <f>IF(T192&lt;0, "negative_discount", IF(AND(T192&gt;0.5, T192&lt;=1), "high_discount", ""))</f>
        <v/>
      </c>
      <c r="V192" s="11">
        <v>1458.24</v>
      </c>
      <c r="W192" s="12">
        <v>1458.24</v>
      </c>
      <c r="X192" s="11">
        <v>943.32</v>
      </c>
      <c r="Y192" s="11">
        <v>514.91999999999996</v>
      </c>
      <c r="Z192" s="11">
        <f>ROUND(W192-X192,2)</f>
        <v>514.91999999999996</v>
      </c>
      <c r="AA192" s="4">
        <f>IF(W192=0,0,Z192/W192)</f>
        <v>0.35311059907834097</v>
      </c>
      <c r="AB192" t="s">
        <v>31</v>
      </c>
      <c r="AC192" t="s">
        <v>32</v>
      </c>
      <c r="AD192" t="str">
        <f>IF(AND(E192="", T192&gt;=0, T192&lt;=0.5, K192&lt;&gt;"Unknown", Q192&lt;&gt;"Unknown"), "CLEAN", _xlfn.CONCAT("WARNING: ", IF(E192&lt;&gt;"","invalid_date",""), IF(T192&lt;0,"negative_discount",""), IF(AND(T192&gt;0.5,T192&lt;=1),"high_discount",""), IF(K192="Unknown","missing_region",""), IF(Q192="Unknown","missing_ship_mode","")))</f>
        <v>CLEAN</v>
      </c>
      <c r="AE192" t="str">
        <f>IF(COUNTIF($AF$2:$AF$926,AF192)&gt;1,"DUPLICATE","UNIQUE")</f>
        <v>UNIQUE</v>
      </c>
      <c r="AF192" t="str">
        <f>A192&amp;"|"&amp;B192&amp;"|"&amp;H192&amp;"|"&amp;I192&amp;"|"&amp;R192&amp;"|"&amp;S192&amp;"|"&amp;V192</f>
        <v>ORD-2025-10191|2025-04-20|CUST-5138|Aditi Sen|3|540.09|1458.24</v>
      </c>
      <c r="AG192" t="str">
        <f>IF(COUNTIF($A$2:$A$913,A192)&gt;1,"TRUE","FALSE")</f>
        <v>FALSE</v>
      </c>
    </row>
    <row r="193" spans="1:33">
      <c r="A193" t="s">
        <v>680</v>
      </c>
      <c r="B193" t="s">
        <v>161</v>
      </c>
      <c r="C193" t="s">
        <v>441</v>
      </c>
      <c r="D193">
        <f>IF(OR(B193="", C193=""), "", (C193 - B193))</f>
        <v>5</v>
      </c>
      <c r="E193" t="str">
        <f>IF(C193&lt;B193, "INVALID: Ship date before order date", "")</f>
        <v/>
      </c>
      <c r="F193" t="str">
        <f>IF(B193="", "", TEXT(B193, "mmmm"))</f>
        <v>October</v>
      </c>
      <c r="G193">
        <f>IF(B193="", "", YEAR(B193))</f>
        <v>2024</v>
      </c>
      <c r="H193" t="s">
        <v>681</v>
      </c>
      <c r="I193" t="s">
        <v>131</v>
      </c>
      <c r="J193" t="s">
        <v>36</v>
      </c>
      <c r="K193" t="s">
        <v>53</v>
      </c>
      <c r="L193" t="s">
        <v>246</v>
      </c>
      <c r="M193" t="s">
        <v>247</v>
      </c>
      <c r="N193" t="s">
        <v>40</v>
      </c>
      <c r="O193" t="s">
        <v>153</v>
      </c>
      <c r="P193" t="s">
        <v>682</v>
      </c>
      <c r="Q193" t="s">
        <v>30</v>
      </c>
      <c r="R193">
        <v>6</v>
      </c>
      <c r="S193" s="15">
        <v>4308.3999999999996</v>
      </c>
      <c r="T193" s="4">
        <v>0.65</v>
      </c>
      <c r="U193" s="3" t="str">
        <f>IF(T193&lt;0, "negative_discount", IF(AND(T193&gt;0.5, T193&lt;=1), "high_discount", ""))</f>
        <v>high_discount</v>
      </c>
      <c r="V193" s="11">
        <v>25850.400000000001</v>
      </c>
      <c r="W193" s="12">
        <v>9047.64</v>
      </c>
      <c r="X193" s="11">
        <v>19397.68</v>
      </c>
      <c r="Y193" s="11">
        <v>6452.72</v>
      </c>
      <c r="Z193" s="11">
        <f>ROUND(W193-X193,2)</f>
        <v>-10350.040000000001</v>
      </c>
      <c r="AA193" s="4">
        <f>IF(W193=0,0,Z193/W193)</f>
        <v>-1.1439491403283069</v>
      </c>
      <c r="AB193" t="s">
        <v>31</v>
      </c>
      <c r="AC193" t="s">
        <v>32</v>
      </c>
      <c r="AD193" t="str">
        <f>IF(AND(E193="", T193&gt;=0, T193&lt;=0.5, K193&lt;&gt;"Unknown", Q193&lt;&gt;"Unknown"), "CLEAN", _xlfn.CONCAT("WARNING: ", IF(E193&lt;&gt;"","invalid_date",""), IF(T193&lt;0,"negative_discount",""), IF(AND(T193&gt;0.5,T193&lt;=1),"high_discount",""), IF(K193="Unknown","missing_region",""), IF(Q193="Unknown","missing_ship_mode","")))</f>
        <v>WARNING: high_discount</v>
      </c>
      <c r="AE193" t="str">
        <f>IF(COUNTIF($AF$2:$AF$926,AF193)&gt;1,"DUPLICATE","UNIQUE")</f>
        <v>UNIQUE</v>
      </c>
      <c r="AF193" t="str">
        <f>A193&amp;"|"&amp;B193&amp;"|"&amp;H193&amp;"|"&amp;I193&amp;"|"&amp;R193&amp;"|"&amp;S193&amp;"|"&amp;V193</f>
        <v>ORD-2024-10192|2024-10-19|CUST-7410|Sneha Kapoor|6|4308.4|25850.4</v>
      </c>
      <c r="AG193" t="str">
        <f>IF(COUNTIF($A$2:$A$913,A193)&gt;1,"TRUE","FALSE")</f>
        <v>FALSE</v>
      </c>
    </row>
    <row r="194" spans="1:33">
      <c r="A194" t="s">
        <v>683</v>
      </c>
      <c r="B194" t="s">
        <v>684</v>
      </c>
      <c r="C194" t="s">
        <v>2908</v>
      </c>
      <c r="D194">
        <f>IF(OR(B194="", C194=""), "", (C194 - B194))</f>
        <v>7</v>
      </c>
      <c r="E194" t="str">
        <f>IF(C194&lt;B194, "INVALID: Ship date before order date", "")</f>
        <v/>
      </c>
      <c r="F194" t="str">
        <f>IF(B194="", "", TEXT(B194, "mmmm"))</f>
        <v>December</v>
      </c>
      <c r="G194">
        <f>IF(B194="", "", YEAR(B194))</f>
        <v>2024</v>
      </c>
      <c r="H194" t="s">
        <v>685</v>
      </c>
      <c r="I194" t="s">
        <v>46</v>
      </c>
      <c r="J194" t="s">
        <v>93</v>
      </c>
      <c r="K194" t="s">
        <v>62</v>
      </c>
      <c r="L194" t="s">
        <v>176</v>
      </c>
      <c r="M194" t="s">
        <v>177</v>
      </c>
      <c r="N194" t="s">
        <v>40</v>
      </c>
      <c r="O194" t="s">
        <v>65</v>
      </c>
      <c r="P194" t="s">
        <v>686</v>
      </c>
      <c r="Q194" t="s">
        <v>49</v>
      </c>
      <c r="R194">
        <v>4</v>
      </c>
      <c r="S194" s="15">
        <v>2191.0300000000002</v>
      </c>
      <c r="T194" s="4">
        <v>0</v>
      </c>
      <c r="U194" s="3" t="str">
        <f>IF(T194&lt;0, "negative_discount", IF(AND(T194&gt;0.5, T194&lt;=1), "high_discount", ""))</f>
        <v/>
      </c>
      <c r="V194" s="11">
        <v>8764.1200000000008</v>
      </c>
      <c r="W194" s="12">
        <v>8764.1200000000008</v>
      </c>
      <c r="X194" s="11">
        <v>7220.05</v>
      </c>
      <c r="Y194" s="11">
        <v>1544.07</v>
      </c>
      <c r="Z194" s="11">
        <f>ROUND(W194-X194,2)</f>
        <v>1544.07</v>
      </c>
      <c r="AA194" s="4">
        <f>IF(W194=0,0,Z194/W194)</f>
        <v>0.17618083732308545</v>
      </c>
      <c r="AB194" t="s">
        <v>31</v>
      </c>
      <c r="AC194" t="s">
        <v>32</v>
      </c>
      <c r="AD194" t="str">
        <f>IF(AND(E194="", T194&gt;=0, T194&lt;=0.5, K194&lt;&gt;"Unknown", Q194&lt;&gt;"Unknown"), "CLEAN", _xlfn.CONCAT("WARNING: ", IF(E194&lt;&gt;"","invalid_date",""), IF(T194&lt;0,"negative_discount",""), IF(AND(T194&gt;0.5,T194&lt;=1),"high_discount",""), IF(K194="Unknown","missing_region",""), IF(Q194="Unknown","missing_ship_mode","")))</f>
        <v>CLEAN</v>
      </c>
      <c r="AE194" t="str">
        <f>IF(COUNTIF($AF$2:$AF$926,AF194)&gt;1,"DUPLICATE","UNIQUE")</f>
        <v>UNIQUE</v>
      </c>
      <c r="AF194" t="str">
        <f>A194&amp;"|"&amp;B194&amp;"|"&amp;H194&amp;"|"&amp;I194&amp;"|"&amp;R194&amp;"|"&amp;S194&amp;"|"&amp;V194</f>
        <v>ORD-2024-10193|2024-12-09|CUST-7115|Isha Nair|4|2191.03|8764.12</v>
      </c>
      <c r="AG194" t="str">
        <f>IF(COUNTIF($A$2:$A$913,A194)&gt;1,"TRUE","FALSE")</f>
        <v>FALSE</v>
      </c>
    </row>
    <row r="195" spans="1:33">
      <c r="A195" t="s">
        <v>687</v>
      </c>
      <c r="B195" t="s">
        <v>688</v>
      </c>
      <c r="C195" t="s">
        <v>2915</v>
      </c>
      <c r="D195">
        <f>IF(OR(B195="", C195=""), "", (C195 - B195))</f>
        <v>5</v>
      </c>
      <c r="E195" t="str">
        <f>IF(C195&lt;B195, "INVALID: Ship date before order date", "")</f>
        <v/>
      </c>
      <c r="F195" t="str">
        <f>IF(B195="", "", TEXT(B195, "mmmm"))</f>
        <v>June</v>
      </c>
      <c r="G195">
        <f>IF(B195="", "", YEAR(B195))</f>
        <v>2024</v>
      </c>
      <c r="H195" t="s">
        <v>689</v>
      </c>
      <c r="I195" t="s">
        <v>112</v>
      </c>
      <c r="J195" t="s">
        <v>36</v>
      </c>
      <c r="K195" t="s">
        <v>24</v>
      </c>
      <c r="L195" t="s">
        <v>120</v>
      </c>
      <c r="M195" t="s">
        <v>121</v>
      </c>
      <c r="N195" t="s">
        <v>74</v>
      </c>
      <c r="O195" t="s">
        <v>79</v>
      </c>
      <c r="P195" t="s">
        <v>690</v>
      </c>
      <c r="Q195" t="s">
        <v>43</v>
      </c>
      <c r="R195">
        <v>6</v>
      </c>
      <c r="S195" s="15">
        <v>1956.63</v>
      </c>
      <c r="T195" s="4">
        <v>0.2</v>
      </c>
      <c r="U195" s="3" t="str">
        <f>IF(T195&lt;0, "negative_discount", IF(AND(T195&gt;0.5, T195&lt;=1), "high_discount", ""))</f>
        <v/>
      </c>
      <c r="V195" s="11">
        <v>9391.82</v>
      </c>
      <c r="W195" s="12">
        <v>9391.82</v>
      </c>
      <c r="X195" s="11">
        <v>6013.22</v>
      </c>
      <c r="Y195" s="11">
        <v>3378.6</v>
      </c>
      <c r="Z195" s="11">
        <f>ROUND(W195-X195,2)</f>
        <v>3378.6</v>
      </c>
      <c r="AA195" s="4">
        <f>IF(W195=0,0,Z195/W195)</f>
        <v>0.3597385810205051</v>
      </c>
      <c r="AB195" t="s">
        <v>99</v>
      </c>
      <c r="AC195" t="s">
        <v>100</v>
      </c>
      <c r="AD195" t="str">
        <f>IF(AND(E195="", T195&gt;=0, T195&lt;=0.5, K195&lt;&gt;"Unknown", Q195&lt;&gt;"Unknown"), "CLEAN", _xlfn.CONCAT("WARNING: ", IF(E195&lt;&gt;"","invalid_date",""), IF(T195&lt;0,"negative_discount",""), IF(AND(T195&gt;0.5,T195&lt;=1),"high_discount",""), IF(K195="Unknown","missing_region",""), IF(Q195="Unknown","missing_ship_mode","")))</f>
        <v>CLEAN</v>
      </c>
      <c r="AE195" t="str">
        <f>IF(COUNTIF($AF$2:$AF$926,AF195)&gt;1,"DUPLICATE","UNIQUE")</f>
        <v>UNIQUE</v>
      </c>
      <c r="AF195" t="str">
        <f>A195&amp;"|"&amp;B195&amp;"|"&amp;H195&amp;"|"&amp;I195&amp;"|"&amp;R195&amp;"|"&amp;S195&amp;"|"&amp;V195</f>
        <v>ORD-2024-10194|2024-06-23|CUST-9853|Priya Menon|6|1956.63|9391.82</v>
      </c>
      <c r="AG195" t="str">
        <f>IF(COUNTIF($A$2:$A$913,A195)&gt;1,"TRUE","FALSE")</f>
        <v>FALSE</v>
      </c>
    </row>
    <row r="196" spans="1:33">
      <c r="A196" t="s">
        <v>3056</v>
      </c>
      <c r="B196" t="s">
        <v>691</v>
      </c>
      <c r="C196" t="s">
        <v>197</v>
      </c>
      <c r="D196">
        <f>IF(OR(B196="", C196=""), "", (C196 - B196))</f>
        <v>3</v>
      </c>
      <c r="E196" t="str">
        <f>IF(C196&lt;B196, "INVALID: Ship date before order date", "")</f>
        <v/>
      </c>
      <c r="F196" t="str">
        <f>IF(B196="", "", TEXT(B196, "mmmm"))</f>
        <v>January</v>
      </c>
      <c r="G196">
        <f>IF(B196="", "", YEAR(B196))</f>
        <v>2025</v>
      </c>
      <c r="H196" t="s">
        <v>692</v>
      </c>
      <c r="I196" t="s">
        <v>112</v>
      </c>
      <c r="J196" t="s">
        <v>23</v>
      </c>
      <c r="K196" t="s">
        <v>62</v>
      </c>
      <c r="L196" t="s">
        <v>63</v>
      </c>
      <c r="M196" t="s">
        <v>64</v>
      </c>
      <c r="N196" t="s">
        <v>40</v>
      </c>
      <c r="O196" t="s">
        <v>56</v>
      </c>
      <c r="P196" t="s">
        <v>693</v>
      </c>
      <c r="Q196" t="s">
        <v>49</v>
      </c>
      <c r="R196">
        <v>9</v>
      </c>
      <c r="S196" s="15">
        <v>858.39</v>
      </c>
      <c r="T196" s="4">
        <v>0.05</v>
      </c>
      <c r="U196" s="3" t="str">
        <f>IF(T196&lt;0, "negative_discount", IF(AND(T196&gt;0.5, T196&lt;=1), "high_discount", ""))</f>
        <v/>
      </c>
      <c r="V196" s="11">
        <v>7339.23</v>
      </c>
      <c r="W196" s="12">
        <v>7339.23</v>
      </c>
      <c r="X196" s="11">
        <v>5434.12</v>
      </c>
      <c r="Y196" s="11">
        <v>1905.11</v>
      </c>
      <c r="Z196" s="11">
        <f>ROUND(W196-X196,2)</f>
        <v>1905.11</v>
      </c>
      <c r="AA196" s="4">
        <f>IF(W196=0,0,Z196/W196)</f>
        <v>0.25957900215690199</v>
      </c>
      <c r="AB196" t="s">
        <v>109</v>
      </c>
      <c r="AC196" t="s">
        <v>100</v>
      </c>
      <c r="AD196" t="str">
        <f>IF(AND(E196="", T196&gt;=0, T196&lt;=0.5, K196&lt;&gt;"Unknown", Q196&lt;&gt;"Unknown"), "CLEAN", _xlfn.CONCAT("WARNING: ", IF(E196&lt;&gt;"","invalid_date",""), IF(T196&lt;0,"negative_discount",""), IF(AND(T196&gt;0.5,T196&lt;=1),"high_discount",""), IF(K196="Unknown","missing_region",""), IF(Q196="Unknown","missing_ship_mode","")))</f>
        <v>CLEAN</v>
      </c>
      <c r="AE196" t="str">
        <f>IF(COUNTIF($AF$2:$AF$926,AF196)&gt;1,"DUPLICATE","UNIQUE")</f>
        <v>UNIQUE</v>
      </c>
      <c r="AF196" t="str">
        <f>A196&amp;"|"&amp;B196&amp;"|"&amp;H196&amp;"|"&amp;I196&amp;"|"&amp;R196&amp;"|"&amp;S196&amp;"|"&amp;V196</f>
        <v>ORD-2025-10195|2025-01-28|CUST-3637|Priya Menon|9|858.39|7339.23</v>
      </c>
      <c r="AG196" t="str">
        <f>IF(COUNTIF($A$2:$A$913,A196)&gt;1,"TRUE","FALSE")</f>
        <v>FALSE</v>
      </c>
    </row>
    <row r="197" spans="1:33">
      <c r="A197" t="s">
        <v>3057</v>
      </c>
      <c r="B197" t="s">
        <v>1068</v>
      </c>
      <c r="C197" t="s">
        <v>595</v>
      </c>
      <c r="D197">
        <f>IF(OR(B197="", C197=""), "", (C197 - B197))</f>
        <v>2</v>
      </c>
      <c r="E197" t="str">
        <f>IF(C197&lt;B197, "INVALID: Ship date before order date", "")</f>
        <v/>
      </c>
      <c r="F197" t="str">
        <f>IF(B197="", "", TEXT(B197, "mmmm"))</f>
        <v>July</v>
      </c>
      <c r="G197">
        <f>IF(B197="", "", YEAR(B197))</f>
        <v>2025</v>
      </c>
      <c r="H197" t="s">
        <v>694</v>
      </c>
      <c r="I197" t="s">
        <v>78</v>
      </c>
      <c r="J197" t="s">
        <v>93</v>
      </c>
      <c r="K197" t="s">
        <v>53</v>
      </c>
      <c r="L197" t="s">
        <v>83</v>
      </c>
      <c r="M197" t="s">
        <v>84</v>
      </c>
      <c r="N197" t="s">
        <v>40</v>
      </c>
      <c r="O197" t="s">
        <v>56</v>
      </c>
      <c r="P197" t="s">
        <v>695</v>
      </c>
      <c r="Q197" t="s">
        <v>43</v>
      </c>
      <c r="R197">
        <v>5</v>
      </c>
      <c r="S197" s="15">
        <v>1922.83</v>
      </c>
      <c r="T197" s="4">
        <v>0</v>
      </c>
      <c r="U197" s="3" t="str">
        <f>IF(T197&lt;0, "negative_discount", IF(AND(T197&gt;0.5, T197&lt;=1), "high_discount", ""))</f>
        <v/>
      </c>
      <c r="V197" s="11">
        <v>9614.15</v>
      </c>
      <c r="W197" s="12">
        <v>9614.15</v>
      </c>
      <c r="X197" s="11">
        <v>7576.84</v>
      </c>
      <c r="Y197" s="11">
        <v>2037.31</v>
      </c>
      <c r="Z197" s="11">
        <f>ROUND(W197-X197,2)</f>
        <v>2037.31</v>
      </c>
      <c r="AA197" s="4">
        <f>IF(W197=0,0,Z197/W197)</f>
        <v>0.21190744891644087</v>
      </c>
      <c r="AB197" t="s">
        <v>31</v>
      </c>
      <c r="AC197" t="s">
        <v>32</v>
      </c>
      <c r="AD197" t="str">
        <f>IF(AND(E197="", T197&gt;=0, T197&lt;=0.5, K197&lt;&gt;"Unknown", Q197&lt;&gt;"Unknown"), "CLEAN", _xlfn.CONCAT("WARNING: ", IF(E197&lt;&gt;"","invalid_date",""), IF(T197&lt;0,"negative_discount",""), IF(AND(T197&gt;0.5,T197&lt;=1),"high_discount",""), IF(K197="Unknown","missing_region",""), IF(Q197="Unknown","missing_ship_mode","")))</f>
        <v>CLEAN</v>
      </c>
      <c r="AE197" t="str">
        <f>IF(COUNTIF($AF$2:$AF$926,AF197)&gt;1,"DUPLICATE","UNIQUE")</f>
        <v>UNIQUE</v>
      </c>
      <c r="AF197" t="str">
        <f>A197&amp;"|"&amp;B197&amp;"|"&amp;H197&amp;"|"&amp;I197&amp;"|"&amp;R197&amp;"|"&amp;S197&amp;"|"&amp;V197</f>
        <v>ORD-2025-10196|2025-07-22|CUST-4328|Neha Gupta|5|1922.83|9614.15</v>
      </c>
      <c r="AG197" t="str">
        <f>IF(COUNTIF($A$2:$A$913,A197)&gt;1,"TRUE","FALSE")</f>
        <v>FALSE</v>
      </c>
    </row>
    <row r="198" spans="1:33">
      <c r="A198" t="s">
        <v>696</v>
      </c>
      <c r="B198" t="s">
        <v>1312</v>
      </c>
      <c r="C198" t="s">
        <v>300</v>
      </c>
      <c r="D198">
        <f>IF(OR(B198="", C198=""), "", (C198 - B198))</f>
        <v>3</v>
      </c>
      <c r="E198" t="str">
        <f>IF(C198&lt;B198, "INVALID: Ship date before order date", "")</f>
        <v/>
      </c>
      <c r="F198" t="str">
        <f>IF(B198="", "", TEXT(B198, "mmmm"))</f>
        <v>January</v>
      </c>
      <c r="G198">
        <f>IF(B198="", "", YEAR(B198))</f>
        <v>2024</v>
      </c>
      <c r="H198" t="s">
        <v>697</v>
      </c>
      <c r="I198" t="s">
        <v>263</v>
      </c>
      <c r="J198" t="s">
        <v>93</v>
      </c>
      <c r="K198" t="s">
        <v>24</v>
      </c>
      <c r="L198" t="s">
        <v>134</v>
      </c>
      <c r="M198" t="s">
        <v>135</v>
      </c>
      <c r="N198" t="s">
        <v>27</v>
      </c>
      <c r="O198" t="s">
        <v>122</v>
      </c>
      <c r="P198" t="s">
        <v>698</v>
      </c>
      <c r="Q198" t="s">
        <v>49</v>
      </c>
      <c r="R198">
        <v>3</v>
      </c>
      <c r="S198" s="15">
        <v>1212.03</v>
      </c>
      <c r="T198" s="4">
        <v>0.1</v>
      </c>
      <c r="U198" s="3" t="str">
        <f>IF(T198&lt;0, "negative_discount", IF(AND(T198&gt;0.5, T198&lt;=1), "high_discount", ""))</f>
        <v/>
      </c>
      <c r="V198" s="11">
        <v>3272.48</v>
      </c>
      <c r="W198" s="12">
        <v>3272.48</v>
      </c>
      <c r="X198" s="11">
        <v>2517.44</v>
      </c>
      <c r="Y198" s="11">
        <v>755.04</v>
      </c>
      <c r="Z198" s="11">
        <f>ROUND(W198-X198,2)</f>
        <v>755.04</v>
      </c>
      <c r="AA198" s="4">
        <f>IF(W198=0,0,Z198/W198)</f>
        <v>0.23072409915415831</v>
      </c>
      <c r="AB198" t="s">
        <v>31</v>
      </c>
      <c r="AC198" t="s">
        <v>32</v>
      </c>
      <c r="AD198" t="str">
        <f>IF(AND(E198="", T198&gt;=0, T198&lt;=0.5, K198&lt;&gt;"Unknown", Q198&lt;&gt;"Unknown"), "CLEAN", _xlfn.CONCAT("WARNING: ", IF(E198&lt;&gt;"","invalid_date",""), IF(T198&lt;0,"negative_discount",""), IF(AND(T198&gt;0.5,T198&lt;=1),"high_discount",""), IF(K198="Unknown","missing_region",""), IF(Q198="Unknown","missing_ship_mode","")))</f>
        <v>CLEAN</v>
      </c>
      <c r="AE198" t="str">
        <f>IF(COUNTIF($AF$2:$AF$926,AF198)&gt;1,"DUPLICATE","UNIQUE")</f>
        <v>UNIQUE</v>
      </c>
      <c r="AF198" t="str">
        <f>A198&amp;"|"&amp;B198&amp;"|"&amp;H198&amp;"|"&amp;I198&amp;"|"&amp;R198&amp;"|"&amp;S198&amp;"|"&amp;V198</f>
        <v>ORD-2024-10197|2024-01-22|CUST-8028|Kabir Singh|3|1212.03|3272.48</v>
      </c>
      <c r="AG198" t="str">
        <f>IF(COUNTIF($A$2:$A$913,A198)&gt;1,"TRUE","FALSE")</f>
        <v>FALSE</v>
      </c>
    </row>
    <row r="199" spans="1:33">
      <c r="A199" t="s">
        <v>3058</v>
      </c>
      <c r="B199" t="s">
        <v>265</v>
      </c>
      <c r="C199" t="s">
        <v>1554</v>
      </c>
      <c r="D199">
        <f>IF(OR(B199="", C199=""), "", (C199 - B199))</f>
        <v>95</v>
      </c>
      <c r="E199" t="str">
        <f>IF(C199&lt;B199, "INVALID: Ship date before order date", "")</f>
        <v/>
      </c>
      <c r="F199" t="str">
        <f>IF(B199="", "", TEXT(B199, "mmmm"))</f>
        <v>March</v>
      </c>
      <c r="G199">
        <f>IF(B199="", "", YEAR(B199))</f>
        <v>2025</v>
      </c>
      <c r="H199" t="s">
        <v>393</v>
      </c>
      <c r="I199" t="s">
        <v>116</v>
      </c>
      <c r="J199" t="s">
        <v>36</v>
      </c>
      <c r="K199" t="s">
        <v>37</v>
      </c>
      <c r="L199" t="s">
        <v>142</v>
      </c>
      <c r="M199" t="s">
        <v>143</v>
      </c>
      <c r="N199" t="s">
        <v>27</v>
      </c>
      <c r="O199" t="s">
        <v>122</v>
      </c>
      <c r="P199" t="s">
        <v>699</v>
      </c>
      <c r="Q199" t="s">
        <v>30</v>
      </c>
      <c r="R199">
        <v>5</v>
      </c>
      <c r="S199" s="15">
        <v>4096.4399999999996</v>
      </c>
      <c r="T199" s="4">
        <v>0.15</v>
      </c>
      <c r="U199" s="3" t="str">
        <f>IF(T199&lt;0, "negative_discount", IF(AND(T199&gt;0.5, T199&lt;=1), "high_discount", ""))</f>
        <v/>
      </c>
      <c r="V199" s="11">
        <v>17409.87</v>
      </c>
      <c r="W199" s="12">
        <v>17409.87</v>
      </c>
      <c r="X199" s="11">
        <v>14076.25</v>
      </c>
      <c r="Y199" s="11">
        <v>3333.62</v>
      </c>
      <c r="Z199" s="11">
        <f>ROUND(W199-X199,2)</f>
        <v>3333.62</v>
      </c>
      <c r="AA199" s="4">
        <f>IF(W199=0,0,Z199/W199)</f>
        <v>0.19147874165631334</v>
      </c>
      <c r="AB199" t="s">
        <v>31</v>
      </c>
      <c r="AC199" t="s">
        <v>32</v>
      </c>
      <c r="AD199" t="str">
        <f>IF(AND(E199="", T199&gt;=0, T199&lt;=0.5, K199&lt;&gt;"Unknown", Q199&lt;&gt;"Unknown"), "CLEAN", _xlfn.CONCAT("WARNING: ", IF(E199&lt;&gt;"","invalid_date",""), IF(T199&lt;0,"negative_discount",""), IF(AND(T199&gt;0.5,T199&lt;=1),"high_discount",""), IF(K199="Unknown","missing_region",""), IF(Q199="Unknown","missing_ship_mode","")))</f>
        <v>CLEAN</v>
      </c>
      <c r="AE199" t="str">
        <f>IF(COUNTIF($AF$2:$AF$926,AF199)&gt;1,"DUPLICATE","UNIQUE")</f>
        <v>UNIQUE</v>
      </c>
      <c r="AF199" t="str">
        <f>A199&amp;"|"&amp;B199&amp;"|"&amp;H199&amp;"|"&amp;I199&amp;"|"&amp;R199&amp;"|"&amp;S199&amp;"|"&amp;V199</f>
        <v>ORD-2025-10198|2025-03-31|CUST-6106|Rahul Verma|5|4096.44|17409.87</v>
      </c>
      <c r="AG199" t="str">
        <f>IF(COUNTIF($A$2:$A$913,A199)&gt;1,"TRUE","FALSE")</f>
        <v>FALSE</v>
      </c>
    </row>
    <row r="200" spans="1:33">
      <c r="A200" t="s">
        <v>700</v>
      </c>
      <c r="B200" t="s">
        <v>2734</v>
      </c>
      <c r="C200" t="s">
        <v>2789</v>
      </c>
      <c r="D200">
        <f>IF(OR(B200="", C200=""), "", (C200 - B200))</f>
        <v>31</v>
      </c>
      <c r="E200" t="str">
        <f>IF(C200&lt;B200, "INVALID: Ship date before order date", "")</f>
        <v/>
      </c>
      <c r="F200" t="str">
        <f>IF(B200="", "", TEXT(B200, "mmmm"))</f>
        <v>May</v>
      </c>
      <c r="G200">
        <f>IF(B200="", "", YEAR(B200))</f>
        <v>2024</v>
      </c>
      <c r="H200" t="s">
        <v>701</v>
      </c>
      <c r="I200" t="s">
        <v>131</v>
      </c>
      <c r="J200" t="s">
        <v>23</v>
      </c>
      <c r="K200" t="s">
        <v>62</v>
      </c>
      <c r="L200" t="s">
        <v>176</v>
      </c>
      <c r="M200" t="s">
        <v>177</v>
      </c>
      <c r="N200" t="s">
        <v>27</v>
      </c>
      <c r="O200" t="s">
        <v>47</v>
      </c>
      <c r="P200" t="s">
        <v>702</v>
      </c>
      <c r="Q200" t="s">
        <v>30</v>
      </c>
      <c r="R200">
        <v>1</v>
      </c>
      <c r="S200" s="15">
        <v>1184.58</v>
      </c>
      <c r="T200" s="4">
        <v>0.05</v>
      </c>
      <c r="U200" s="3" t="str">
        <f>IF(T200&lt;0, "negative_discount", IF(AND(T200&gt;0.5, T200&lt;=1), "high_discount", ""))</f>
        <v/>
      </c>
      <c r="V200" s="11">
        <v>1125.3499999999999</v>
      </c>
      <c r="W200" s="12">
        <v>1125.3499999999999</v>
      </c>
      <c r="X200" s="11">
        <v>676.97</v>
      </c>
      <c r="Y200" s="11">
        <v>448.38</v>
      </c>
      <c r="Z200" s="11">
        <f>ROUND(W200-X200,2)</f>
        <v>448.38</v>
      </c>
      <c r="AA200" s="4">
        <f>IF(W200=0,0,Z200/W200)</f>
        <v>0.39843604212022932</v>
      </c>
      <c r="AB200" t="s">
        <v>151</v>
      </c>
      <c r="AC200" t="s">
        <v>67</v>
      </c>
      <c r="AD200" t="str">
        <f>IF(AND(E200="", T200&gt;=0, T200&lt;=0.5, K200&lt;&gt;"Unknown", Q200&lt;&gt;"Unknown"), "CLEAN", _xlfn.CONCAT("WARNING: ", IF(E200&lt;&gt;"","invalid_date",""), IF(T200&lt;0,"negative_discount",""), IF(AND(T200&gt;0.5,T200&lt;=1),"high_discount",""), IF(K200="Unknown","missing_region",""), IF(Q200="Unknown","missing_ship_mode","")))</f>
        <v>CLEAN</v>
      </c>
      <c r="AE200" t="str">
        <f>IF(COUNTIF($AF$2:$AF$926,AF200)&gt;1,"DUPLICATE","UNIQUE")</f>
        <v>UNIQUE</v>
      </c>
      <c r="AF200" t="str">
        <f>A200&amp;"|"&amp;B200&amp;"|"&amp;H200&amp;"|"&amp;I200&amp;"|"&amp;R200&amp;"|"&amp;S200&amp;"|"&amp;V200</f>
        <v>ORD-2024-10199|2024-05-06|CUST-7820|Sneha Kapoor|1|1184.58|1125.35</v>
      </c>
      <c r="AG200" t="str">
        <f>IF(COUNTIF($A$2:$A$913,A200)&gt;1,"TRUE","FALSE")</f>
        <v>FALSE</v>
      </c>
    </row>
    <row r="201" spans="1:33">
      <c r="A201" t="s">
        <v>703</v>
      </c>
      <c r="B201" t="s">
        <v>565</v>
      </c>
      <c r="C201" t="s">
        <v>2872</v>
      </c>
      <c r="D201">
        <f>IF(OR(B201="", C201=""), "", (C201 - B201))</f>
        <v>266</v>
      </c>
      <c r="E201" t="str">
        <f>IF(C201&lt;B201, "INVALID: Ship date before order date", "")</f>
        <v/>
      </c>
      <c r="F201" t="str">
        <f>IF(B201="", "", TEXT(B201, "mmmm"))</f>
        <v>March</v>
      </c>
      <c r="G201">
        <f>IF(B201="", "", YEAR(B201))</f>
        <v>2024</v>
      </c>
      <c r="H201" t="s">
        <v>704</v>
      </c>
      <c r="I201" t="s">
        <v>116</v>
      </c>
      <c r="J201" t="s">
        <v>93</v>
      </c>
      <c r="K201" t="s">
        <v>37</v>
      </c>
      <c r="L201" t="s">
        <v>142</v>
      </c>
      <c r="M201" t="s">
        <v>143</v>
      </c>
      <c r="N201" t="s">
        <v>74</v>
      </c>
      <c r="O201" t="s">
        <v>272</v>
      </c>
      <c r="P201" t="s">
        <v>705</v>
      </c>
      <c r="Q201" t="s">
        <v>2970</v>
      </c>
      <c r="R201">
        <v>6</v>
      </c>
      <c r="S201" s="15">
        <v>2185.58</v>
      </c>
      <c r="T201" s="4">
        <v>0.25</v>
      </c>
      <c r="U201" s="3" t="str">
        <f>IF(T201&lt;0, "negative_discount", IF(AND(T201&gt;0.5, T201&lt;=1), "high_discount", ""))</f>
        <v/>
      </c>
      <c r="V201" s="11">
        <v>9835.11</v>
      </c>
      <c r="W201" s="12">
        <v>9835.11</v>
      </c>
      <c r="X201" s="11">
        <v>5437.64</v>
      </c>
      <c r="Y201" s="11">
        <v>4397.47</v>
      </c>
      <c r="Z201" s="11">
        <f>ROUND(W201-X201,2)</f>
        <v>4397.47</v>
      </c>
      <c r="AA201" s="4">
        <f>IF(W201=0,0,Z201/W201)</f>
        <v>0.44711955433136996</v>
      </c>
      <c r="AB201" t="s">
        <v>31</v>
      </c>
      <c r="AC201" t="s">
        <v>32</v>
      </c>
      <c r="AD201" t="str">
        <f>IF(AND(E201="", T201&gt;=0, T201&lt;=0.5, K201&lt;&gt;"Unknown", Q201&lt;&gt;"Unknown"), "CLEAN", _xlfn.CONCAT("WARNING: ", IF(E201&lt;&gt;"","invalid_date",""), IF(T201&lt;0,"negative_discount",""), IF(AND(T201&gt;0.5,T201&lt;=1),"high_discount",""), IF(K201="Unknown","missing_region",""), IF(Q201="Unknown","missing_ship_mode","")))</f>
        <v>WARNING: missing_ship_mode</v>
      </c>
      <c r="AE201" t="str">
        <f>IF(COUNTIF($AF$2:$AF$926,AF201)&gt;1,"DUPLICATE","UNIQUE")</f>
        <v>UNIQUE</v>
      </c>
      <c r="AF201" t="str">
        <f>A201&amp;"|"&amp;B201&amp;"|"&amp;H201&amp;"|"&amp;I201&amp;"|"&amp;R201&amp;"|"&amp;S201&amp;"|"&amp;V201</f>
        <v>ORD-2024-10200|2024-03-12|CUST-4536|Rahul Verma|6|2185.58|9835.11</v>
      </c>
      <c r="AG201" t="str">
        <f>IF(COUNTIF($A$2:$A$913,A201)&gt;1,"TRUE","FALSE")</f>
        <v>FALSE</v>
      </c>
    </row>
    <row r="202" spans="1:33">
      <c r="A202" t="s">
        <v>3059</v>
      </c>
      <c r="B202" t="s">
        <v>1091</v>
      </c>
      <c r="C202" t="s">
        <v>2916</v>
      </c>
      <c r="D202">
        <f>IF(OR(B202="", C202=""), "", (C202 - B202))</f>
        <v>8</v>
      </c>
      <c r="E202" t="str">
        <f>IF(C202&lt;B202, "INVALID: Ship date before order date", "")</f>
        <v/>
      </c>
      <c r="F202" t="str">
        <f>IF(B202="", "", TEXT(B202, "mmmm"))</f>
        <v>June</v>
      </c>
      <c r="G202">
        <f>IF(B202="", "", YEAR(B202))</f>
        <v>2025</v>
      </c>
      <c r="H202" t="s">
        <v>706</v>
      </c>
      <c r="I202" t="s">
        <v>112</v>
      </c>
      <c r="J202" t="s">
        <v>36</v>
      </c>
      <c r="K202" t="s">
        <v>24</v>
      </c>
      <c r="L202" t="s">
        <v>25</v>
      </c>
      <c r="M202" t="s">
        <v>26</v>
      </c>
      <c r="N202" t="s">
        <v>74</v>
      </c>
      <c r="O202" t="s">
        <v>79</v>
      </c>
      <c r="P202" t="s">
        <v>707</v>
      </c>
      <c r="Q202" t="s">
        <v>49</v>
      </c>
      <c r="R202">
        <v>5</v>
      </c>
      <c r="S202" s="15">
        <v>2868.44</v>
      </c>
      <c r="T202" s="4">
        <v>0.1</v>
      </c>
      <c r="U202" s="3" t="str">
        <f>IF(T202&lt;0, "negative_discount", IF(AND(T202&gt;0.5, T202&lt;=1), "high_discount", ""))</f>
        <v/>
      </c>
      <c r="V202" s="11">
        <v>12907.98</v>
      </c>
      <c r="W202" s="12">
        <v>12907.98</v>
      </c>
      <c r="X202" s="11">
        <v>9197.08</v>
      </c>
      <c r="Y202" s="11">
        <v>3710.9</v>
      </c>
      <c r="Z202" s="11">
        <f>ROUND(W202-X202,2)</f>
        <v>3710.9</v>
      </c>
      <c r="AA202" s="4">
        <f>IF(W202=0,0,Z202/W202)</f>
        <v>0.28748882474252363</v>
      </c>
      <c r="AB202" t="s">
        <v>109</v>
      </c>
      <c r="AC202" t="s">
        <v>67</v>
      </c>
      <c r="AD202" t="str">
        <f>IF(AND(E202="", T202&gt;=0, T202&lt;=0.5, K202&lt;&gt;"Unknown", Q202&lt;&gt;"Unknown"), "CLEAN", _xlfn.CONCAT("WARNING: ", IF(E202&lt;&gt;"","invalid_date",""), IF(T202&lt;0,"negative_discount",""), IF(AND(T202&gt;0.5,T202&lt;=1),"high_discount",""), IF(K202="Unknown","missing_region",""), IF(Q202="Unknown","missing_ship_mode","")))</f>
        <v>CLEAN</v>
      </c>
      <c r="AE202" t="str">
        <f>IF(COUNTIF($AF$2:$AF$926,AF202)&gt;1,"DUPLICATE","UNIQUE")</f>
        <v>UNIQUE</v>
      </c>
      <c r="AF202" t="str">
        <f>A202&amp;"|"&amp;B202&amp;"|"&amp;H202&amp;"|"&amp;I202&amp;"|"&amp;R202&amp;"|"&amp;S202&amp;"|"&amp;V202</f>
        <v>ORD-2025-10201|2025-06-27|CUST-7047|Priya Menon|5|2868.44|12907.98</v>
      </c>
      <c r="AG202" t="str">
        <f>IF(COUNTIF($A$2:$A$913,A202)&gt;1,"TRUE","FALSE")</f>
        <v>FALSE</v>
      </c>
    </row>
    <row r="203" spans="1:33">
      <c r="A203" t="s">
        <v>3060</v>
      </c>
      <c r="B203" t="s">
        <v>2735</v>
      </c>
      <c r="C203" t="s">
        <v>2288</v>
      </c>
      <c r="D203">
        <f>IF(OR(B203="", C203=""), "", (C203 - B203))</f>
        <v>8</v>
      </c>
      <c r="E203" t="str">
        <f>IF(C203&lt;B203, "INVALID: Ship date before order date", "")</f>
        <v/>
      </c>
      <c r="F203" t="str">
        <f>IF(B203="", "", TEXT(B203, "mmmm"))</f>
        <v>July</v>
      </c>
      <c r="G203">
        <f>IF(B203="", "", YEAR(B203))</f>
        <v>2025</v>
      </c>
      <c r="H203" t="s">
        <v>708</v>
      </c>
      <c r="I203" t="s">
        <v>71</v>
      </c>
      <c r="J203" t="s">
        <v>23</v>
      </c>
      <c r="K203" t="s">
        <v>62</v>
      </c>
      <c r="L203" t="s">
        <v>72</v>
      </c>
      <c r="M203" t="s">
        <v>73</v>
      </c>
      <c r="N203" t="s">
        <v>27</v>
      </c>
      <c r="O203" t="s">
        <v>90</v>
      </c>
      <c r="P203" t="s">
        <v>709</v>
      </c>
      <c r="Q203" t="s">
        <v>30</v>
      </c>
      <c r="R203">
        <v>2</v>
      </c>
      <c r="S203" s="15">
        <v>2503.5300000000002</v>
      </c>
      <c r="T203" s="4">
        <v>-0.16</v>
      </c>
      <c r="U203" s="3" t="str">
        <f>IF(T203&lt;0, "negative_discount", IF(AND(T203&gt;0.5, T203&lt;=1), "high_discount", ""))</f>
        <v>negative_discount</v>
      </c>
      <c r="V203" s="11">
        <v>4756.71</v>
      </c>
      <c r="W203" s="12">
        <v>5808.19</v>
      </c>
      <c r="X203" s="11">
        <v>2954.86</v>
      </c>
      <c r="Y203" s="11">
        <v>1801.85</v>
      </c>
      <c r="Z203" s="11">
        <f>ROUND(W203-X203,2)</f>
        <v>2853.33</v>
      </c>
      <c r="AA203" s="4">
        <f>IF(W203=0,0,Z203/W203)</f>
        <v>0.49125975562094215</v>
      </c>
      <c r="AB203" t="s">
        <v>99</v>
      </c>
      <c r="AC203" t="s">
        <v>67</v>
      </c>
      <c r="AD203" t="str">
        <f>IF(AND(E203="", T203&gt;=0, T203&lt;=0.5, K203&lt;&gt;"Unknown", Q203&lt;&gt;"Unknown"), "CLEAN", _xlfn.CONCAT("WARNING: ", IF(E203&lt;&gt;"","invalid_date",""), IF(T203&lt;0,"negative_discount",""), IF(AND(T203&gt;0.5,T203&lt;=1),"high_discount",""), IF(K203="Unknown","missing_region",""), IF(Q203="Unknown","missing_ship_mode","")))</f>
        <v>WARNING: negative_discount</v>
      </c>
      <c r="AE203" t="str">
        <f>IF(COUNTIF($AF$2:$AF$926,AF203)&gt;1,"DUPLICATE","UNIQUE")</f>
        <v>UNIQUE</v>
      </c>
      <c r="AF203" t="str">
        <f>A203&amp;"|"&amp;B203&amp;"|"&amp;H203&amp;"|"&amp;I203&amp;"|"&amp;R203&amp;"|"&amp;S203&amp;"|"&amp;V203</f>
        <v>ORD-2025-10202|2025-07-26|CUST-8005|Vikram Iyer|2|2503.53|4756.71</v>
      </c>
      <c r="AG203" t="str">
        <f>IF(COUNTIF($A$2:$A$913,A203)&gt;1,"TRUE","FALSE")</f>
        <v>FALSE</v>
      </c>
    </row>
    <row r="204" spans="1:33">
      <c r="A204" t="s">
        <v>3061</v>
      </c>
      <c r="B204" t="s">
        <v>710</v>
      </c>
      <c r="C204" t="s">
        <v>710</v>
      </c>
      <c r="D204">
        <f>IF(OR(B204="", C204=""), "", (C204 - B204))</f>
        <v>0</v>
      </c>
      <c r="E204" t="str">
        <f>IF(C204&lt;B204, "INVALID: Ship date before order date", "")</f>
        <v/>
      </c>
      <c r="F204" t="str">
        <f>IF(B204="", "", TEXT(B204, "mmmm"))</f>
        <v>March</v>
      </c>
      <c r="G204">
        <f>IF(B204="", "", YEAR(B204))</f>
        <v>2025</v>
      </c>
      <c r="H204" t="s">
        <v>711</v>
      </c>
      <c r="I204" t="s">
        <v>131</v>
      </c>
      <c r="J204" t="s">
        <v>89</v>
      </c>
      <c r="K204" t="s">
        <v>62</v>
      </c>
      <c r="L204" t="s">
        <v>185</v>
      </c>
      <c r="M204" t="s">
        <v>186</v>
      </c>
      <c r="N204" t="s">
        <v>74</v>
      </c>
      <c r="O204" t="s">
        <v>75</v>
      </c>
      <c r="P204" t="s">
        <v>712</v>
      </c>
      <c r="Q204" t="s">
        <v>58</v>
      </c>
      <c r="R204">
        <v>8</v>
      </c>
      <c r="S204" s="15">
        <v>1740.94</v>
      </c>
      <c r="T204" s="4">
        <v>0.05</v>
      </c>
      <c r="U204" s="3" t="str">
        <f>IF(T204&lt;0, "negative_discount", IF(AND(T204&gt;0.5, T204&lt;=1), "high_discount", ""))</f>
        <v/>
      </c>
      <c r="V204" s="11">
        <v>13231.14</v>
      </c>
      <c r="W204" s="12">
        <v>13231.14</v>
      </c>
      <c r="X204" s="11">
        <v>11290.06</v>
      </c>
      <c r="Y204" s="11">
        <v>1941.08</v>
      </c>
      <c r="Z204" s="11">
        <f>ROUND(W204-X204,2)</f>
        <v>1941.08</v>
      </c>
      <c r="AA204" s="4">
        <f>IF(W204=0,0,Z204/W204)</f>
        <v>0.14670542372010273</v>
      </c>
      <c r="AB204" t="s">
        <v>31</v>
      </c>
      <c r="AC204" t="s">
        <v>32</v>
      </c>
      <c r="AD204" t="str">
        <f>IF(AND(E204="", T204&gt;=0, T204&lt;=0.5, K204&lt;&gt;"Unknown", Q204&lt;&gt;"Unknown"), "CLEAN", _xlfn.CONCAT("WARNING: ", IF(E204&lt;&gt;"","invalid_date",""), IF(T204&lt;0,"negative_discount",""), IF(AND(T204&gt;0.5,T204&lt;=1),"high_discount",""), IF(K204="Unknown","missing_region",""), IF(Q204="Unknown","missing_ship_mode","")))</f>
        <v>CLEAN</v>
      </c>
      <c r="AE204" t="str">
        <f>IF(COUNTIF($AF$2:$AF$926,AF204)&gt;1,"DUPLICATE","UNIQUE")</f>
        <v>UNIQUE</v>
      </c>
      <c r="AF204" t="str">
        <f>A204&amp;"|"&amp;B204&amp;"|"&amp;H204&amp;"|"&amp;I204&amp;"|"&amp;R204&amp;"|"&amp;S204&amp;"|"&amp;V204</f>
        <v>ORD-2025-10203|2025-03-28|CUST-9378|Sneha Kapoor|8|1740.94|13231.14</v>
      </c>
      <c r="AG204" t="str">
        <f>IF(COUNTIF($A$2:$A$913,A204)&gt;1,"TRUE","FALSE")</f>
        <v>FALSE</v>
      </c>
    </row>
    <row r="205" spans="1:33">
      <c r="A205" t="s">
        <v>713</v>
      </c>
      <c r="B205" t="s">
        <v>2736</v>
      </c>
      <c r="C205" t="s">
        <v>714</v>
      </c>
      <c r="D205">
        <f>IF(OR(B205="", C205=""), "", (C205 - B205))</f>
        <v>2</v>
      </c>
      <c r="E205" t="str">
        <f>IF(C205&lt;B205, "INVALID: Ship date before order date", "")</f>
        <v/>
      </c>
      <c r="F205" t="str">
        <f>IF(B205="", "", TEXT(B205, "mmmm"))</f>
        <v>March</v>
      </c>
      <c r="G205">
        <f>IF(B205="", "", YEAR(B205))</f>
        <v>2024</v>
      </c>
      <c r="H205" t="s">
        <v>715</v>
      </c>
      <c r="I205" t="s">
        <v>131</v>
      </c>
      <c r="J205" t="s">
        <v>89</v>
      </c>
      <c r="K205" t="s">
        <v>62</v>
      </c>
      <c r="L205" t="s">
        <v>25</v>
      </c>
      <c r="M205" t="s">
        <v>107</v>
      </c>
      <c r="N205" t="s">
        <v>74</v>
      </c>
      <c r="O205" t="s">
        <v>75</v>
      </c>
      <c r="P205" t="s">
        <v>716</v>
      </c>
      <c r="Q205" t="s">
        <v>30</v>
      </c>
      <c r="R205">
        <v>1</v>
      </c>
      <c r="S205" s="15">
        <v>570.34</v>
      </c>
      <c r="T205" s="4">
        <v>0.15</v>
      </c>
      <c r="U205" s="3" t="str">
        <f>IF(T205&lt;0, "negative_discount", IF(AND(T205&gt;0.5, T205&lt;=1), "high_discount", ""))</f>
        <v/>
      </c>
      <c r="V205" s="11">
        <v>484.79</v>
      </c>
      <c r="W205" s="12">
        <v>484.79</v>
      </c>
      <c r="X205" s="11">
        <v>333.54</v>
      </c>
      <c r="Y205" s="11">
        <v>151.25</v>
      </c>
      <c r="Z205" s="11">
        <f>ROUND(W205-X205,2)</f>
        <v>151.25</v>
      </c>
      <c r="AA205" s="4">
        <f>IF(W205=0,0,Z205/W205)</f>
        <v>0.31199075888529054</v>
      </c>
      <c r="AB205" t="s">
        <v>31</v>
      </c>
      <c r="AC205" t="s">
        <v>32</v>
      </c>
      <c r="AD205" t="str">
        <f>IF(AND(E205="", T205&gt;=0, T205&lt;=0.5, K205&lt;&gt;"Unknown", Q205&lt;&gt;"Unknown"), "CLEAN", _xlfn.CONCAT("WARNING: ", IF(E205&lt;&gt;"","invalid_date",""), IF(T205&lt;0,"negative_discount",""), IF(AND(T205&gt;0.5,T205&lt;=1),"high_discount",""), IF(K205="Unknown","missing_region",""), IF(Q205="Unknown","missing_ship_mode","")))</f>
        <v>CLEAN</v>
      </c>
      <c r="AE205" t="str">
        <f>IF(COUNTIF($AF$2:$AF$926,AF205)&gt;1,"DUPLICATE","UNIQUE")</f>
        <v>UNIQUE</v>
      </c>
      <c r="AF205" t="str">
        <f>A205&amp;"|"&amp;B205&amp;"|"&amp;H205&amp;"|"&amp;I205&amp;"|"&amp;R205&amp;"|"&amp;S205&amp;"|"&amp;V205</f>
        <v>ORD-2024-10204|2024-03-28|CUST-3384|Sneha Kapoor|1|570.34|484.79</v>
      </c>
      <c r="AG205" t="str">
        <f>IF(COUNTIF($A$2:$A$913,A205)&gt;1,"TRUE","FALSE")</f>
        <v>FALSE</v>
      </c>
    </row>
    <row r="206" spans="1:33">
      <c r="A206" t="s">
        <v>3062</v>
      </c>
      <c r="B206" t="s">
        <v>2091</v>
      </c>
      <c r="C206" t="s">
        <v>717</v>
      </c>
      <c r="D206">
        <f>IF(OR(B206="", C206=""), "", (C206 - B206))</f>
        <v>3</v>
      </c>
      <c r="E206" t="str">
        <f>IF(C206&lt;B206, "INVALID: Ship date before order date", "")</f>
        <v/>
      </c>
      <c r="F206" t="str">
        <f>IF(B206="", "", TEXT(B206, "mmmm"))</f>
        <v>July</v>
      </c>
      <c r="G206">
        <f>IF(B206="", "", YEAR(B206))</f>
        <v>2025</v>
      </c>
      <c r="H206" t="s">
        <v>718</v>
      </c>
      <c r="I206" t="s">
        <v>35</v>
      </c>
      <c r="J206" t="s">
        <v>93</v>
      </c>
      <c r="K206" t="s">
        <v>37</v>
      </c>
      <c r="L206" t="s">
        <v>96</v>
      </c>
      <c r="M206" t="s">
        <v>97</v>
      </c>
      <c r="N206" t="s">
        <v>40</v>
      </c>
      <c r="O206" t="s">
        <v>41</v>
      </c>
      <c r="P206" t="s">
        <v>719</v>
      </c>
      <c r="Q206" t="s">
        <v>30</v>
      </c>
      <c r="R206">
        <v>4</v>
      </c>
      <c r="S206" s="15">
        <v>477.69</v>
      </c>
      <c r="T206" s="4">
        <v>0.15</v>
      </c>
      <c r="U206" s="3" t="str">
        <f>IF(T206&lt;0, "negative_discount", IF(AND(T206&gt;0.5, T206&lt;=1), "high_discount", ""))</f>
        <v/>
      </c>
      <c r="V206" s="11">
        <v>1624.15</v>
      </c>
      <c r="W206" s="12">
        <v>1624.15</v>
      </c>
      <c r="X206" s="11">
        <v>1217.99</v>
      </c>
      <c r="Y206" s="11">
        <v>406.16</v>
      </c>
      <c r="Z206" s="11">
        <f>ROUND(W206-X206,2)</f>
        <v>406.16</v>
      </c>
      <c r="AA206" s="4">
        <f>IF(W206=0,0,Z206/W206)</f>
        <v>0.25007542406797401</v>
      </c>
      <c r="AB206" t="s">
        <v>31</v>
      </c>
      <c r="AC206" t="s">
        <v>32</v>
      </c>
      <c r="AD206" t="str">
        <f>IF(AND(E206="", T206&gt;=0, T206&lt;=0.5, K206&lt;&gt;"Unknown", Q206&lt;&gt;"Unknown"), "CLEAN", _xlfn.CONCAT("WARNING: ", IF(E206&lt;&gt;"","invalid_date",""), IF(T206&lt;0,"negative_discount",""), IF(AND(T206&gt;0.5,T206&lt;=1),"high_discount",""), IF(K206="Unknown","missing_region",""), IF(Q206="Unknown","missing_ship_mode","")))</f>
        <v>CLEAN</v>
      </c>
      <c r="AE206" t="str">
        <f>IF(COUNTIF($AF$2:$AF$926,AF206)&gt;1,"DUPLICATE","UNIQUE")</f>
        <v>UNIQUE</v>
      </c>
      <c r="AF206" t="str">
        <f>A206&amp;"|"&amp;B206&amp;"|"&amp;H206&amp;"|"&amp;I206&amp;"|"&amp;R206&amp;"|"&amp;S206&amp;"|"&amp;V206</f>
        <v>ORD-2025-10205|2025-07-20|CUST-1986|Mira Das|4|477.69|1624.15</v>
      </c>
      <c r="AG206" t="str">
        <f>IF(COUNTIF($A$2:$A$913,A206)&gt;1,"TRUE","FALSE")</f>
        <v>FALSE</v>
      </c>
    </row>
    <row r="207" spans="1:33">
      <c r="A207" t="s">
        <v>3063</v>
      </c>
      <c r="B207" t="s">
        <v>2737</v>
      </c>
      <c r="C207" t="s">
        <v>2892</v>
      </c>
      <c r="D207">
        <f>IF(OR(B207="", C207=""), "", (C207 - B207))</f>
        <v>5</v>
      </c>
      <c r="E207" t="str">
        <f>IF(C207&lt;B207, "INVALID: Ship date before order date", "")</f>
        <v/>
      </c>
      <c r="F207" t="str">
        <f>IF(B207="", "", TEXT(B207, "mmmm"))</f>
        <v>April</v>
      </c>
      <c r="G207">
        <f>IF(B207="", "", YEAR(B207))</f>
        <v>2025</v>
      </c>
      <c r="H207" t="s">
        <v>720</v>
      </c>
      <c r="I207" t="s">
        <v>61</v>
      </c>
      <c r="J207" t="s">
        <v>23</v>
      </c>
      <c r="K207" t="s">
        <v>62</v>
      </c>
      <c r="L207" t="s">
        <v>63</v>
      </c>
      <c r="M207" t="s">
        <v>64</v>
      </c>
      <c r="N207" t="s">
        <v>27</v>
      </c>
      <c r="O207" t="s">
        <v>90</v>
      </c>
      <c r="P207" t="s">
        <v>721</v>
      </c>
      <c r="Q207" t="s">
        <v>43</v>
      </c>
      <c r="R207">
        <v>6</v>
      </c>
      <c r="S207" s="15">
        <v>873.59</v>
      </c>
      <c r="T207" s="4">
        <v>0.2</v>
      </c>
      <c r="U207" s="3" t="str">
        <f>IF(T207&lt;0, "negative_discount", IF(AND(T207&gt;0.5, T207&lt;=1), "high_discount", ""))</f>
        <v/>
      </c>
      <c r="V207" s="11">
        <v>4193.2299999999996</v>
      </c>
      <c r="W207" s="12">
        <v>4193.2299999999996</v>
      </c>
      <c r="X207" s="11">
        <v>3329.99</v>
      </c>
      <c r="Y207" s="11">
        <v>863.24</v>
      </c>
      <c r="Z207" s="11">
        <f>ROUND(W207-X207,2)</f>
        <v>863.24</v>
      </c>
      <c r="AA207" s="4">
        <f>IF(W207=0,0,Z207/W207)</f>
        <v>0.20586516837855307</v>
      </c>
      <c r="AB207" t="s">
        <v>31</v>
      </c>
      <c r="AC207" t="s">
        <v>32</v>
      </c>
      <c r="AD207" t="str">
        <f>IF(AND(E207="", T207&gt;=0, T207&lt;=0.5, K207&lt;&gt;"Unknown", Q207&lt;&gt;"Unknown"), "CLEAN", _xlfn.CONCAT("WARNING: ", IF(E207&lt;&gt;"","invalid_date",""), IF(T207&lt;0,"negative_discount",""), IF(AND(T207&gt;0.5,T207&lt;=1),"high_discount",""), IF(K207="Unknown","missing_region",""), IF(Q207="Unknown","missing_ship_mode","")))</f>
        <v>CLEAN</v>
      </c>
      <c r="AE207" t="str">
        <f>IF(COUNTIF($AF$2:$AF$926,AF207)&gt;1,"DUPLICATE","UNIQUE")</f>
        <v>UNIQUE</v>
      </c>
      <c r="AF207" t="str">
        <f>A207&amp;"|"&amp;B207&amp;"|"&amp;H207&amp;"|"&amp;I207&amp;"|"&amp;R207&amp;"|"&amp;S207&amp;"|"&amp;V207</f>
        <v>ORD-2025-10206|2025-04-21|CUST-3338|Ananya Rao|6|873.59|4193.23</v>
      </c>
      <c r="AG207" t="str">
        <f>IF(COUNTIF($A$2:$A$913,A207)&gt;1,"TRUE","FALSE")</f>
        <v>FALSE</v>
      </c>
    </row>
    <row r="208" spans="1:33">
      <c r="A208" t="s">
        <v>3064</v>
      </c>
      <c r="B208" t="s">
        <v>1078</v>
      </c>
      <c r="C208" t="s">
        <v>2536</v>
      </c>
      <c r="D208">
        <f>IF(OR(B208="", C208=""), "", (C208 - B208))</f>
        <v>2</v>
      </c>
      <c r="E208" t="str">
        <f>IF(C208&lt;B208, "INVALID: Ship date before order date", "")</f>
        <v/>
      </c>
      <c r="F208" t="str">
        <f>IF(B208="", "", TEXT(B208, "mmmm"))</f>
        <v>May</v>
      </c>
      <c r="G208">
        <f>IF(B208="", "", YEAR(B208))</f>
        <v>2025</v>
      </c>
      <c r="H208" t="s">
        <v>722</v>
      </c>
      <c r="I208" t="s">
        <v>158</v>
      </c>
      <c r="J208" t="s">
        <v>36</v>
      </c>
      <c r="K208" t="s">
        <v>24</v>
      </c>
      <c r="L208" t="s">
        <v>134</v>
      </c>
      <c r="M208" t="s">
        <v>135</v>
      </c>
      <c r="N208" t="s">
        <v>40</v>
      </c>
      <c r="O208" t="s">
        <v>56</v>
      </c>
      <c r="P208" t="s">
        <v>723</v>
      </c>
      <c r="Q208" t="s">
        <v>49</v>
      </c>
      <c r="R208">
        <v>2</v>
      </c>
      <c r="S208" s="15">
        <v>215.13</v>
      </c>
      <c r="T208" s="4">
        <v>0</v>
      </c>
      <c r="U208" s="3" t="str">
        <f>IF(T208&lt;0, "negative_discount", IF(AND(T208&gt;0.5, T208&lt;=1), "high_discount", ""))</f>
        <v/>
      </c>
      <c r="V208" s="11">
        <v>430.26</v>
      </c>
      <c r="W208" s="12">
        <v>430.26</v>
      </c>
      <c r="X208" s="11">
        <v>286.38</v>
      </c>
      <c r="Y208" s="11">
        <v>143.88</v>
      </c>
      <c r="Z208" s="11">
        <f>ROUND(W208-X208,2)</f>
        <v>143.88</v>
      </c>
      <c r="AA208" s="4">
        <f>IF(W208=0,0,Z208/W208)</f>
        <v>0.33440245432994004</v>
      </c>
      <c r="AB208" t="s">
        <v>31</v>
      </c>
      <c r="AC208" t="s">
        <v>32</v>
      </c>
      <c r="AD208" t="str">
        <f>IF(AND(E208="", T208&gt;=0, T208&lt;=0.5, K208&lt;&gt;"Unknown", Q208&lt;&gt;"Unknown"), "CLEAN", _xlfn.CONCAT("WARNING: ", IF(E208&lt;&gt;"","invalid_date",""), IF(T208&lt;0,"negative_discount",""), IF(AND(T208&gt;0.5,T208&lt;=1),"high_discount",""), IF(K208="Unknown","missing_region",""), IF(Q208="Unknown","missing_ship_mode","")))</f>
        <v>CLEAN</v>
      </c>
      <c r="AE208" t="str">
        <f>IF(COUNTIF($AF$2:$AF$926,AF208)&gt;1,"DUPLICATE","UNIQUE")</f>
        <v>UNIQUE</v>
      </c>
      <c r="AF208" t="str">
        <f>A208&amp;"|"&amp;B208&amp;"|"&amp;H208&amp;"|"&amp;I208&amp;"|"&amp;R208&amp;"|"&amp;S208&amp;"|"&amp;V208</f>
        <v>ORD-2025-10207|2025-05-18|CUST-2343|Diya Patel|2|215.13|430.26</v>
      </c>
      <c r="AG208" t="str">
        <f>IF(COUNTIF($A$2:$A$913,A208)&gt;1,"TRUE","FALSE")</f>
        <v>FALSE</v>
      </c>
    </row>
    <row r="209" spans="1:33">
      <c r="A209" t="s">
        <v>724</v>
      </c>
      <c r="B209" t="s">
        <v>2086</v>
      </c>
      <c r="C209" t="s">
        <v>725</v>
      </c>
      <c r="D209">
        <f>IF(OR(B209="", C209=""), "", (C209 - B209))</f>
        <v>6</v>
      </c>
      <c r="E209" t="str">
        <f>IF(C209&lt;B209, "INVALID: Ship date before order date", "")</f>
        <v/>
      </c>
      <c r="F209" t="str">
        <f>IF(B209="", "", TEXT(B209, "mmmm"))</f>
        <v>July</v>
      </c>
      <c r="G209">
        <f>IF(B209="", "", YEAR(B209))</f>
        <v>2024</v>
      </c>
      <c r="H209" t="s">
        <v>726</v>
      </c>
      <c r="I209" t="s">
        <v>126</v>
      </c>
      <c r="J209" t="s">
        <v>93</v>
      </c>
      <c r="K209" t="s">
        <v>62</v>
      </c>
      <c r="L209" t="s">
        <v>185</v>
      </c>
      <c r="M209" t="s">
        <v>186</v>
      </c>
      <c r="N209" t="s">
        <v>40</v>
      </c>
      <c r="O209" t="s">
        <v>153</v>
      </c>
      <c r="P209" t="s">
        <v>727</v>
      </c>
      <c r="Q209" t="s">
        <v>30</v>
      </c>
      <c r="R209">
        <v>2</v>
      </c>
      <c r="S209" s="15">
        <v>1095.45</v>
      </c>
      <c r="T209" s="4">
        <v>0.2</v>
      </c>
      <c r="U209" s="3" t="str">
        <f>IF(T209&lt;0, "negative_discount", IF(AND(T209&gt;0.5, T209&lt;=1), "high_discount", ""))</f>
        <v/>
      </c>
      <c r="V209" s="11">
        <v>1752.72</v>
      </c>
      <c r="W209" s="12">
        <v>1752.72</v>
      </c>
      <c r="X209" s="11">
        <v>996.41</v>
      </c>
      <c r="Y209" s="11">
        <v>756.31</v>
      </c>
      <c r="Z209" s="11">
        <f>ROUND(W209-X209,2)</f>
        <v>756.31</v>
      </c>
      <c r="AA209" s="4">
        <f>IF(W209=0,0,Z209/W209)</f>
        <v>0.43150645853302294</v>
      </c>
      <c r="AB209" t="s">
        <v>31</v>
      </c>
      <c r="AC209" t="s">
        <v>32</v>
      </c>
      <c r="AD209" t="str">
        <f>IF(AND(E209="", T209&gt;=0, T209&lt;=0.5, K209&lt;&gt;"Unknown", Q209&lt;&gt;"Unknown"), "CLEAN", _xlfn.CONCAT("WARNING: ", IF(E209&lt;&gt;"","invalid_date",""), IF(T209&lt;0,"negative_discount",""), IF(AND(T209&gt;0.5,T209&lt;=1),"high_discount",""), IF(K209="Unknown","missing_region",""), IF(Q209="Unknown","missing_ship_mode","")))</f>
        <v>CLEAN</v>
      </c>
      <c r="AE209" t="str">
        <f>IF(COUNTIF($AF$2:$AF$926,AF209)&gt;1,"DUPLICATE","UNIQUE")</f>
        <v>UNIQUE</v>
      </c>
      <c r="AF209" t="str">
        <f>A209&amp;"|"&amp;B209&amp;"|"&amp;H209&amp;"|"&amp;I209&amp;"|"&amp;R209&amp;"|"&amp;S209&amp;"|"&amp;V209</f>
        <v>ORD-2024-10208|2024-07-10|CUST-3362|Aarav Sharma|2|1095.45|1752.72</v>
      </c>
      <c r="AG209" t="str">
        <f>IF(COUNTIF($A$2:$A$913,A209)&gt;1,"TRUE","FALSE")</f>
        <v>FALSE</v>
      </c>
    </row>
    <row r="210" spans="1:33">
      <c r="A210" t="s">
        <v>3065</v>
      </c>
      <c r="B210" t="s">
        <v>2738</v>
      </c>
      <c r="C210" t="s">
        <v>2802</v>
      </c>
      <c r="D210">
        <f>IF(OR(B210="", C210=""), "", (C210 - B210))</f>
        <v>-53</v>
      </c>
      <c r="E210" t="str">
        <f>IF(C210&lt;B210, "INVALID: Ship date before order date", "")</f>
        <v>INVALID: Ship date before order date</v>
      </c>
      <c r="F210" t="str">
        <f>IF(B210="", "", TEXT(B210, "mmmm"))</f>
        <v>June</v>
      </c>
      <c r="G210">
        <f>IF(B210="", "", YEAR(B210))</f>
        <v>2025</v>
      </c>
      <c r="H210" t="s">
        <v>728</v>
      </c>
      <c r="I210" t="s">
        <v>158</v>
      </c>
      <c r="J210" t="s">
        <v>23</v>
      </c>
      <c r="K210" t="s">
        <v>24</v>
      </c>
      <c r="L210" t="s">
        <v>120</v>
      </c>
      <c r="M210" t="s">
        <v>121</v>
      </c>
      <c r="N210" t="s">
        <v>40</v>
      </c>
      <c r="O210" t="s">
        <v>65</v>
      </c>
      <c r="P210" t="s">
        <v>729</v>
      </c>
      <c r="Q210" t="s">
        <v>43</v>
      </c>
      <c r="R210">
        <v>1</v>
      </c>
      <c r="S210" s="15">
        <v>999.83</v>
      </c>
      <c r="T210" s="4">
        <v>0</v>
      </c>
      <c r="U210" s="3" t="str">
        <f>IF(T210&lt;0, "negative_discount", IF(AND(T210&gt;0.5, T210&lt;=1), "high_discount", ""))</f>
        <v/>
      </c>
      <c r="V210" s="11">
        <v>999.83</v>
      </c>
      <c r="W210" s="12">
        <v>999.83</v>
      </c>
      <c r="X210" s="11">
        <v>634.91</v>
      </c>
      <c r="Y210" s="11">
        <v>364.92</v>
      </c>
      <c r="Z210" s="11">
        <f>ROUND(W210-X210,2)</f>
        <v>364.92</v>
      </c>
      <c r="AA210" s="4">
        <f>IF(W210=0,0,Z210/W210)</f>
        <v>0.36498204694798114</v>
      </c>
      <c r="AB210" t="s">
        <v>31</v>
      </c>
      <c r="AC210" t="s">
        <v>32</v>
      </c>
      <c r="AD210" t="str">
        <f>IF(AND(E210="", T210&gt;=0, T210&lt;=0.5, K210&lt;&gt;"Unknown", Q210&lt;&gt;"Unknown"), "CLEAN", _xlfn.CONCAT("WARNING: ", IF(E210&lt;&gt;"","invalid_date",""), IF(T210&lt;0,"negative_discount",""), IF(AND(T210&gt;0.5,T210&lt;=1),"high_discount",""), IF(K210="Unknown","missing_region",""), IF(Q210="Unknown","missing_ship_mode","")))</f>
        <v>WARNING: invalid_date</v>
      </c>
      <c r="AE210" t="str">
        <f>IF(COUNTIF($AF$2:$AF$926,AF210)&gt;1,"DUPLICATE","UNIQUE")</f>
        <v>UNIQUE</v>
      </c>
      <c r="AF210" t="str">
        <f>A210&amp;"|"&amp;B210&amp;"|"&amp;H210&amp;"|"&amp;I210&amp;"|"&amp;R210&amp;"|"&amp;S210&amp;"|"&amp;V210</f>
        <v>ORD-2025-10209|2025-06-29|CUST-3662|Diya Patel|1|999.83|999.83</v>
      </c>
      <c r="AG210" t="str">
        <f>IF(COUNTIF($A$2:$A$913,A210)&gt;1,"TRUE","FALSE")</f>
        <v>FALSE</v>
      </c>
    </row>
    <row r="211" spans="1:33">
      <c r="A211" t="s">
        <v>3066</v>
      </c>
      <c r="B211" t="s">
        <v>2683</v>
      </c>
      <c r="C211" t="s">
        <v>1712</v>
      </c>
      <c r="D211">
        <f>IF(OR(B211="", C211=""), "", (C211 - B211))</f>
        <v>1</v>
      </c>
      <c r="E211" t="str">
        <f>IF(C211&lt;B211, "INVALID: Ship date before order date", "")</f>
        <v/>
      </c>
      <c r="F211" t="str">
        <f>IF(B211="", "", TEXT(B211, "mmmm"))</f>
        <v>August</v>
      </c>
      <c r="G211">
        <f>IF(B211="", "", YEAR(B211))</f>
        <v>2025</v>
      </c>
      <c r="H211" t="s">
        <v>730</v>
      </c>
      <c r="I211" t="s">
        <v>139</v>
      </c>
      <c r="J211" t="s">
        <v>36</v>
      </c>
      <c r="K211" t="s">
        <v>53</v>
      </c>
      <c r="L211" t="s">
        <v>83</v>
      </c>
      <c r="M211" t="s">
        <v>84</v>
      </c>
      <c r="N211" t="s">
        <v>27</v>
      </c>
      <c r="O211" t="s">
        <v>28</v>
      </c>
      <c r="P211" t="s">
        <v>731</v>
      </c>
      <c r="Q211" t="s">
        <v>49</v>
      </c>
      <c r="R211">
        <v>9</v>
      </c>
      <c r="S211" s="15">
        <v>864.98</v>
      </c>
      <c r="T211" s="4">
        <v>0.1</v>
      </c>
      <c r="U211" s="3" t="str">
        <f>IF(T211&lt;0, "negative_discount", IF(AND(T211&gt;0.5, T211&lt;=1), "high_discount", ""))</f>
        <v/>
      </c>
      <c r="V211" s="11">
        <v>7006.34</v>
      </c>
      <c r="W211" s="12">
        <v>7006.34</v>
      </c>
      <c r="X211" s="11">
        <v>4640.88</v>
      </c>
      <c r="Y211" s="11">
        <v>2365.46</v>
      </c>
      <c r="Z211" s="11">
        <f>ROUND(W211-X211,2)</f>
        <v>2365.46</v>
      </c>
      <c r="AA211" s="4">
        <f>IF(W211=0,0,Z211/W211)</f>
        <v>0.33761707253715922</v>
      </c>
      <c r="AB211" t="s">
        <v>31</v>
      </c>
      <c r="AC211" t="s">
        <v>32</v>
      </c>
      <c r="AD211" t="str">
        <f>IF(AND(E211="", T211&gt;=0, T211&lt;=0.5, K211&lt;&gt;"Unknown", Q211&lt;&gt;"Unknown"), "CLEAN", _xlfn.CONCAT("WARNING: ", IF(E211&lt;&gt;"","invalid_date",""), IF(T211&lt;0,"negative_discount",""), IF(AND(T211&gt;0.5,T211&lt;=1),"high_discount",""), IF(K211="Unknown","missing_region",""), IF(Q211="Unknown","missing_ship_mode","")))</f>
        <v>CLEAN</v>
      </c>
      <c r="AE211" t="str">
        <f>IF(COUNTIF($AF$2:$AF$926,AF211)&gt;1,"DUPLICATE","UNIQUE")</f>
        <v>UNIQUE</v>
      </c>
      <c r="AF211" t="str">
        <f>A211&amp;"|"&amp;B211&amp;"|"&amp;H211&amp;"|"&amp;I211&amp;"|"&amp;R211&amp;"|"&amp;S211&amp;"|"&amp;V211</f>
        <v>ORD-2025-10210|2025-08-13|CUST-4947|Rohan Mehta|9|864.98|7006.34</v>
      </c>
      <c r="AG211" t="str">
        <f>IF(COUNTIF($A$2:$A$913,A211)&gt;1,"TRUE","FALSE")</f>
        <v>FALSE</v>
      </c>
    </row>
    <row r="212" spans="1:33">
      <c r="A212" t="s">
        <v>732</v>
      </c>
      <c r="B212" t="s">
        <v>644</v>
      </c>
      <c r="C212" t="s">
        <v>2917</v>
      </c>
      <c r="D212">
        <f>IF(OR(B212="", C212=""), "", (C212 - B212))</f>
        <v>3</v>
      </c>
      <c r="E212" t="str">
        <f>IF(C212&lt;B212, "INVALID: Ship date before order date", "")</f>
        <v/>
      </c>
      <c r="F212" t="str">
        <f>IF(B212="", "", TEXT(B212, "mmmm"))</f>
        <v>March</v>
      </c>
      <c r="G212">
        <f>IF(B212="", "", YEAR(B212))</f>
        <v>2024</v>
      </c>
      <c r="H212" t="s">
        <v>733</v>
      </c>
      <c r="I212" t="s">
        <v>263</v>
      </c>
      <c r="J212" t="s">
        <v>93</v>
      </c>
      <c r="K212" t="s">
        <v>53</v>
      </c>
      <c r="L212" t="s">
        <v>171</v>
      </c>
      <c r="M212" t="s">
        <v>172</v>
      </c>
      <c r="N212" t="s">
        <v>74</v>
      </c>
      <c r="O212" t="s">
        <v>272</v>
      </c>
      <c r="P212" t="s">
        <v>734</v>
      </c>
      <c r="Q212" t="s">
        <v>30</v>
      </c>
      <c r="R212">
        <v>1</v>
      </c>
      <c r="S212" s="15">
        <v>4131.3599999999997</v>
      </c>
      <c r="T212" s="4">
        <v>0</v>
      </c>
      <c r="U212" s="3" t="str">
        <f>IF(T212&lt;0, "negative_discount", IF(AND(T212&gt;0.5, T212&lt;=1), "high_discount", ""))</f>
        <v/>
      </c>
      <c r="V212" s="11">
        <v>4131.3599999999997</v>
      </c>
      <c r="W212" s="12">
        <v>4131.3599999999997</v>
      </c>
      <c r="X212" s="11">
        <v>2937.07</v>
      </c>
      <c r="Y212" s="11">
        <v>1194.29</v>
      </c>
      <c r="Z212" s="11">
        <f>ROUND(W212-X212,2)</f>
        <v>1194.29</v>
      </c>
      <c r="AA212" s="4">
        <f>IF(W212=0,0,Z212/W212)</f>
        <v>0.28907914100925602</v>
      </c>
      <c r="AB212" t="s">
        <v>151</v>
      </c>
      <c r="AC212" t="s">
        <v>100</v>
      </c>
      <c r="AD212" t="str">
        <f>IF(AND(E212="", T212&gt;=0, T212&lt;=0.5, K212&lt;&gt;"Unknown", Q212&lt;&gt;"Unknown"), "CLEAN", _xlfn.CONCAT("WARNING: ", IF(E212&lt;&gt;"","invalid_date",""), IF(T212&lt;0,"negative_discount",""), IF(AND(T212&gt;0.5,T212&lt;=1),"high_discount",""), IF(K212="Unknown","missing_region",""), IF(Q212="Unknown","missing_ship_mode","")))</f>
        <v>CLEAN</v>
      </c>
      <c r="AE212" t="str">
        <f>IF(COUNTIF($AF$2:$AF$926,AF212)&gt;1,"DUPLICATE","UNIQUE")</f>
        <v>UNIQUE</v>
      </c>
      <c r="AF212" t="str">
        <f>A212&amp;"|"&amp;B212&amp;"|"&amp;H212&amp;"|"&amp;I212&amp;"|"&amp;R212&amp;"|"&amp;S212&amp;"|"&amp;V212</f>
        <v>ORD-2024-10211|2024-03-15|CUST-3076|Kabir Singh|1|4131.36|4131.36</v>
      </c>
      <c r="AG212" t="str">
        <f>IF(COUNTIF($A$2:$A$913,A212)&gt;1,"TRUE","FALSE")</f>
        <v>FALSE</v>
      </c>
    </row>
    <row r="213" spans="1:33">
      <c r="A213" t="s">
        <v>735</v>
      </c>
      <c r="B213" t="s">
        <v>2739</v>
      </c>
      <c r="C213" t="s">
        <v>2820</v>
      </c>
      <c r="D213">
        <f>IF(OR(B213="", C213=""), "", (C213 - B213))</f>
        <v>1</v>
      </c>
      <c r="E213" t="str">
        <f>IF(C213&lt;B213, "INVALID: Ship date before order date", "")</f>
        <v/>
      </c>
      <c r="F213" t="str">
        <f>IF(B213="", "", TEXT(B213, "mmmm"))</f>
        <v>May</v>
      </c>
      <c r="G213">
        <f>IF(B213="", "", YEAR(B213))</f>
        <v>2024</v>
      </c>
      <c r="H213" t="s">
        <v>736</v>
      </c>
      <c r="I213" t="s">
        <v>139</v>
      </c>
      <c r="J213" t="s">
        <v>89</v>
      </c>
      <c r="K213" t="s">
        <v>37</v>
      </c>
      <c r="L213" t="s">
        <v>96</v>
      </c>
      <c r="M213" t="s">
        <v>97</v>
      </c>
      <c r="N213" t="s">
        <v>74</v>
      </c>
      <c r="O213" t="s">
        <v>79</v>
      </c>
      <c r="P213" t="s">
        <v>737</v>
      </c>
      <c r="Q213" t="s">
        <v>30</v>
      </c>
      <c r="R213">
        <v>8</v>
      </c>
      <c r="S213" s="15">
        <v>4221.95</v>
      </c>
      <c r="T213" s="4">
        <v>0.2</v>
      </c>
      <c r="U213" s="3" t="str">
        <f>IF(T213&lt;0, "negative_discount", IF(AND(T213&gt;0.5, T213&lt;=1), "high_discount", ""))</f>
        <v/>
      </c>
      <c r="V213" s="11">
        <v>27020.48</v>
      </c>
      <c r="W213" s="12">
        <v>27020.48</v>
      </c>
      <c r="X213" s="11">
        <v>22885.24</v>
      </c>
      <c r="Y213" s="11">
        <v>4135.24</v>
      </c>
      <c r="Z213" s="11">
        <f>ROUND(W213-X213,2)</f>
        <v>4135.24</v>
      </c>
      <c r="AA213" s="4">
        <f>IF(W213=0,0,Z213/W213)</f>
        <v>0.1530409526403676</v>
      </c>
      <c r="AB213" t="s">
        <v>31</v>
      </c>
      <c r="AC213" t="s">
        <v>32</v>
      </c>
      <c r="AD213" t="str">
        <f>IF(AND(E213="", T213&gt;=0, T213&lt;=0.5, K213&lt;&gt;"Unknown", Q213&lt;&gt;"Unknown"), "CLEAN", _xlfn.CONCAT("WARNING: ", IF(E213&lt;&gt;"","invalid_date",""), IF(T213&lt;0,"negative_discount",""), IF(AND(T213&gt;0.5,T213&lt;=1),"high_discount",""), IF(K213="Unknown","missing_region",""), IF(Q213="Unknown","missing_ship_mode","")))</f>
        <v>CLEAN</v>
      </c>
      <c r="AE213" t="str">
        <f>IF(COUNTIF($AF$2:$AF$926,AF213)&gt;1,"DUPLICATE","UNIQUE")</f>
        <v>UNIQUE</v>
      </c>
      <c r="AF213" t="str">
        <f>A213&amp;"|"&amp;B213&amp;"|"&amp;H213&amp;"|"&amp;I213&amp;"|"&amp;R213&amp;"|"&amp;S213&amp;"|"&amp;V213</f>
        <v>ORD-2024-10212|2024-05-16|CUST-2222|Rohan Mehta|8|4221.95|27020.48</v>
      </c>
      <c r="AG213" t="str">
        <f>IF(COUNTIF($A$2:$A$913,A213)&gt;1,"TRUE","FALSE")</f>
        <v>FALSE</v>
      </c>
    </row>
    <row r="214" spans="1:33">
      <c r="A214" t="s">
        <v>738</v>
      </c>
      <c r="B214" t="s">
        <v>739</v>
      </c>
      <c r="C214" t="s">
        <v>739</v>
      </c>
      <c r="D214">
        <f>IF(OR(B214="", C214=""), "", (C214 - B214))</f>
        <v>0</v>
      </c>
      <c r="E214" t="str">
        <f>IF(C214&lt;B214, "INVALID: Ship date before order date", "")</f>
        <v/>
      </c>
      <c r="F214" t="str">
        <f>IF(B214="", "", TEXT(B214, "mmmm"))</f>
        <v>September</v>
      </c>
      <c r="G214">
        <f>IF(B214="", "", YEAR(B214))</f>
        <v>2024</v>
      </c>
      <c r="H214" t="s">
        <v>740</v>
      </c>
      <c r="I214" t="s">
        <v>61</v>
      </c>
      <c r="J214" t="s">
        <v>36</v>
      </c>
      <c r="K214" t="s">
        <v>37</v>
      </c>
      <c r="L214" t="s">
        <v>38</v>
      </c>
      <c r="M214" t="s">
        <v>39</v>
      </c>
      <c r="N214" t="s">
        <v>74</v>
      </c>
      <c r="O214" t="s">
        <v>168</v>
      </c>
      <c r="P214" t="s">
        <v>741</v>
      </c>
      <c r="Q214" t="s">
        <v>43</v>
      </c>
      <c r="R214">
        <v>2</v>
      </c>
      <c r="S214" s="15">
        <v>214.5</v>
      </c>
      <c r="T214" s="4">
        <v>0.15</v>
      </c>
      <c r="U214" s="3" t="str">
        <f>IF(T214&lt;0, "negative_discount", IF(AND(T214&gt;0.5, T214&lt;=1), "high_discount", ""))</f>
        <v/>
      </c>
      <c r="V214" s="11">
        <v>364.65</v>
      </c>
      <c r="W214" s="12">
        <v>364.65</v>
      </c>
      <c r="X214" s="11">
        <v>280.74</v>
      </c>
      <c r="Y214" s="11">
        <v>83.91</v>
      </c>
      <c r="Z214" s="11">
        <f>ROUND(W214-X214,2)</f>
        <v>83.91</v>
      </c>
      <c r="AA214" s="4">
        <f>IF(W214=0,0,Z214/W214)</f>
        <v>0.23011106540518306</v>
      </c>
      <c r="AB214" t="s">
        <v>31</v>
      </c>
      <c r="AC214" t="s">
        <v>32</v>
      </c>
      <c r="AD214" t="str">
        <f>IF(AND(E214="", T214&gt;=0, T214&lt;=0.5, K214&lt;&gt;"Unknown", Q214&lt;&gt;"Unknown"), "CLEAN", _xlfn.CONCAT("WARNING: ", IF(E214&lt;&gt;"","invalid_date",""), IF(T214&lt;0,"negative_discount",""), IF(AND(T214&gt;0.5,T214&lt;=1),"high_discount",""), IF(K214="Unknown","missing_region",""), IF(Q214="Unknown","missing_ship_mode","")))</f>
        <v>CLEAN</v>
      </c>
      <c r="AE214" t="str">
        <f>IF(COUNTIF($AF$2:$AF$926,AF214)&gt;1,"DUPLICATE","UNIQUE")</f>
        <v>UNIQUE</v>
      </c>
      <c r="AF214" t="str">
        <f>A214&amp;"|"&amp;B214&amp;"|"&amp;H214&amp;"|"&amp;I214&amp;"|"&amp;R214&amp;"|"&amp;S214&amp;"|"&amp;V214</f>
        <v>ORD-2024-10213|2024-09-21|CUST-3610|Ananya Rao|2|214.5|364.65</v>
      </c>
      <c r="AG214" t="str">
        <f>IF(COUNTIF($A$2:$A$913,A214)&gt;1,"TRUE","FALSE")</f>
        <v>FALSE</v>
      </c>
    </row>
    <row r="215" spans="1:33">
      <c r="A215" t="s">
        <v>742</v>
      </c>
      <c r="B215" t="s">
        <v>2740</v>
      </c>
      <c r="C215" t="s">
        <v>2068</v>
      </c>
      <c r="D215">
        <f>IF(OR(B215="", C215=""), "", (C215 - B215))</f>
        <v>6</v>
      </c>
      <c r="E215" t="str">
        <f>IF(C215&lt;B215, "INVALID: Ship date before order date", "")</f>
        <v/>
      </c>
      <c r="F215" t="str">
        <f>IF(B215="", "", TEXT(B215, "mmmm"))</f>
        <v>May</v>
      </c>
      <c r="G215">
        <f>IF(B215="", "", YEAR(B215))</f>
        <v>2024</v>
      </c>
      <c r="H215" t="s">
        <v>743</v>
      </c>
      <c r="I215" t="s">
        <v>46</v>
      </c>
      <c r="J215" t="s">
        <v>36</v>
      </c>
      <c r="K215" t="s">
        <v>37</v>
      </c>
      <c r="L215" t="s">
        <v>142</v>
      </c>
      <c r="M215" t="s">
        <v>143</v>
      </c>
      <c r="N215" t="s">
        <v>74</v>
      </c>
      <c r="O215" t="s">
        <v>75</v>
      </c>
      <c r="P215" t="s">
        <v>744</v>
      </c>
      <c r="Q215" t="s">
        <v>30</v>
      </c>
      <c r="R215">
        <v>4</v>
      </c>
      <c r="S215" s="15">
        <v>4332.7299999999996</v>
      </c>
      <c r="T215" s="4">
        <v>0.2</v>
      </c>
      <c r="U215" s="3" t="str">
        <f>IF(T215&lt;0, "negative_discount", IF(AND(T215&gt;0.5, T215&lt;=1), "high_discount", ""))</f>
        <v/>
      </c>
      <c r="V215" s="11">
        <v>13864.74</v>
      </c>
      <c r="W215" s="12">
        <v>13864.74</v>
      </c>
      <c r="X215" s="11">
        <v>11294.06</v>
      </c>
      <c r="Y215" s="11">
        <v>2570.6799999999998</v>
      </c>
      <c r="Z215" s="11">
        <f>ROUND(W215-X215,2)</f>
        <v>2570.6799999999998</v>
      </c>
      <c r="AA215" s="4">
        <f>IF(W215=0,0,Z215/W215)</f>
        <v>0.18541133840230686</v>
      </c>
      <c r="AB215" t="s">
        <v>31</v>
      </c>
      <c r="AC215" t="s">
        <v>32</v>
      </c>
      <c r="AD215" t="str">
        <f>IF(AND(E215="", T215&gt;=0, T215&lt;=0.5, K215&lt;&gt;"Unknown", Q215&lt;&gt;"Unknown"), "CLEAN", _xlfn.CONCAT("WARNING: ", IF(E215&lt;&gt;"","invalid_date",""), IF(T215&lt;0,"negative_discount",""), IF(AND(T215&gt;0.5,T215&lt;=1),"high_discount",""), IF(K215="Unknown","missing_region",""), IF(Q215="Unknown","missing_ship_mode","")))</f>
        <v>CLEAN</v>
      </c>
      <c r="AE215" t="str">
        <f>IF(COUNTIF($AF$2:$AF$926,AF215)&gt;1,"DUPLICATE","UNIQUE")</f>
        <v>UNIQUE</v>
      </c>
      <c r="AF215" t="str">
        <f>A215&amp;"|"&amp;B215&amp;"|"&amp;H215&amp;"|"&amp;I215&amp;"|"&amp;R215&amp;"|"&amp;S215&amp;"|"&amp;V215</f>
        <v>ORD-2024-10214|2024-05-15|CUST-9136|Isha Nair|4|4332.73|13864.74</v>
      </c>
      <c r="AG215" t="str">
        <f>IF(COUNTIF($A$2:$A$913,A215)&gt;1,"TRUE","FALSE")</f>
        <v>FALSE</v>
      </c>
    </row>
    <row r="216" spans="1:33">
      <c r="A216" t="s">
        <v>745</v>
      </c>
      <c r="B216" t="s">
        <v>2215</v>
      </c>
      <c r="C216" t="s">
        <v>2717</v>
      </c>
      <c r="D216">
        <f>IF(OR(B216="", C216=""), "", (C216 - B216))</f>
        <v>6</v>
      </c>
      <c r="E216" t="str">
        <f>IF(C216&lt;B216, "INVALID: Ship date before order date", "")</f>
        <v/>
      </c>
      <c r="F216" t="str">
        <f>IF(B216="", "", TEXT(B216, "mmmm"))</f>
        <v>March</v>
      </c>
      <c r="G216">
        <f>IF(B216="", "", YEAR(B216))</f>
        <v>2024</v>
      </c>
      <c r="H216" t="s">
        <v>746</v>
      </c>
      <c r="I216" t="s">
        <v>116</v>
      </c>
      <c r="J216" t="s">
        <v>23</v>
      </c>
      <c r="K216" t="s">
        <v>24</v>
      </c>
      <c r="L216" t="s">
        <v>234</v>
      </c>
      <c r="M216" t="s">
        <v>235</v>
      </c>
      <c r="N216" t="s">
        <v>74</v>
      </c>
      <c r="O216" t="s">
        <v>75</v>
      </c>
      <c r="P216" t="s">
        <v>747</v>
      </c>
      <c r="Q216" t="s">
        <v>49</v>
      </c>
      <c r="R216">
        <v>3</v>
      </c>
      <c r="S216" s="15">
        <v>248.18</v>
      </c>
      <c r="T216" s="4">
        <v>0.05</v>
      </c>
      <c r="U216" s="3" t="str">
        <f>IF(T216&lt;0, "negative_discount", IF(AND(T216&gt;0.5, T216&lt;=1), "high_discount", ""))</f>
        <v/>
      </c>
      <c r="V216" s="11">
        <v>707.31</v>
      </c>
      <c r="W216" s="12">
        <v>707.31</v>
      </c>
      <c r="X216" s="11">
        <v>569</v>
      </c>
      <c r="Y216" s="11">
        <v>138.31</v>
      </c>
      <c r="Z216" s="11">
        <f>ROUND(W216-X216,2)</f>
        <v>138.31</v>
      </c>
      <c r="AA216" s="4">
        <f>IF(W216=0,0,Z216/W216)</f>
        <v>0.19554367957472679</v>
      </c>
      <c r="AB216" t="s">
        <v>31</v>
      </c>
      <c r="AC216" t="s">
        <v>32</v>
      </c>
      <c r="AD216" t="str">
        <f>IF(AND(E216="", T216&gt;=0, T216&lt;=0.5, K216&lt;&gt;"Unknown", Q216&lt;&gt;"Unknown"), "CLEAN", _xlfn.CONCAT("WARNING: ", IF(E216&lt;&gt;"","invalid_date",""), IF(T216&lt;0,"negative_discount",""), IF(AND(T216&gt;0.5,T216&lt;=1),"high_discount",""), IF(K216="Unknown","missing_region",""), IF(Q216="Unknown","missing_ship_mode","")))</f>
        <v>CLEAN</v>
      </c>
      <c r="AE216" t="str">
        <f>IF(COUNTIF($AF$2:$AF$926,AF216)&gt;1,"DUPLICATE","UNIQUE")</f>
        <v>UNIQUE</v>
      </c>
      <c r="AF216" t="str">
        <f>A216&amp;"|"&amp;B216&amp;"|"&amp;H216&amp;"|"&amp;I216&amp;"|"&amp;R216&amp;"|"&amp;S216&amp;"|"&amp;V216</f>
        <v>ORD-2024-10215|2024-03-17|CUST-1301|Rahul Verma|3|248.18|707.31</v>
      </c>
      <c r="AG216" t="str">
        <f>IF(COUNTIF($A$2:$A$913,A216)&gt;1,"TRUE","FALSE")</f>
        <v>FALSE</v>
      </c>
    </row>
    <row r="217" spans="1:33">
      <c r="A217" t="s">
        <v>748</v>
      </c>
      <c r="B217" t="s">
        <v>2741</v>
      </c>
      <c r="C217" t="s">
        <v>156</v>
      </c>
      <c r="D217">
        <f>IF(OR(B217="", C217=""), "", (C217 - B217))</f>
        <v>61</v>
      </c>
      <c r="E217" t="str">
        <f>IF(C217&lt;B217, "INVALID: Ship date before order date", "")</f>
        <v/>
      </c>
      <c r="F217" t="str">
        <f>IF(B217="", "", TEXT(B217, "mmmm"))</f>
        <v>January</v>
      </c>
      <c r="G217">
        <f>IF(B217="", "", YEAR(B217))</f>
        <v>2024</v>
      </c>
      <c r="H217" t="s">
        <v>749</v>
      </c>
      <c r="I217" t="s">
        <v>35</v>
      </c>
      <c r="J217" t="s">
        <v>23</v>
      </c>
      <c r="K217" t="s">
        <v>62</v>
      </c>
      <c r="L217" t="s">
        <v>72</v>
      </c>
      <c r="M217" t="s">
        <v>73</v>
      </c>
      <c r="N217" t="s">
        <v>27</v>
      </c>
      <c r="O217" t="s">
        <v>28</v>
      </c>
      <c r="P217" t="s">
        <v>750</v>
      </c>
      <c r="Q217" t="s">
        <v>49</v>
      </c>
      <c r="R217">
        <v>8</v>
      </c>
      <c r="S217" s="15">
        <v>3202.4</v>
      </c>
      <c r="T217" s="4">
        <v>0.25</v>
      </c>
      <c r="U217" s="3" t="str">
        <f>IF(T217&lt;0, "negative_discount", IF(AND(T217&gt;0.5, T217&lt;=1), "high_discount", ""))</f>
        <v/>
      </c>
      <c r="V217" s="11">
        <v>19214.400000000001</v>
      </c>
      <c r="W217" s="12">
        <v>19214.400000000001</v>
      </c>
      <c r="X217" s="11">
        <v>10916.01</v>
      </c>
      <c r="Y217" s="11">
        <v>8298.39</v>
      </c>
      <c r="Z217" s="11">
        <f>ROUND(W217-X217,2)</f>
        <v>8298.39</v>
      </c>
      <c r="AA217" s="4">
        <f>IF(W217=0,0,Z217/W217)</f>
        <v>0.43188389957531848</v>
      </c>
      <c r="AB217" t="s">
        <v>31</v>
      </c>
      <c r="AC217" t="s">
        <v>32</v>
      </c>
      <c r="AD217" t="str">
        <f>IF(AND(E217="", T217&gt;=0, T217&lt;=0.5, K217&lt;&gt;"Unknown", Q217&lt;&gt;"Unknown"), "CLEAN", _xlfn.CONCAT("WARNING: ", IF(E217&lt;&gt;"","invalid_date",""), IF(T217&lt;0,"negative_discount",""), IF(AND(T217&gt;0.5,T217&lt;=1),"high_discount",""), IF(K217="Unknown","missing_region",""), IF(Q217="Unknown","missing_ship_mode","")))</f>
        <v>CLEAN</v>
      </c>
      <c r="AE217" t="str">
        <f>IF(COUNTIF($AF$2:$AF$926,AF217)&gt;1,"DUPLICATE","UNIQUE")</f>
        <v>UNIQUE</v>
      </c>
      <c r="AF217" t="str">
        <f>A217&amp;"|"&amp;B217&amp;"|"&amp;H217&amp;"|"&amp;I217&amp;"|"&amp;R217&amp;"|"&amp;S217&amp;"|"&amp;V217</f>
        <v>ORD-2024-10216|2024-01-03|CUST-8603|Mira Das|8|3202.4|19214.4</v>
      </c>
      <c r="AG217" t="str">
        <f>IF(COUNTIF($A$2:$A$913,A217)&gt;1,"TRUE","FALSE")</f>
        <v>FALSE</v>
      </c>
    </row>
    <row r="218" spans="1:33">
      <c r="A218" t="s">
        <v>3067</v>
      </c>
      <c r="B218" t="s">
        <v>1679</v>
      </c>
      <c r="C218" t="s">
        <v>1375</v>
      </c>
      <c r="D218">
        <f>IF(OR(B218="", C218=""), "", (C218 - B218))</f>
        <v>5</v>
      </c>
      <c r="E218" t="str">
        <f>IF(C218&lt;B218, "INVALID: Ship date before order date", "")</f>
        <v/>
      </c>
      <c r="F218" t="str">
        <f>IF(B218="", "", TEXT(B218, "mmmm"))</f>
        <v>April</v>
      </c>
      <c r="G218">
        <f>IF(B218="", "", YEAR(B218))</f>
        <v>2025</v>
      </c>
      <c r="H218" t="s">
        <v>751</v>
      </c>
      <c r="I218" t="s">
        <v>46</v>
      </c>
      <c r="J218" t="s">
        <v>23</v>
      </c>
      <c r="K218" t="s">
        <v>62</v>
      </c>
      <c r="L218" t="s">
        <v>176</v>
      </c>
      <c r="M218" t="s">
        <v>177</v>
      </c>
      <c r="N218" t="s">
        <v>40</v>
      </c>
      <c r="O218" t="s">
        <v>41</v>
      </c>
      <c r="P218" t="s">
        <v>752</v>
      </c>
      <c r="Q218" t="s">
        <v>58</v>
      </c>
      <c r="R218">
        <v>8</v>
      </c>
      <c r="S218" s="15">
        <v>1839.87</v>
      </c>
      <c r="T218" s="4">
        <v>0.25</v>
      </c>
      <c r="U218" s="3" t="str">
        <f>IF(T218&lt;0, "negative_discount", IF(AND(T218&gt;0.5, T218&lt;=1), "high_discount", ""))</f>
        <v/>
      </c>
      <c r="V218" s="11">
        <v>11039.22</v>
      </c>
      <c r="W218" s="12">
        <v>11039.22</v>
      </c>
      <c r="X218" s="11">
        <v>7642.91</v>
      </c>
      <c r="Y218" s="11">
        <v>3396.31</v>
      </c>
      <c r="Z218" s="11">
        <f>ROUND(W218-X218,2)</f>
        <v>3396.31</v>
      </c>
      <c r="AA218" s="4">
        <f>IF(W218=0,0,Z218/W218)</f>
        <v>0.30765851210502193</v>
      </c>
      <c r="AB218" t="s">
        <v>151</v>
      </c>
      <c r="AC218" t="s">
        <v>100</v>
      </c>
      <c r="AD218" t="str">
        <f>IF(AND(E218="", T218&gt;=0, T218&lt;=0.5, K218&lt;&gt;"Unknown", Q218&lt;&gt;"Unknown"), "CLEAN", _xlfn.CONCAT("WARNING: ", IF(E218&lt;&gt;"","invalid_date",""), IF(T218&lt;0,"negative_discount",""), IF(AND(T218&gt;0.5,T218&lt;=1),"high_discount",""), IF(K218="Unknown","missing_region",""), IF(Q218="Unknown","missing_ship_mode","")))</f>
        <v>CLEAN</v>
      </c>
      <c r="AE218" t="str">
        <f>IF(COUNTIF($AF$2:$AF$926,AF218)&gt;1,"DUPLICATE","UNIQUE")</f>
        <v>UNIQUE</v>
      </c>
      <c r="AF218" t="str">
        <f>A218&amp;"|"&amp;B218&amp;"|"&amp;H218&amp;"|"&amp;I218&amp;"|"&amp;R218&amp;"|"&amp;S218&amp;"|"&amp;V218</f>
        <v>ORD-2025-10217|2025-04-10|CUST-4330|Isha Nair|8|1839.87|11039.22</v>
      </c>
      <c r="AG218" t="str">
        <f>IF(COUNTIF($A$2:$A$913,A218)&gt;1,"TRUE","FALSE")</f>
        <v>FALSE</v>
      </c>
    </row>
    <row r="219" spans="1:33">
      <c r="A219" t="s">
        <v>3068</v>
      </c>
      <c r="B219" t="s">
        <v>875</v>
      </c>
      <c r="C219" t="s">
        <v>2918</v>
      </c>
      <c r="D219">
        <f>IF(OR(B219="", C219=""), "", (C219 - B219))</f>
        <v>94</v>
      </c>
      <c r="E219" t="str">
        <f>IF(C219&lt;B219, "INVALID: Ship date before order date", "")</f>
        <v/>
      </c>
      <c r="F219" t="str">
        <f>IF(B219="", "", TEXT(B219, "mmmm"))</f>
        <v>January</v>
      </c>
      <c r="G219">
        <f>IF(B219="", "", YEAR(B219))</f>
        <v>2025</v>
      </c>
      <c r="H219" t="s">
        <v>753</v>
      </c>
      <c r="I219" t="s">
        <v>88</v>
      </c>
      <c r="J219" t="s">
        <v>23</v>
      </c>
      <c r="K219" t="s">
        <v>37</v>
      </c>
      <c r="L219" t="s">
        <v>38</v>
      </c>
      <c r="M219" t="s">
        <v>39</v>
      </c>
      <c r="N219" t="s">
        <v>40</v>
      </c>
      <c r="O219" t="s">
        <v>153</v>
      </c>
      <c r="P219" t="s">
        <v>754</v>
      </c>
      <c r="Q219" t="s">
        <v>30</v>
      </c>
      <c r="R219">
        <v>5</v>
      </c>
      <c r="S219" s="15">
        <v>1021.28</v>
      </c>
      <c r="T219" s="4">
        <v>0.1</v>
      </c>
      <c r="U219" s="3" t="str">
        <f>IF(T219&lt;0, "negative_discount", IF(AND(T219&gt;0.5, T219&lt;=1), "high_discount", ""))</f>
        <v/>
      </c>
      <c r="V219" s="11">
        <v>4595.76</v>
      </c>
      <c r="W219" s="12">
        <v>4595.76</v>
      </c>
      <c r="X219" s="11">
        <v>3396.8</v>
      </c>
      <c r="Y219" s="11">
        <v>1198.96</v>
      </c>
      <c r="Z219" s="11">
        <f>ROUND(W219-X219,2)</f>
        <v>1198.96</v>
      </c>
      <c r="AA219" s="4">
        <f>IF(W219=0,0,Z219/W219)</f>
        <v>0.26088394520166414</v>
      </c>
      <c r="AB219" t="s">
        <v>99</v>
      </c>
      <c r="AC219" t="s">
        <v>67</v>
      </c>
      <c r="AD219" t="str">
        <f>IF(AND(E219="", T219&gt;=0, T219&lt;=0.5, K219&lt;&gt;"Unknown", Q219&lt;&gt;"Unknown"), "CLEAN", _xlfn.CONCAT("WARNING: ", IF(E219&lt;&gt;"","invalid_date",""), IF(T219&lt;0,"negative_discount",""), IF(AND(T219&gt;0.5,T219&lt;=1),"high_discount",""), IF(K219="Unknown","missing_region",""), IF(Q219="Unknown","missing_ship_mode","")))</f>
        <v>CLEAN</v>
      </c>
      <c r="AE219" t="str">
        <f>IF(COUNTIF($AF$2:$AF$926,AF219)&gt;1,"DUPLICATE","UNIQUE")</f>
        <v>UNIQUE</v>
      </c>
      <c r="AF219" t="str">
        <f>A219&amp;"|"&amp;B219&amp;"|"&amp;H219&amp;"|"&amp;I219&amp;"|"&amp;R219&amp;"|"&amp;S219&amp;"|"&amp;V219</f>
        <v>ORD-2025-10218|2025-01-04|CUST-4533|Aditi Sen|5|1021.28|4595.76</v>
      </c>
      <c r="AG219" t="str">
        <f>IF(COUNTIF($A$2:$A$913,A219)&gt;1,"TRUE","FALSE")</f>
        <v>FALSE</v>
      </c>
    </row>
    <row r="220" spans="1:33">
      <c r="A220" t="s">
        <v>3069</v>
      </c>
      <c r="B220" t="s">
        <v>2742</v>
      </c>
      <c r="C220" t="s">
        <v>1205</v>
      </c>
      <c r="D220">
        <f>IF(OR(B220="", C220=""), "", (C220 - B220))</f>
        <v>1</v>
      </c>
      <c r="E220" t="str">
        <f>IF(C220&lt;B220, "INVALID: Ship date before order date", "")</f>
        <v/>
      </c>
      <c r="F220" t="str">
        <f>IF(B220="", "", TEXT(B220, "mmmm"))</f>
        <v>February</v>
      </c>
      <c r="G220">
        <f>IF(B220="", "", YEAR(B220))</f>
        <v>2025</v>
      </c>
      <c r="H220" t="s">
        <v>755</v>
      </c>
      <c r="I220" t="s">
        <v>112</v>
      </c>
      <c r="J220" t="s">
        <v>89</v>
      </c>
      <c r="K220" t="s">
        <v>62</v>
      </c>
      <c r="L220" t="s">
        <v>176</v>
      </c>
      <c r="M220" t="s">
        <v>177</v>
      </c>
      <c r="N220" t="s">
        <v>40</v>
      </c>
      <c r="O220" t="s">
        <v>153</v>
      </c>
      <c r="P220" t="s">
        <v>756</v>
      </c>
      <c r="Q220" t="s">
        <v>58</v>
      </c>
      <c r="R220">
        <v>5</v>
      </c>
      <c r="S220" s="15">
        <v>258.27999999999997</v>
      </c>
      <c r="T220" s="4">
        <v>0</v>
      </c>
      <c r="U220" s="3" t="str">
        <f>IF(T220&lt;0, "negative_discount", IF(AND(T220&gt;0.5, T220&lt;=1), "high_discount", ""))</f>
        <v/>
      </c>
      <c r="V220" s="11">
        <v>1291.4000000000001</v>
      </c>
      <c r="W220" s="12">
        <v>1291.4000000000001</v>
      </c>
      <c r="X220" s="11">
        <v>756.93</v>
      </c>
      <c r="Y220" s="11">
        <v>534.47</v>
      </c>
      <c r="Z220" s="11">
        <f>ROUND(W220-X220,2)</f>
        <v>534.47</v>
      </c>
      <c r="AA220" s="4">
        <f>IF(W220=0,0,Z220/W220)</f>
        <v>0.41386866966083319</v>
      </c>
      <c r="AB220" t="s">
        <v>31</v>
      </c>
      <c r="AC220" t="s">
        <v>32</v>
      </c>
      <c r="AD220" t="str">
        <f>IF(AND(E220="", T220&gt;=0, T220&lt;=0.5, K220&lt;&gt;"Unknown", Q220&lt;&gt;"Unknown"), "CLEAN", _xlfn.CONCAT("WARNING: ", IF(E220&lt;&gt;"","invalid_date",""), IF(T220&lt;0,"negative_discount",""), IF(AND(T220&gt;0.5,T220&lt;=1),"high_discount",""), IF(K220="Unknown","missing_region",""), IF(Q220="Unknown","missing_ship_mode","")))</f>
        <v>CLEAN</v>
      </c>
      <c r="AE220" t="str">
        <f>IF(COUNTIF($AF$2:$AF$926,AF220)&gt;1,"DUPLICATE","UNIQUE")</f>
        <v>UNIQUE</v>
      </c>
      <c r="AF220" t="str">
        <f>A220&amp;"|"&amp;B220&amp;"|"&amp;H220&amp;"|"&amp;I220&amp;"|"&amp;R220&amp;"|"&amp;S220&amp;"|"&amp;V220</f>
        <v>ORD-2025-10219|2025-02-26|CUST-8270|Priya Menon|5|258.28|1291.4</v>
      </c>
      <c r="AG220" t="str">
        <f>IF(COUNTIF($A$2:$A$913,A220)&gt;1,"TRUE","FALSE")</f>
        <v>FALSE</v>
      </c>
    </row>
    <row r="221" spans="1:33">
      <c r="A221" t="s">
        <v>757</v>
      </c>
      <c r="B221" t="s">
        <v>468</v>
      </c>
      <c r="C221" t="s">
        <v>2839</v>
      </c>
      <c r="D221">
        <f>IF(OR(B221="", C221=""), "", (C221 - B221))</f>
        <v>1</v>
      </c>
      <c r="E221" t="str">
        <f>IF(C221&lt;B221, "INVALID: Ship date before order date", "")</f>
        <v/>
      </c>
      <c r="F221" t="str">
        <f>IF(B221="", "", TEXT(B221, "mmmm"))</f>
        <v>June</v>
      </c>
      <c r="G221">
        <f>IF(B221="", "", YEAR(B221))</f>
        <v>2024</v>
      </c>
      <c r="H221" t="s">
        <v>758</v>
      </c>
      <c r="I221" t="s">
        <v>116</v>
      </c>
      <c r="J221" t="s">
        <v>23</v>
      </c>
      <c r="K221" t="s">
        <v>37</v>
      </c>
      <c r="L221" t="s">
        <v>142</v>
      </c>
      <c r="M221" t="s">
        <v>143</v>
      </c>
      <c r="N221" t="s">
        <v>74</v>
      </c>
      <c r="O221" t="s">
        <v>272</v>
      </c>
      <c r="P221" t="s">
        <v>759</v>
      </c>
      <c r="Q221" t="s">
        <v>49</v>
      </c>
      <c r="R221">
        <v>2</v>
      </c>
      <c r="S221" s="15">
        <v>121.49</v>
      </c>
      <c r="T221" s="4">
        <v>0.85</v>
      </c>
      <c r="U221" s="3" t="str">
        <f>IF(T221&lt;0, "negative_discount", IF(AND(T221&gt;0.5, T221&lt;=1), "high_discount", ""))</f>
        <v>high_discount</v>
      </c>
      <c r="V221" s="11">
        <v>242.98</v>
      </c>
      <c r="W221" s="12">
        <v>36.450000000000003</v>
      </c>
      <c r="X221" s="11">
        <v>161.41999999999999</v>
      </c>
      <c r="Y221" s="11">
        <v>81.56</v>
      </c>
      <c r="Z221" s="11">
        <f>ROUND(W221-X221,2)</f>
        <v>-124.97</v>
      </c>
      <c r="AA221" s="4">
        <f>IF(W221=0,0,Z221/W221)</f>
        <v>-3.4285322359396431</v>
      </c>
      <c r="AB221" t="s">
        <v>31</v>
      </c>
      <c r="AC221" t="s">
        <v>32</v>
      </c>
      <c r="AD221" t="str">
        <f>IF(AND(E221="", T221&gt;=0, T221&lt;=0.5, K221&lt;&gt;"Unknown", Q221&lt;&gt;"Unknown"), "CLEAN", _xlfn.CONCAT("WARNING: ", IF(E221&lt;&gt;"","invalid_date",""), IF(T221&lt;0,"negative_discount",""), IF(AND(T221&gt;0.5,T221&lt;=1),"high_discount",""), IF(K221="Unknown","missing_region",""), IF(Q221="Unknown","missing_ship_mode","")))</f>
        <v>WARNING: high_discount</v>
      </c>
      <c r="AE221" t="str">
        <f>IF(COUNTIF($AF$2:$AF$926,AF221)&gt;1,"DUPLICATE","UNIQUE")</f>
        <v>UNIQUE</v>
      </c>
      <c r="AF221" t="str">
        <f>A221&amp;"|"&amp;B221&amp;"|"&amp;H221&amp;"|"&amp;I221&amp;"|"&amp;R221&amp;"|"&amp;S221&amp;"|"&amp;V221</f>
        <v>ORD-2024-10220|2024-06-18|CUST-1472|Rahul Verma|2|121.49|242.98</v>
      </c>
      <c r="AG221" t="str">
        <f>IF(COUNTIF($A$2:$A$913,A221)&gt;1,"TRUE","FALSE")</f>
        <v>FALSE</v>
      </c>
    </row>
    <row r="222" spans="1:33">
      <c r="A222" t="s">
        <v>760</v>
      </c>
      <c r="B222" t="s">
        <v>2743</v>
      </c>
      <c r="C222" t="s">
        <v>2743</v>
      </c>
      <c r="D222">
        <f>IF(OR(B222="", C222=""), "", (C222 - B222))</f>
        <v>0</v>
      </c>
      <c r="E222" t="str">
        <f>IF(C222&lt;B222, "INVALID: Ship date before order date", "")</f>
        <v/>
      </c>
      <c r="F222" t="str">
        <f>IF(B222="", "", TEXT(B222, "mmmm"))</f>
        <v>September</v>
      </c>
      <c r="G222">
        <f>IF(B222="", "", YEAR(B222))</f>
        <v>2024</v>
      </c>
      <c r="H222" t="s">
        <v>761</v>
      </c>
      <c r="I222" t="s">
        <v>131</v>
      </c>
      <c r="J222" t="s">
        <v>23</v>
      </c>
      <c r="K222" t="s">
        <v>53</v>
      </c>
      <c r="L222" t="s">
        <v>180</v>
      </c>
      <c r="M222" t="s">
        <v>181</v>
      </c>
      <c r="N222" t="s">
        <v>27</v>
      </c>
      <c r="O222" t="s">
        <v>122</v>
      </c>
      <c r="P222" t="s">
        <v>762</v>
      </c>
      <c r="Q222" t="s">
        <v>49</v>
      </c>
      <c r="R222">
        <v>4</v>
      </c>
      <c r="S222" s="15">
        <v>2810.17</v>
      </c>
      <c r="T222" s="4">
        <v>0.15</v>
      </c>
      <c r="U222" s="3" t="str">
        <f>IF(T222&lt;0, "negative_discount", IF(AND(T222&gt;0.5, T222&lt;=1), "high_discount", ""))</f>
        <v/>
      </c>
      <c r="V222" s="11">
        <v>9554.58</v>
      </c>
      <c r="W222" s="12">
        <v>9554.58</v>
      </c>
      <c r="X222" s="11">
        <v>6068.47</v>
      </c>
      <c r="Y222" s="11">
        <v>3486.11</v>
      </c>
      <c r="Z222" s="11">
        <f>ROUND(W222-X222,2)</f>
        <v>3486.11</v>
      </c>
      <c r="AA222" s="4">
        <f>IF(W222=0,0,Z222/W222)</f>
        <v>0.36486271505393225</v>
      </c>
      <c r="AB222" t="s">
        <v>99</v>
      </c>
      <c r="AC222" t="s">
        <v>67</v>
      </c>
      <c r="AD222" t="str">
        <f>IF(AND(E222="", T222&gt;=0, T222&lt;=0.5, K222&lt;&gt;"Unknown", Q222&lt;&gt;"Unknown"), "CLEAN", _xlfn.CONCAT("WARNING: ", IF(E222&lt;&gt;"","invalid_date",""), IF(T222&lt;0,"negative_discount",""), IF(AND(T222&gt;0.5,T222&lt;=1),"high_discount",""), IF(K222="Unknown","missing_region",""), IF(Q222="Unknown","missing_ship_mode","")))</f>
        <v>CLEAN</v>
      </c>
      <c r="AE222" t="str">
        <f>IF(COUNTIF($AF$2:$AF$926,AF222)&gt;1,"DUPLICATE","UNIQUE")</f>
        <v>UNIQUE</v>
      </c>
      <c r="AF222" t="str">
        <f>A222&amp;"|"&amp;B222&amp;"|"&amp;H222&amp;"|"&amp;I222&amp;"|"&amp;R222&amp;"|"&amp;S222&amp;"|"&amp;V222</f>
        <v>ORD-2024-10221|2024-09-03|CUST-1031|Sneha Kapoor|4|2810.17|9554.58</v>
      </c>
      <c r="AG222" t="str">
        <f>IF(COUNTIF($A$2:$A$913,A222)&gt;1,"TRUE","FALSE")</f>
        <v>FALSE</v>
      </c>
    </row>
    <row r="223" spans="1:33">
      <c r="A223" t="s">
        <v>3070</v>
      </c>
      <c r="B223" t="s">
        <v>2744</v>
      </c>
      <c r="C223" t="s">
        <v>763</v>
      </c>
      <c r="D223">
        <f>IF(OR(B223="", C223=""), "", (C223 - B223))</f>
        <v>-320</v>
      </c>
      <c r="E223" t="str">
        <f>IF(C223&lt;B223, "INVALID: Ship date before order date", "")</f>
        <v>INVALID: Ship date before order date</v>
      </c>
      <c r="F223" t="str">
        <f>IF(B223="", "", TEXT(B223, "mmmm"))</f>
        <v>December</v>
      </c>
      <c r="G223">
        <f>IF(B223="", "", YEAR(B223))</f>
        <v>2025</v>
      </c>
      <c r="H223" t="s">
        <v>764</v>
      </c>
      <c r="I223" t="s">
        <v>35</v>
      </c>
      <c r="J223" t="s">
        <v>89</v>
      </c>
      <c r="K223" t="s">
        <v>53</v>
      </c>
      <c r="L223" t="s">
        <v>171</v>
      </c>
      <c r="M223" t="s">
        <v>172</v>
      </c>
      <c r="N223" t="s">
        <v>40</v>
      </c>
      <c r="O223" t="s">
        <v>65</v>
      </c>
      <c r="P223" t="s">
        <v>765</v>
      </c>
      <c r="Q223" t="s">
        <v>43</v>
      </c>
      <c r="R223">
        <v>4</v>
      </c>
      <c r="S223" s="15">
        <v>1531.53</v>
      </c>
      <c r="T223" s="4">
        <v>0.2</v>
      </c>
      <c r="U223" s="3" t="str">
        <f>IF(T223&lt;0, "negative_discount", IF(AND(T223&gt;0.5, T223&lt;=1), "high_discount", ""))</f>
        <v/>
      </c>
      <c r="V223" s="11">
        <v>4900.8999999999996</v>
      </c>
      <c r="W223" s="12">
        <v>4900.8999999999996</v>
      </c>
      <c r="X223" s="11">
        <v>3552.69</v>
      </c>
      <c r="Y223" s="11">
        <v>1348.21</v>
      </c>
      <c r="Z223" s="11">
        <f>ROUND(W223-X223,2)</f>
        <v>1348.21</v>
      </c>
      <c r="AA223" s="4">
        <f>IF(W223=0,0,Z223/W223)</f>
        <v>0.27509437042175927</v>
      </c>
      <c r="AB223" t="s">
        <v>31</v>
      </c>
      <c r="AC223" t="s">
        <v>32</v>
      </c>
      <c r="AD223" t="str">
        <f>IF(AND(E223="", T223&gt;=0, T223&lt;=0.5, K223&lt;&gt;"Unknown", Q223&lt;&gt;"Unknown"), "CLEAN", _xlfn.CONCAT("WARNING: ", IF(E223&lt;&gt;"","invalid_date",""), IF(T223&lt;0,"negative_discount",""), IF(AND(T223&gt;0.5,T223&lt;=1),"high_discount",""), IF(K223="Unknown","missing_region",""), IF(Q223="Unknown","missing_ship_mode","")))</f>
        <v>WARNING: invalid_date</v>
      </c>
      <c r="AE223" t="str">
        <f>IF(COUNTIF($AF$2:$AF$926,AF223)&gt;1,"DUPLICATE","UNIQUE")</f>
        <v>UNIQUE</v>
      </c>
      <c r="AF223" t="str">
        <f>A223&amp;"|"&amp;B223&amp;"|"&amp;H223&amp;"|"&amp;I223&amp;"|"&amp;R223&amp;"|"&amp;S223&amp;"|"&amp;V223</f>
        <v>ORD-2025-10222|2025-12-01|CUST-2495|Mira Das|4|1531.53|4900.9</v>
      </c>
      <c r="AG223" t="str">
        <f>IF(COUNTIF($A$2:$A$913,A223)&gt;1,"TRUE","FALSE")</f>
        <v>FALSE</v>
      </c>
    </row>
    <row r="224" spans="1:33">
      <c r="A224" t="s">
        <v>3071</v>
      </c>
      <c r="B224" t="s">
        <v>1274</v>
      </c>
      <c r="C224" t="s">
        <v>2708</v>
      </c>
      <c r="D224">
        <f>IF(OR(B224="", C224=""), "", (C224 - B224))</f>
        <v>3</v>
      </c>
      <c r="E224" t="str">
        <f>IF(C224&lt;B224, "INVALID: Ship date before order date", "")</f>
        <v/>
      </c>
      <c r="F224" t="str">
        <f>IF(B224="", "", TEXT(B224, "mmmm"))</f>
        <v>April</v>
      </c>
      <c r="G224">
        <f>IF(B224="", "", YEAR(B224))</f>
        <v>2025</v>
      </c>
      <c r="H224" t="s">
        <v>766</v>
      </c>
      <c r="I224" t="s">
        <v>71</v>
      </c>
      <c r="J224" t="s">
        <v>36</v>
      </c>
      <c r="K224" t="s">
        <v>62</v>
      </c>
      <c r="L224" t="s">
        <v>185</v>
      </c>
      <c r="M224" t="s">
        <v>186</v>
      </c>
      <c r="N224" t="s">
        <v>27</v>
      </c>
      <c r="O224" t="s">
        <v>122</v>
      </c>
      <c r="P224" t="s">
        <v>767</v>
      </c>
      <c r="Q224" t="s">
        <v>49</v>
      </c>
      <c r="R224">
        <v>6</v>
      </c>
      <c r="S224" s="15">
        <v>4308.09</v>
      </c>
      <c r="T224" s="4">
        <v>0</v>
      </c>
      <c r="U224" s="3" t="str">
        <f>IF(T224&lt;0, "negative_discount", IF(AND(T224&gt;0.5, T224&lt;=1), "high_discount", ""))</f>
        <v/>
      </c>
      <c r="V224" s="11">
        <v>25848.54</v>
      </c>
      <c r="W224" s="12">
        <v>25848.54</v>
      </c>
      <c r="X224" s="11">
        <v>17729.09</v>
      </c>
      <c r="Y224" s="11">
        <v>8119.45</v>
      </c>
      <c r="Z224" s="11">
        <f>ROUND(W224-X224,2)</f>
        <v>8119.45</v>
      </c>
      <c r="AA224" s="4">
        <f>IF(W224=0,0,Z224/W224)</f>
        <v>0.31411638723115504</v>
      </c>
      <c r="AB224" t="s">
        <v>31</v>
      </c>
      <c r="AC224" t="s">
        <v>32</v>
      </c>
      <c r="AD224" t="str">
        <f>IF(AND(E224="", T224&gt;=0, T224&lt;=0.5, K224&lt;&gt;"Unknown", Q224&lt;&gt;"Unknown"), "CLEAN", _xlfn.CONCAT("WARNING: ", IF(E224&lt;&gt;"","invalid_date",""), IF(T224&lt;0,"negative_discount",""), IF(AND(T224&gt;0.5,T224&lt;=1),"high_discount",""), IF(K224="Unknown","missing_region",""), IF(Q224="Unknown","missing_ship_mode","")))</f>
        <v>CLEAN</v>
      </c>
      <c r="AE224" t="str">
        <f>IF(COUNTIF($AF$2:$AF$926,AF224)&gt;1,"DUPLICATE","UNIQUE")</f>
        <v>UNIQUE</v>
      </c>
      <c r="AF224" t="str">
        <f>A224&amp;"|"&amp;B224&amp;"|"&amp;H224&amp;"|"&amp;I224&amp;"|"&amp;R224&amp;"|"&amp;S224&amp;"|"&amp;V224</f>
        <v>ORD-2025-10223|2025-04-29|CUST-4583|Vikram Iyer|6|4308.09|25848.54</v>
      </c>
      <c r="AG224" t="str">
        <f>IF(COUNTIF($A$2:$A$913,A224)&gt;1,"TRUE","FALSE")</f>
        <v>FALSE</v>
      </c>
    </row>
    <row r="225" spans="1:33">
      <c r="A225" t="s">
        <v>3072</v>
      </c>
      <c r="B225" t="s">
        <v>2745</v>
      </c>
      <c r="C225" t="s">
        <v>2742</v>
      </c>
      <c r="D225">
        <f>IF(OR(B225="", C225=""), "", (C225 - B225))</f>
        <v>7</v>
      </c>
      <c r="E225" t="str">
        <f>IF(C225&lt;B225, "INVALID: Ship date before order date", "")</f>
        <v/>
      </c>
      <c r="F225" t="str">
        <f>IF(B225="", "", TEXT(B225, "mmmm"))</f>
        <v>February</v>
      </c>
      <c r="G225">
        <f>IF(B225="", "", YEAR(B225))</f>
        <v>2025</v>
      </c>
      <c r="H225" t="s">
        <v>768</v>
      </c>
      <c r="I225" t="s">
        <v>35</v>
      </c>
      <c r="J225" t="s">
        <v>89</v>
      </c>
      <c r="K225" t="s">
        <v>62</v>
      </c>
      <c r="L225" t="s">
        <v>63</v>
      </c>
      <c r="M225" t="s">
        <v>64</v>
      </c>
      <c r="N225" t="s">
        <v>40</v>
      </c>
      <c r="O225" t="s">
        <v>56</v>
      </c>
      <c r="P225" t="s">
        <v>769</v>
      </c>
      <c r="Q225" t="s">
        <v>49</v>
      </c>
      <c r="R225">
        <v>3</v>
      </c>
      <c r="S225" s="15">
        <v>490.3</v>
      </c>
      <c r="T225" s="4">
        <v>0.2</v>
      </c>
      <c r="U225" s="3" t="str">
        <f>IF(T225&lt;0, "negative_discount", IF(AND(T225&gt;0.5, T225&lt;=1), "high_discount", ""))</f>
        <v/>
      </c>
      <c r="V225" s="11">
        <v>1176.72</v>
      </c>
      <c r="W225" s="12">
        <v>1176.72</v>
      </c>
      <c r="X225" s="11">
        <v>654.33000000000004</v>
      </c>
      <c r="Y225" s="11">
        <v>522.39</v>
      </c>
      <c r="Z225" s="11">
        <f>ROUND(W225-X225,2)</f>
        <v>522.39</v>
      </c>
      <c r="AA225" s="4">
        <f>IF(W225=0,0,Z225/W225)</f>
        <v>0.44393738527432181</v>
      </c>
      <c r="AB225" t="s">
        <v>109</v>
      </c>
      <c r="AC225" t="s">
        <v>100</v>
      </c>
      <c r="AD225" t="str">
        <f>IF(AND(E225="", T225&gt;=0, T225&lt;=0.5, K225&lt;&gt;"Unknown", Q225&lt;&gt;"Unknown"), "CLEAN", _xlfn.CONCAT("WARNING: ", IF(E225&lt;&gt;"","invalid_date",""), IF(T225&lt;0,"negative_discount",""), IF(AND(T225&gt;0.5,T225&lt;=1),"high_discount",""), IF(K225="Unknown","missing_region",""), IF(Q225="Unknown","missing_ship_mode","")))</f>
        <v>CLEAN</v>
      </c>
      <c r="AE225" t="str">
        <f>IF(COUNTIF($AF$2:$AF$926,AF225)&gt;1,"DUPLICATE","UNIQUE")</f>
        <v>UNIQUE</v>
      </c>
      <c r="AF225" t="str">
        <f>A225&amp;"|"&amp;B225&amp;"|"&amp;H225&amp;"|"&amp;I225&amp;"|"&amp;R225&amp;"|"&amp;S225&amp;"|"&amp;V225</f>
        <v>ORD-2025-10224|2025-02-19|CUST-5319|Mira Das|3|490.3|1176.72</v>
      </c>
      <c r="AG225" t="str">
        <f>IF(COUNTIF($A$2:$A$913,A225)&gt;1,"TRUE","FALSE")</f>
        <v>FALSE</v>
      </c>
    </row>
    <row r="226" spans="1:33">
      <c r="A226" t="s">
        <v>3073</v>
      </c>
      <c r="B226" t="s">
        <v>2746</v>
      </c>
      <c r="C226" t="s">
        <v>2415</v>
      </c>
      <c r="D226">
        <f>IF(OR(B226="", C226=""), "", (C226 - B226))</f>
        <v>6</v>
      </c>
      <c r="E226" t="str">
        <f>IF(C226&lt;B226, "INVALID: Ship date before order date", "")</f>
        <v/>
      </c>
      <c r="F226" t="str">
        <f>IF(B226="", "", TEXT(B226, "mmmm"))</f>
        <v>October</v>
      </c>
      <c r="G226">
        <f>IF(B226="", "", YEAR(B226))</f>
        <v>2025</v>
      </c>
      <c r="H226" t="s">
        <v>770</v>
      </c>
      <c r="I226" t="s">
        <v>46</v>
      </c>
      <c r="J226" t="s">
        <v>36</v>
      </c>
      <c r="K226" t="s">
        <v>24</v>
      </c>
      <c r="L226" t="s">
        <v>120</v>
      </c>
      <c r="M226" t="s">
        <v>121</v>
      </c>
      <c r="N226" t="s">
        <v>40</v>
      </c>
      <c r="O226" t="s">
        <v>56</v>
      </c>
      <c r="P226" t="s">
        <v>771</v>
      </c>
      <c r="Q226" t="s">
        <v>58</v>
      </c>
      <c r="R226">
        <v>4</v>
      </c>
      <c r="S226" s="15">
        <v>3944.64</v>
      </c>
      <c r="T226" s="4">
        <v>0.25</v>
      </c>
      <c r="U226" s="3" t="str">
        <f>IF(T226&lt;0, "negative_discount", IF(AND(T226&gt;0.5, T226&lt;=1), "high_discount", ""))</f>
        <v/>
      </c>
      <c r="V226" s="11">
        <v>11833.92</v>
      </c>
      <c r="W226" s="12">
        <v>11833.92</v>
      </c>
      <c r="X226" s="11">
        <v>6682.92</v>
      </c>
      <c r="Y226" s="11">
        <v>5151</v>
      </c>
      <c r="Z226" s="11">
        <f>ROUND(W226-X226,2)</f>
        <v>5151</v>
      </c>
      <c r="AA226" s="4">
        <f>IF(W226=0,0,Z226/W226)</f>
        <v>0.43527419485681834</v>
      </c>
      <c r="AB226" t="s">
        <v>31</v>
      </c>
      <c r="AC226" t="s">
        <v>67</v>
      </c>
      <c r="AD226" t="str">
        <f>IF(AND(E226="", T226&gt;=0, T226&lt;=0.5, K226&lt;&gt;"Unknown", Q226&lt;&gt;"Unknown"), "CLEAN", _xlfn.CONCAT("WARNING: ", IF(E226&lt;&gt;"","invalid_date",""), IF(T226&lt;0,"negative_discount",""), IF(AND(T226&gt;0.5,T226&lt;=1),"high_discount",""), IF(K226="Unknown","missing_region",""), IF(Q226="Unknown","missing_ship_mode","")))</f>
        <v>CLEAN</v>
      </c>
      <c r="AE226" t="str">
        <f>IF(COUNTIF($AF$2:$AF$926,AF226)&gt;1,"DUPLICATE","UNIQUE")</f>
        <v>UNIQUE</v>
      </c>
      <c r="AF226" t="str">
        <f>A226&amp;"|"&amp;B226&amp;"|"&amp;H226&amp;"|"&amp;I226&amp;"|"&amp;R226&amp;"|"&amp;S226&amp;"|"&amp;V226</f>
        <v>ORD-2025-10225|2025-10-02|CUST-9871|Isha Nair|4|3944.64|11833.92</v>
      </c>
      <c r="AG226" t="str">
        <f>IF(COUNTIF($A$2:$A$913,A226)&gt;1,"TRUE","FALSE")</f>
        <v>TRUE</v>
      </c>
    </row>
    <row r="227" spans="1:33">
      <c r="A227" t="s">
        <v>772</v>
      </c>
      <c r="B227" t="s">
        <v>2747</v>
      </c>
      <c r="C227" t="s">
        <v>773</v>
      </c>
      <c r="D227">
        <f>IF(OR(B227="", C227=""), "", (C227 - B227))</f>
        <v>8</v>
      </c>
      <c r="E227" t="str">
        <f>IF(C227&lt;B227, "INVALID: Ship date before order date", "")</f>
        <v/>
      </c>
      <c r="F227" t="str">
        <f>IF(B227="", "", TEXT(B227, "mmmm"))</f>
        <v>September</v>
      </c>
      <c r="G227">
        <f>IF(B227="", "", YEAR(B227))</f>
        <v>2024</v>
      </c>
      <c r="H227" t="s">
        <v>774</v>
      </c>
      <c r="I227" t="s">
        <v>35</v>
      </c>
      <c r="J227" t="s">
        <v>89</v>
      </c>
      <c r="K227" t="s">
        <v>62</v>
      </c>
      <c r="L227" t="s">
        <v>185</v>
      </c>
      <c r="M227" t="s">
        <v>186</v>
      </c>
      <c r="N227" t="s">
        <v>74</v>
      </c>
      <c r="O227" t="s">
        <v>168</v>
      </c>
      <c r="P227" t="s">
        <v>775</v>
      </c>
      <c r="Q227" t="s">
        <v>58</v>
      </c>
      <c r="R227">
        <v>6</v>
      </c>
      <c r="S227" s="15">
        <v>1032.47</v>
      </c>
      <c r="T227" s="4">
        <v>0.15</v>
      </c>
      <c r="U227" s="3" t="str">
        <f>IF(T227&lt;0, "negative_discount", IF(AND(T227&gt;0.5, T227&lt;=1), "high_discount", ""))</f>
        <v/>
      </c>
      <c r="V227" s="11">
        <v>5265.6</v>
      </c>
      <c r="W227" s="12">
        <v>5265.6</v>
      </c>
      <c r="X227" s="11">
        <v>4293.1099999999997</v>
      </c>
      <c r="Y227" s="11">
        <v>787.57</v>
      </c>
      <c r="Z227" s="11">
        <f>ROUND(W227-X227,2)</f>
        <v>972.49</v>
      </c>
      <c r="AA227" s="4">
        <f>IF(W227=0,0,Z227/W227)</f>
        <v>0.18468740504405953</v>
      </c>
      <c r="AB227" t="s">
        <v>31</v>
      </c>
      <c r="AC227" t="s">
        <v>32</v>
      </c>
      <c r="AD227" t="str">
        <f>IF(AND(E227="", T227&gt;=0, T227&lt;=0.5, K227&lt;&gt;"Unknown", Q227&lt;&gt;"Unknown"), "CLEAN", _xlfn.CONCAT("WARNING: ", IF(E227&lt;&gt;"","invalid_date",""), IF(T227&lt;0,"negative_discount",""), IF(AND(T227&gt;0.5,T227&lt;=1),"high_discount",""), IF(K227="Unknown","missing_region",""), IF(Q227="Unknown","missing_ship_mode","")))</f>
        <v>CLEAN</v>
      </c>
      <c r="AE227" t="str">
        <f>IF(COUNTIF($AF$2:$AF$926,AF227)&gt;1,"DUPLICATE","UNIQUE")</f>
        <v>UNIQUE</v>
      </c>
      <c r="AF227" t="str">
        <f>A227&amp;"|"&amp;B227&amp;"|"&amp;H227&amp;"|"&amp;I227&amp;"|"&amp;R227&amp;"|"&amp;S227&amp;"|"&amp;V227</f>
        <v>ORD-2024-10226|2024-09-02|CUST-1266|Mira Das|6|1032.47|5265.6</v>
      </c>
      <c r="AG227" t="str">
        <f>IF(COUNTIF($A$2:$A$913,A227)&gt;1,"TRUE","FALSE")</f>
        <v>FALSE</v>
      </c>
    </row>
    <row r="228" spans="1:33">
      <c r="A228" t="s">
        <v>3074</v>
      </c>
      <c r="B228" t="s">
        <v>506</v>
      </c>
      <c r="C228" t="s">
        <v>1375</v>
      </c>
      <c r="D228">
        <f>IF(OR(B228="", C228=""), "", (C228 - B228))</f>
        <v>-172</v>
      </c>
      <c r="E228" t="str">
        <f>IF(C228&lt;B228, "INVALID: Ship date before order date", "")</f>
        <v>INVALID: Ship date before order date</v>
      </c>
      <c r="F228" t="str">
        <f>IF(B228="", "", TEXT(B228, "mmmm"))</f>
        <v>October</v>
      </c>
      <c r="G228">
        <f>IF(B228="", "", YEAR(B228))</f>
        <v>2025</v>
      </c>
      <c r="H228" t="s">
        <v>776</v>
      </c>
      <c r="I228" t="s">
        <v>158</v>
      </c>
      <c r="J228" t="s">
        <v>93</v>
      </c>
      <c r="K228" t="s">
        <v>2970</v>
      </c>
      <c r="L228" t="s">
        <v>180</v>
      </c>
      <c r="M228" t="s">
        <v>181</v>
      </c>
      <c r="N228" t="s">
        <v>74</v>
      </c>
      <c r="O228" t="s">
        <v>79</v>
      </c>
      <c r="P228" t="s">
        <v>777</v>
      </c>
      <c r="Q228" t="s">
        <v>43</v>
      </c>
      <c r="R228">
        <v>1</v>
      </c>
      <c r="S228" s="15">
        <v>2208.27</v>
      </c>
      <c r="T228" s="4">
        <v>0.1</v>
      </c>
      <c r="U228" s="3" t="str">
        <f>IF(T228&lt;0, "negative_discount", IF(AND(T228&gt;0.5, T228&lt;=1), "high_discount", ""))</f>
        <v/>
      </c>
      <c r="V228" s="11">
        <v>1987.44</v>
      </c>
      <c r="W228" s="12">
        <v>1987.44</v>
      </c>
      <c r="X228" s="11">
        <v>1110.23</v>
      </c>
      <c r="Y228" s="11">
        <v>877.21</v>
      </c>
      <c r="Z228" s="11">
        <f>ROUND(W228-X228,2)</f>
        <v>877.21</v>
      </c>
      <c r="AA228" s="4">
        <f>IF(W228=0,0,Z228/W228)</f>
        <v>0.44137684659662685</v>
      </c>
      <c r="AB228" t="s">
        <v>31</v>
      </c>
      <c r="AC228" t="s">
        <v>32</v>
      </c>
      <c r="AD228" t="str">
        <f>IF(AND(E228="", T228&gt;=0, T228&lt;=0.5, K228&lt;&gt;"Unknown", Q228&lt;&gt;"Unknown"), "CLEAN", _xlfn.CONCAT("WARNING: ", IF(E228&lt;&gt;"","invalid_date",""), IF(T228&lt;0,"negative_discount",""), IF(AND(T228&gt;0.5,T228&lt;=1),"high_discount",""), IF(K228="Unknown","missing_region",""), IF(Q228="Unknown","missing_ship_mode","")))</f>
        <v>WARNING: invalid_datemissing_region</v>
      </c>
      <c r="AE228" t="str">
        <f>IF(COUNTIF($AF$2:$AF$926,AF228)&gt;1,"DUPLICATE","UNIQUE")</f>
        <v>UNIQUE</v>
      </c>
      <c r="AF228" t="str">
        <f>A228&amp;"|"&amp;B228&amp;"|"&amp;H228&amp;"|"&amp;I228&amp;"|"&amp;R228&amp;"|"&amp;S228&amp;"|"&amp;V228</f>
        <v>ORD-2025-10227|2025-10-04|CUST-2545|Diya Patel|1|2208.27|1987.44</v>
      </c>
      <c r="AG228" t="str">
        <f>IF(COUNTIF($A$2:$A$913,A228)&gt;1,"TRUE","FALSE")</f>
        <v>FALSE</v>
      </c>
    </row>
    <row r="229" spans="1:33">
      <c r="A229" t="s">
        <v>778</v>
      </c>
      <c r="B229" t="s">
        <v>779</v>
      </c>
      <c r="C229" t="s">
        <v>2328</v>
      </c>
      <c r="D229">
        <f>IF(OR(B229="", C229=""), "", (C229 - B229))</f>
        <v>7</v>
      </c>
      <c r="E229" t="str">
        <f>IF(C229&lt;B229, "INVALID: Ship date before order date", "")</f>
        <v/>
      </c>
      <c r="F229" t="str">
        <f>IF(B229="", "", TEXT(B229, "mmmm"))</f>
        <v>July</v>
      </c>
      <c r="G229">
        <f>IF(B229="", "", YEAR(B229))</f>
        <v>2024</v>
      </c>
      <c r="H229" t="s">
        <v>780</v>
      </c>
      <c r="I229" t="s">
        <v>61</v>
      </c>
      <c r="J229" t="s">
        <v>36</v>
      </c>
      <c r="K229" t="s">
        <v>62</v>
      </c>
      <c r="L229" t="s">
        <v>185</v>
      </c>
      <c r="M229" t="s">
        <v>186</v>
      </c>
      <c r="N229" t="s">
        <v>27</v>
      </c>
      <c r="O229" t="s">
        <v>149</v>
      </c>
      <c r="P229" t="s">
        <v>781</v>
      </c>
      <c r="Q229" t="s">
        <v>49</v>
      </c>
      <c r="R229">
        <v>3</v>
      </c>
      <c r="S229" s="15">
        <v>577.75</v>
      </c>
      <c r="T229" s="4">
        <v>0.15</v>
      </c>
      <c r="U229" s="3" t="str">
        <f>IF(T229&lt;0, "negative_discount", IF(AND(T229&gt;0.5, T229&lt;=1), "high_discount", ""))</f>
        <v/>
      </c>
      <c r="V229" s="11">
        <v>1473.26</v>
      </c>
      <c r="W229" s="12">
        <v>1473.26</v>
      </c>
      <c r="X229" s="11">
        <v>899.86</v>
      </c>
      <c r="Y229" s="11">
        <v>573.4</v>
      </c>
      <c r="Z229" s="11">
        <f>ROUND(W229-X229,2)</f>
        <v>573.4</v>
      </c>
      <c r="AA229" s="4">
        <f>IF(W229=0,0,Z229/W229)</f>
        <v>0.38920489255121293</v>
      </c>
      <c r="AB229" t="s">
        <v>31</v>
      </c>
      <c r="AC229" t="s">
        <v>32</v>
      </c>
      <c r="AD229" t="str">
        <f>IF(AND(E229="", T229&gt;=0, T229&lt;=0.5, K229&lt;&gt;"Unknown", Q229&lt;&gt;"Unknown"), "CLEAN", _xlfn.CONCAT("WARNING: ", IF(E229&lt;&gt;"","invalid_date",""), IF(T229&lt;0,"negative_discount",""), IF(AND(T229&gt;0.5,T229&lt;=1),"high_discount",""), IF(K229="Unknown","missing_region",""), IF(Q229="Unknown","missing_ship_mode","")))</f>
        <v>CLEAN</v>
      </c>
      <c r="AE229" t="str">
        <f>IF(COUNTIF($AF$2:$AF$926,AF229)&gt;1,"DUPLICATE","UNIQUE")</f>
        <v>UNIQUE</v>
      </c>
      <c r="AF229" t="str">
        <f>A229&amp;"|"&amp;B229&amp;"|"&amp;H229&amp;"|"&amp;I229&amp;"|"&amp;R229&amp;"|"&amp;S229&amp;"|"&amp;V229</f>
        <v>ORD-2024-10228|2024-07-05|CUST-2819|Ananya Rao|3|577.75|1473.26</v>
      </c>
      <c r="AG229" t="str">
        <f>IF(COUNTIF($A$2:$A$913,A229)&gt;1,"TRUE","FALSE")</f>
        <v>FALSE</v>
      </c>
    </row>
    <row r="230" spans="1:33">
      <c r="A230" t="s">
        <v>782</v>
      </c>
      <c r="B230" t="s">
        <v>2690</v>
      </c>
      <c r="C230" t="s">
        <v>2919</v>
      </c>
      <c r="D230">
        <f>IF(OR(B230="", C230=""), "", (C230 - B230))</f>
        <v>4</v>
      </c>
      <c r="E230" t="str">
        <f>IF(C230&lt;B230, "INVALID: Ship date before order date", "")</f>
        <v/>
      </c>
      <c r="F230" t="str">
        <f>IF(B230="", "", TEXT(B230, "mmmm"))</f>
        <v>April</v>
      </c>
      <c r="G230">
        <f>IF(B230="", "", YEAR(B230))</f>
        <v>2024</v>
      </c>
      <c r="H230" t="s">
        <v>783</v>
      </c>
      <c r="I230" t="s">
        <v>22</v>
      </c>
      <c r="J230" t="s">
        <v>36</v>
      </c>
      <c r="K230" t="s">
        <v>53</v>
      </c>
      <c r="L230" t="s">
        <v>54</v>
      </c>
      <c r="M230" t="s">
        <v>55</v>
      </c>
      <c r="N230" t="s">
        <v>27</v>
      </c>
      <c r="O230" t="s">
        <v>90</v>
      </c>
      <c r="P230" t="s">
        <v>784</v>
      </c>
      <c r="Q230" t="s">
        <v>30</v>
      </c>
      <c r="R230">
        <v>1</v>
      </c>
      <c r="S230" s="15">
        <v>3194.37</v>
      </c>
      <c r="T230" s="4">
        <v>0.15</v>
      </c>
      <c r="U230" s="3" t="str">
        <f>IF(T230&lt;0, "negative_discount", IF(AND(T230&gt;0.5, T230&lt;=1), "high_discount", ""))</f>
        <v/>
      </c>
      <c r="V230" s="11">
        <v>2715.21</v>
      </c>
      <c r="W230" s="12">
        <v>2715.21</v>
      </c>
      <c r="X230" s="11">
        <v>1551.55</v>
      </c>
      <c r="Y230" s="11">
        <v>1163.6600000000001</v>
      </c>
      <c r="Z230" s="11">
        <f>ROUND(W230-X230,2)</f>
        <v>1163.6600000000001</v>
      </c>
      <c r="AA230" s="4">
        <f>IF(W230=0,0,Z230/W230)</f>
        <v>0.4285709024348025</v>
      </c>
      <c r="AB230" t="s">
        <v>31</v>
      </c>
      <c r="AC230" t="s">
        <v>32</v>
      </c>
      <c r="AD230" t="str">
        <f>IF(AND(E230="", T230&gt;=0, T230&lt;=0.5, K230&lt;&gt;"Unknown", Q230&lt;&gt;"Unknown"), "CLEAN", _xlfn.CONCAT("WARNING: ", IF(E230&lt;&gt;"","invalid_date",""), IF(T230&lt;0,"negative_discount",""), IF(AND(T230&gt;0.5,T230&lt;=1),"high_discount",""), IF(K230="Unknown","missing_region",""), IF(Q230="Unknown","missing_ship_mode","")))</f>
        <v>CLEAN</v>
      </c>
      <c r="AE230" t="str">
        <f>IF(COUNTIF($AF$2:$AF$926,AF230)&gt;1,"DUPLICATE","UNIQUE")</f>
        <v>UNIQUE</v>
      </c>
      <c r="AF230" t="str">
        <f>A230&amp;"|"&amp;B230&amp;"|"&amp;H230&amp;"|"&amp;I230&amp;"|"&amp;R230&amp;"|"&amp;S230&amp;"|"&amp;V230</f>
        <v>ORD-2024-10229|2024-04-24|CUST-1076|Karan Malhotra|1|3194.37|2715.21</v>
      </c>
      <c r="AG230" t="str">
        <f>IF(COUNTIF($A$2:$A$913,A230)&gt;1,"TRUE","FALSE")</f>
        <v>FALSE</v>
      </c>
    </row>
    <row r="231" spans="1:33">
      <c r="A231" t="s">
        <v>3075</v>
      </c>
      <c r="B231" t="s">
        <v>785</v>
      </c>
      <c r="C231" t="s">
        <v>1554</v>
      </c>
      <c r="D231">
        <f>IF(OR(B231="", C231=""), "", (C231 - B231))</f>
        <v>6</v>
      </c>
      <c r="E231" t="str">
        <f>IF(C231&lt;B231, "INVALID: Ship date before order date", "")</f>
        <v/>
      </c>
      <c r="F231" t="str">
        <f>IF(B231="", "", TEXT(B231, "mmmm"))</f>
        <v>June</v>
      </c>
      <c r="G231">
        <f>IF(B231="", "", YEAR(B231))</f>
        <v>2025</v>
      </c>
      <c r="H231" t="s">
        <v>786</v>
      </c>
      <c r="I231" t="s">
        <v>139</v>
      </c>
      <c r="J231" t="s">
        <v>23</v>
      </c>
      <c r="K231" t="s">
        <v>53</v>
      </c>
      <c r="L231" t="s">
        <v>54</v>
      </c>
      <c r="M231" t="s">
        <v>55</v>
      </c>
      <c r="N231" t="s">
        <v>40</v>
      </c>
      <c r="O231" t="s">
        <v>153</v>
      </c>
      <c r="P231" t="s">
        <v>787</v>
      </c>
      <c r="Q231" t="s">
        <v>49</v>
      </c>
      <c r="R231">
        <v>3</v>
      </c>
      <c r="S231" s="15">
        <v>2886.23</v>
      </c>
      <c r="T231" s="4">
        <v>0</v>
      </c>
      <c r="U231" s="3" t="str">
        <f>IF(T231&lt;0, "negative_discount", IF(AND(T231&gt;0.5, T231&lt;=1), "high_discount", ""))</f>
        <v/>
      </c>
      <c r="V231" s="11">
        <v>8658.69</v>
      </c>
      <c r="W231" s="12">
        <v>8658.69</v>
      </c>
      <c r="X231" s="11">
        <v>5535.94</v>
      </c>
      <c r="Y231" s="11">
        <v>3122.75</v>
      </c>
      <c r="Z231" s="11">
        <f>ROUND(W231-X231,2)</f>
        <v>3122.75</v>
      </c>
      <c r="AA231" s="4">
        <f>IF(W231=0,0,Z231/W231)</f>
        <v>0.36064924370776641</v>
      </c>
      <c r="AB231" t="s">
        <v>99</v>
      </c>
      <c r="AC231" t="s">
        <v>100</v>
      </c>
      <c r="AD231" t="str">
        <f>IF(AND(E231="", T231&gt;=0, T231&lt;=0.5, K231&lt;&gt;"Unknown", Q231&lt;&gt;"Unknown"), "CLEAN", _xlfn.CONCAT("WARNING: ", IF(E231&lt;&gt;"","invalid_date",""), IF(T231&lt;0,"negative_discount",""), IF(AND(T231&gt;0.5,T231&lt;=1),"high_discount",""), IF(K231="Unknown","missing_region",""), IF(Q231="Unknown","missing_ship_mode","")))</f>
        <v>CLEAN</v>
      </c>
      <c r="AE231" t="str">
        <f>IF(COUNTIF($AF$2:$AF$926,AF231)&gt;1,"DUPLICATE","UNIQUE")</f>
        <v>UNIQUE</v>
      </c>
      <c r="AF231" t="str">
        <f>A231&amp;"|"&amp;B231&amp;"|"&amp;H231&amp;"|"&amp;I231&amp;"|"&amp;R231&amp;"|"&amp;S231&amp;"|"&amp;V231</f>
        <v>ORD-2025-10230|2025-06-28|CUST-1943|Rohan Mehta|3|2886.23|8658.69</v>
      </c>
      <c r="AG231" t="str">
        <f>IF(COUNTIF($A$2:$A$913,A231)&gt;1,"TRUE","FALSE")</f>
        <v>FALSE</v>
      </c>
    </row>
    <row r="232" spans="1:33">
      <c r="A232" t="s">
        <v>788</v>
      </c>
      <c r="B232" t="s">
        <v>2748</v>
      </c>
      <c r="C232" t="s">
        <v>2542</v>
      </c>
      <c r="D232">
        <f>IF(OR(B232="", C232=""), "", (C232 - B232))</f>
        <v>-83</v>
      </c>
      <c r="E232" t="str">
        <f>IF(C232&lt;B232, "INVALID: Ship date before order date", "")</f>
        <v>INVALID: Ship date before order date</v>
      </c>
      <c r="F232" t="str">
        <f>IF(B232="", "", TEXT(B232, "mmmm"))</f>
        <v>May</v>
      </c>
      <c r="G232">
        <f>IF(B232="", "", YEAR(B232))</f>
        <v>2024</v>
      </c>
      <c r="H232" t="s">
        <v>789</v>
      </c>
      <c r="I232" t="s">
        <v>78</v>
      </c>
      <c r="J232" t="s">
        <v>36</v>
      </c>
      <c r="K232" t="s">
        <v>24</v>
      </c>
      <c r="L232" t="s">
        <v>25</v>
      </c>
      <c r="M232" t="s">
        <v>26</v>
      </c>
      <c r="N232" t="s">
        <v>27</v>
      </c>
      <c r="O232" t="s">
        <v>28</v>
      </c>
      <c r="P232" t="s">
        <v>790</v>
      </c>
      <c r="Q232" t="s">
        <v>58</v>
      </c>
      <c r="R232">
        <v>8</v>
      </c>
      <c r="S232" s="15">
        <v>1540.33</v>
      </c>
      <c r="T232" s="4">
        <v>0.1</v>
      </c>
      <c r="U232" s="3" t="str">
        <f>IF(T232&lt;0, "negative_discount", IF(AND(T232&gt;0.5, T232&lt;=1), "high_discount", ""))</f>
        <v/>
      </c>
      <c r="V232" s="11">
        <v>11090.38</v>
      </c>
      <c r="W232" s="12">
        <v>11090.38</v>
      </c>
      <c r="X232" s="11">
        <v>8840.9500000000007</v>
      </c>
      <c r="Y232" s="11">
        <v>2249.4299999999998</v>
      </c>
      <c r="Z232" s="11">
        <f>ROUND(W232-X232,2)</f>
        <v>2249.4299999999998</v>
      </c>
      <c r="AA232" s="4">
        <f>IF(W232=0,0,Z232/W232)</f>
        <v>0.20282713486823717</v>
      </c>
      <c r="AB232" t="s">
        <v>31</v>
      </c>
      <c r="AC232" t="s">
        <v>32</v>
      </c>
      <c r="AD232" t="str">
        <f>IF(AND(E232="", T232&gt;=0, T232&lt;=0.5, K232&lt;&gt;"Unknown", Q232&lt;&gt;"Unknown"), "CLEAN", _xlfn.CONCAT("WARNING: ", IF(E232&lt;&gt;"","invalid_date",""), IF(T232&lt;0,"negative_discount",""), IF(AND(T232&gt;0.5,T232&lt;=1),"high_discount",""), IF(K232="Unknown","missing_region",""), IF(Q232="Unknown","missing_ship_mode","")))</f>
        <v>WARNING: invalid_date</v>
      </c>
      <c r="AE232" t="str">
        <f>IF(COUNTIF($AF$2:$AF$926,AF232)&gt;1,"DUPLICATE","UNIQUE")</f>
        <v>UNIQUE</v>
      </c>
      <c r="AF232" t="str">
        <f>A232&amp;"|"&amp;B232&amp;"|"&amp;H232&amp;"|"&amp;I232&amp;"|"&amp;R232&amp;"|"&amp;S232&amp;"|"&amp;V232</f>
        <v>ORD-2024-10231|2024-05-28|CUST-3434|Neha Gupta|8|1540.33|11090.38</v>
      </c>
      <c r="AG232" t="str">
        <f>IF(COUNTIF($A$2:$A$913,A232)&gt;1,"TRUE","FALSE")</f>
        <v>FALSE</v>
      </c>
    </row>
    <row r="233" spans="1:33">
      <c r="A233" t="s">
        <v>791</v>
      </c>
      <c r="B233" t="s">
        <v>792</v>
      </c>
      <c r="C233" t="s">
        <v>792</v>
      </c>
      <c r="D233">
        <f>IF(OR(B233="", C233=""), "", (C233 - B233))</f>
        <v>0</v>
      </c>
      <c r="E233" t="str">
        <f>IF(C233&lt;B233, "INVALID: Ship date before order date", "")</f>
        <v/>
      </c>
      <c r="F233" t="str">
        <f>IF(B233="", "", TEXT(B233, "mmmm"))</f>
        <v>May</v>
      </c>
      <c r="G233">
        <f>IF(B233="", "", YEAR(B233))</f>
        <v>2024</v>
      </c>
      <c r="H233" t="s">
        <v>793</v>
      </c>
      <c r="I233" t="s">
        <v>61</v>
      </c>
      <c r="J233" t="s">
        <v>89</v>
      </c>
      <c r="K233" t="s">
        <v>24</v>
      </c>
      <c r="L233" t="s">
        <v>25</v>
      </c>
      <c r="M233" t="s">
        <v>26</v>
      </c>
      <c r="N233" t="s">
        <v>27</v>
      </c>
      <c r="O233" t="s">
        <v>90</v>
      </c>
      <c r="P233" t="s">
        <v>794</v>
      </c>
      <c r="Q233" t="s">
        <v>49</v>
      </c>
      <c r="R233">
        <v>7</v>
      </c>
      <c r="S233" s="15">
        <v>2183.38</v>
      </c>
      <c r="T233" s="4">
        <v>0.25</v>
      </c>
      <c r="U233" s="3" t="str">
        <f>IF(T233&lt;0, "negative_discount", IF(AND(T233&gt;0.5, T233&lt;=1), "high_discount", ""))</f>
        <v/>
      </c>
      <c r="V233" s="11">
        <v>11462.74</v>
      </c>
      <c r="W233" s="12">
        <v>11462.75</v>
      </c>
      <c r="X233" s="11">
        <v>7163.54</v>
      </c>
      <c r="Y233" s="11">
        <v>4299.2</v>
      </c>
      <c r="Z233" s="11">
        <f>ROUND(W233-X233,2)</f>
        <v>4299.21</v>
      </c>
      <c r="AA233" s="4">
        <f>IF(W233=0,0,Z233/W233)</f>
        <v>0.37505921353950838</v>
      </c>
      <c r="AB233" t="s">
        <v>99</v>
      </c>
      <c r="AC233" t="s">
        <v>67</v>
      </c>
      <c r="AD233" t="str">
        <f>IF(AND(E233="", T233&gt;=0, T233&lt;=0.5, K233&lt;&gt;"Unknown", Q233&lt;&gt;"Unknown"), "CLEAN", _xlfn.CONCAT("WARNING: ", IF(E233&lt;&gt;"","invalid_date",""), IF(T233&lt;0,"negative_discount",""), IF(AND(T233&gt;0.5,T233&lt;=1),"high_discount",""), IF(K233="Unknown","missing_region",""), IF(Q233="Unknown","missing_ship_mode","")))</f>
        <v>CLEAN</v>
      </c>
      <c r="AE233" t="str">
        <f>IF(COUNTIF($AF$2:$AF$926,AF233)&gt;1,"DUPLICATE","UNIQUE")</f>
        <v>UNIQUE</v>
      </c>
      <c r="AF233" t="str">
        <f>A233&amp;"|"&amp;B233&amp;"|"&amp;H233&amp;"|"&amp;I233&amp;"|"&amp;R233&amp;"|"&amp;S233&amp;"|"&amp;V233</f>
        <v>ORD-2024-10232|2024-05-02|CUST-9139|Ananya Rao|7|2183.38|11462.74</v>
      </c>
      <c r="AG233" t="str">
        <f>IF(COUNTIF($A$2:$A$913,A233)&gt;1,"TRUE","FALSE")</f>
        <v>FALSE</v>
      </c>
    </row>
    <row r="234" spans="1:33">
      <c r="A234" t="s">
        <v>3076</v>
      </c>
      <c r="B234" t="s">
        <v>795</v>
      </c>
      <c r="C234" t="s">
        <v>796</v>
      </c>
      <c r="D234">
        <f>IF(OR(B234="", C234=""), "", (C234 - B234))</f>
        <v>6</v>
      </c>
      <c r="E234" t="str">
        <f>IF(C234&lt;B234, "INVALID: Ship date before order date", "")</f>
        <v/>
      </c>
      <c r="F234" t="str">
        <f>IF(B234="", "", TEXT(B234, "mmmm"))</f>
        <v>June</v>
      </c>
      <c r="G234">
        <f>IF(B234="", "", YEAR(B234))</f>
        <v>2025</v>
      </c>
      <c r="H234" t="s">
        <v>797</v>
      </c>
      <c r="I234" t="s">
        <v>116</v>
      </c>
      <c r="J234" t="s">
        <v>23</v>
      </c>
      <c r="K234" t="s">
        <v>53</v>
      </c>
      <c r="L234" t="s">
        <v>83</v>
      </c>
      <c r="M234" t="s">
        <v>84</v>
      </c>
      <c r="N234" t="s">
        <v>74</v>
      </c>
      <c r="O234" t="s">
        <v>168</v>
      </c>
      <c r="P234" t="s">
        <v>798</v>
      </c>
      <c r="Q234" t="s">
        <v>58</v>
      </c>
      <c r="R234">
        <v>4</v>
      </c>
      <c r="S234" s="15">
        <v>223.37</v>
      </c>
      <c r="T234" s="4">
        <v>0.25</v>
      </c>
      <c r="U234" s="3" t="str">
        <f>IF(T234&lt;0, "negative_discount", IF(AND(T234&gt;0.5, T234&lt;=1), "high_discount", ""))</f>
        <v/>
      </c>
      <c r="V234" s="11">
        <v>670.11</v>
      </c>
      <c r="W234" s="12">
        <v>670.11</v>
      </c>
      <c r="X234" s="11">
        <v>559.57000000000005</v>
      </c>
      <c r="Y234" s="11">
        <v>110.54</v>
      </c>
      <c r="Z234" s="11">
        <f>ROUND(W234-X234,2)</f>
        <v>110.54</v>
      </c>
      <c r="AA234" s="4">
        <f>IF(W234=0,0,Z234/W234)</f>
        <v>0.16495799197146738</v>
      </c>
      <c r="AB234" t="s">
        <v>31</v>
      </c>
      <c r="AC234" t="s">
        <v>32</v>
      </c>
      <c r="AD234" t="str">
        <f>IF(AND(E234="", T234&gt;=0, T234&lt;=0.5, K234&lt;&gt;"Unknown", Q234&lt;&gt;"Unknown"), "CLEAN", _xlfn.CONCAT("WARNING: ", IF(E234&lt;&gt;"","invalid_date",""), IF(T234&lt;0,"negative_discount",""), IF(AND(T234&gt;0.5,T234&lt;=1),"high_discount",""), IF(K234="Unknown","missing_region",""), IF(Q234="Unknown","missing_ship_mode","")))</f>
        <v>CLEAN</v>
      </c>
      <c r="AE234" t="str">
        <f>IF(COUNTIF($AF$2:$AF$926,AF234)&gt;1,"DUPLICATE","UNIQUE")</f>
        <v>UNIQUE</v>
      </c>
      <c r="AF234" t="str">
        <f>A234&amp;"|"&amp;B234&amp;"|"&amp;H234&amp;"|"&amp;I234&amp;"|"&amp;R234&amp;"|"&amp;S234&amp;"|"&amp;V234</f>
        <v>ORD-2025-10233|2025-06-04|CUST-5341|Rahul Verma|4|223.37|670.11</v>
      </c>
      <c r="AG234" t="str">
        <f>IF(COUNTIF($A$2:$A$913,A234)&gt;1,"TRUE","FALSE")</f>
        <v>FALSE</v>
      </c>
    </row>
    <row r="235" spans="1:33">
      <c r="A235" t="s">
        <v>799</v>
      </c>
      <c r="B235" t="s">
        <v>2749</v>
      </c>
      <c r="C235" t="s">
        <v>2749</v>
      </c>
      <c r="D235">
        <f>IF(OR(B235="", C235=""), "", (C235 - B235))</f>
        <v>0</v>
      </c>
      <c r="E235" t="str">
        <f>IF(C235&lt;B235, "INVALID: Ship date before order date", "")</f>
        <v/>
      </c>
      <c r="F235" t="str">
        <f>IF(B235="", "", TEXT(B235, "mmmm"))</f>
        <v>October</v>
      </c>
      <c r="G235">
        <f>IF(B235="", "", YEAR(B235))</f>
        <v>2024</v>
      </c>
      <c r="H235" t="s">
        <v>800</v>
      </c>
      <c r="I235" t="s">
        <v>71</v>
      </c>
      <c r="J235" t="s">
        <v>89</v>
      </c>
      <c r="K235" t="s">
        <v>53</v>
      </c>
      <c r="L235" t="s">
        <v>171</v>
      </c>
      <c r="M235" t="s">
        <v>172</v>
      </c>
      <c r="N235" t="s">
        <v>40</v>
      </c>
      <c r="O235" t="s">
        <v>153</v>
      </c>
      <c r="P235" t="s">
        <v>801</v>
      </c>
      <c r="Q235" t="s">
        <v>2970</v>
      </c>
      <c r="R235">
        <v>8</v>
      </c>
      <c r="S235" s="15">
        <v>3904.59</v>
      </c>
      <c r="T235" s="4">
        <v>0</v>
      </c>
      <c r="U235" s="3" t="str">
        <f>IF(T235&lt;0, "negative_discount", IF(AND(T235&gt;0.5, T235&lt;=1), "high_discount", ""))</f>
        <v/>
      </c>
      <c r="V235" s="11">
        <v>31236.720000000001</v>
      </c>
      <c r="W235" s="12">
        <v>31236.720000000001</v>
      </c>
      <c r="X235" s="11">
        <v>26377.7</v>
      </c>
      <c r="Y235" s="11">
        <v>4859.0200000000004</v>
      </c>
      <c r="Z235" s="11">
        <f>ROUND(W235-X235,2)</f>
        <v>4859.0200000000004</v>
      </c>
      <c r="AA235" s="4">
        <f>IF(W235=0,0,Z235/W235)</f>
        <v>0.15555474454424154</v>
      </c>
      <c r="AB235" t="s">
        <v>31</v>
      </c>
      <c r="AC235" t="s">
        <v>32</v>
      </c>
      <c r="AD235" t="str">
        <f>IF(AND(E235="", T235&gt;=0, T235&lt;=0.5, K235&lt;&gt;"Unknown", Q235&lt;&gt;"Unknown"), "CLEAN", _xlfn.CONCAT("WARNING: ", IF(E235&lt;&gt;"","invalid_date",""), IF(T235&lt;0,"negative_discount",""), IF(AND(T235&gt;0.5,T235&lt;=1),"high_discount",""), IF(K235="Unknown","missing_region",""), IF(Q235="Unknown","missing_ship_mode","")))</f>
        <v>WARNING: missing_ship_mode</v>
      </c>
      <c r="AE235" t="str">
        <f>IF(COUNTIF($AF$2:$AF$926,AF235)&gt;1,"DUPLICATE","UNIQUE")</f>
        <v>UNIQUE</v>
      </c>
      <c r="AF235" t="str">
        <f>A235&amp;"|"&amp;B235&amp;"|"&amp;H235&amp;"|"&amp;I235&amp;"|"&amp;R235&amp;"|"&amp;S235&amp;"|"&amp;V235</f>
        <v>ORD-2024-10234|2024-10-14|CUST-3710|Vikram Iyer|8|3904.59|31236.72</v>
      </c>
      <c r="AG235" t="str">
        <f>IF(COUNTIF($A$2:$A$913,A235)&gt;1,"TRUE","FALSE")</f>
        <v>FALSE</v>
      </c>
    </row>
    <row r="236" spans="1:33">
      <c r="A236" t="s">
        <v>802</v>
      </c>
      <c r="B236" t="s">
        <v>2747</v>
      </c>
      <c r="C236" t="s">
        <v>2743</v>
      </c>
      <c r="D236">
        <f>IF(OR(B236="", C236=""), "", (C236 - B236))</f>
        <v>1</v>
      </c>
      <c r="E236" t="str">
        <f>IF(C236&lt;B236, "INVALID: Ship date before order date", "")</f>
        <v/>
      </c>
      <c r="F236" t="str">
        <f>IF(B236="", "", TEXT(B236, "mmmm"))</f>
        <v>September</v>
      </c>
      <c r="G236">
        <f>IF(B236="", "", YEAR(B236))</f>
        <v>2024</v>
      </c>
      <c r="H236" t="s">
        <v>803</v>
      </c>
      <c r="I236" t="s">
        <v>263</v>
      </c>
      <c r="J236" t="s">
        <v>93</v>
      </c>
      <c r="K236" t="s">
        <v>24</v>
      </c>
      <c r="L236" t="s">
        <v>353</v>
      </c>
      <c r="M236" t="s">
        <v>354</v>
      </c>
      <c r="N236" t="s">
        <v>40</v>
      </c>
      <c r="O236" t="s">
        <v>56</v>
      </c>
      <c r="P236" t="s">
        <v>804</v>
      </c>
      <c r="Q236" t="s">
        <v>49</v>
      </c>
      <c r="R236">
        <v>9</v>
      </c>
      <c r="S236" s="15">
        <v>1353.61</v>
      </c>
      <c r="T236" s="4">
        <v>0.1</v>
      </c>
      <c r="U236" s="3" t="str">
        <f>IF(T236&lt;0, "negative_discount", IF(AND(T236&gt;0.5, T236&lt;=1), "high_discount", ""))</f>
        <v/>
      </c>
      <c r="V236" s="11">
        <v>10964.24</v>
      </c>
      <c r="W236" s="12">
        <v>10964.24</v>
      </c>
      <c r="X236" s="11">
        <v>9262.4699999999993</v>
      </c>
      <c r="Y236" s="11">
        <v>1701.77</v>
      </c>
      <c r="Z236" s="11">
        <f>ROUND(W236-X236,2)</f>
        <v>1701.77</v>
      </c>
      <c r="AA236" s="4">
        <f>IF(W236=0,0,Z236/W236)</f>
        <v>0.15521094029317126</v>
      </c>
      <c r="AB236" t="s">
        <v>31</v>
      </c>
      <c r="AC236" t="s">
        <v>32</v>
      </c>
      <c r="AD236" t="str">
        <f>IF(AND(E236="", T236&gt;=0, T236&lt;=0.5, K236&lt;&gt;"Unknown", Q236&lt;&gt;"Unknown"), "CLEAN", _xlfn.CONCAT("WARNING: ", IF(E236&lt;&gt;"","invalid_date",""), IF(T236&lt;0,"negative_discount",""), IF(AND(T236&gt;0.5,T236&lt;=1),"high_discount",""), IF(K236="Unknown","missing_region",""), IF(Q236="Unknown","missing_ship_mode","")))</f>
        <v>CLEAN</v>
      </c>
      <c r="AE236" t="str">
        <f>IF(COUNTIF($AF$2:$AF$926,AF236)&gt;1,"DUPLICATE","UNIQUE")</f>
        <v>UNIQUE</v>
      </c>
      <c r="AF236" t="str">
        <f>A236&amp;"|"&amp;B236&amp;"|"&amp;H236&amp;"|"&amp;I236&amp;"|"&amp;R236&amp;"|"&amp;S236&amp;"|"&amp;V236</f>
        <v>ORD-2024-10235|2024-09-02|CUST-9754|Kabir Singh|9|1353.61|10964.24</v>
      </c>
      <c r="AG236" t="str">
        <f>IF(COUNTIF($A$2:$A$913,A236)&gt;1,"TRUE","FALSE")</f>
        <v>FALSE</v>
      </c>
    </row>
    <row r="237" spans="1:33">
      <c r="A237" t="s">
        <v>805</v>
      </c>
      <c r="B237" t="s">
        <v>2750</v>
      </c>
      <c r="C237" t="s">
        <v>2699</v>
      </c>
      <c r="D237">
        <f>IF(OR(B237="", C237=""), "", (C237 - B237))</f>
        <v>1</v>
      </c>
      <c r="E237" t="str">
        <f>IF(C237&lt;B237, "INVALID: Ship date before order date", "")</f>
        <v/>
      </c>
      <c r="F237" t="str">
        <f>IF(B237="", "", TEXT(B237, "mmmm"))</f>
        <v>November</v>
      </c>
      <c r="G237">
        <f>IF(B237="", "", YEAR(B237))</f>
        <v>2024</v>
      </c>
      <c r="H237" t="s">
        <v>806</v>
      </c>
      <c r="I237" t="s">
        <v>116</v>
      </c>
      <c r="J237" t="s">
        <v>36</v>
      </c>
      <c r="K237" t="s">
        <v>62</v>
      </c>
      <c r="L237" t="s">
        <v>25</v>
      </c>
      <c r="M237" t="s">
        <v>107</v>
      </c>
      <c r="N237" t="s">
        <v>27</v>
      </c>
      <c r="O237" t="s">
        <v>122</v>
      </c>
      <c r="P237" t="s">
        <v>807</v>
      </c>
      <c r="Q237" t="s">
        <v>58</v>
      </c>
      <c r="R237">
        <v>6</v>
      </c>
      <c r="S237" s="15">
        <v>2671.29</v>
      </c>
      <c r="T237" s="4">
        <v>0.05</v>
      </c>
      <c r="U237" s="3" t="str">
        <f>IF(T237&lt;0, "negative_discount", IF(AND(T237&gt;0.5, T237&lt;=1), "high_discount", ""))</f>
        <v/>
      </c>
      <c r="V237" s="11">
        <v>15226.35</v>
      </c>
      <c r="W237" s="12">
        <v>15226.35</v>
      </c>
      <c r="X237" s="11">
        <v>11145.28</v>
      </c>
      <c r="Y237" s="11">
        <v>4081.07</v>
      </c>
      <c r="Z237" s="11">
        <f>ROUND(W237-X237,2)</f>
        <v>4081.07</v>
      </c>
      <c r="AA237" s="4">
        <f>IF(W237=0,0,Z237/W237)</f>
        <v>0.26802680878871166</v>
      </c>
      <c r="AB237" t="s">
        <v>31</v>
      </c>
      <c r="AC237" t="s">
        <v>32</v>
      </c>
      <c r="AD237" t="str">
        <f>IF(AND(E237="", T237&gt;=0, T237&lt;=0.5, K237&lt;&gt;"Unknown", Q237&lt;&gt;"Unknown"), "CLEAN", _xlfn.CONCAT("WARNING: ", IF(E237&lt;&gt;"","invalid_date",""), IF(T237&lt;0,"negative_discount",""), IF(AND(T237&gt;0.5,T237&lt;=1),"high_discount",""), IF(K237="Unknown","missing_region",""), IF(Q237="Unknown","missing_ship_mode","")))</f>
        <v>CLEAN</v>
      </c>
      <c r="AE237" t="str">
        <f>IF(COUNTIF($AF$2:$AF$926,AF237)&gt;1,"DUPLICATE","UNIQUE")</f>
        <v>UNIQUE</v>
      </c>
      <c r="AF237" t="str">
        <f>A237&amp;"|"&amp;B237&amp;"|"&amp;H237&amp;"|"&amp;I237&amp;"|"&amp;R237&amp;"|"&amp;S237&amp;"|"&amp;V237</f>
        <v>ORD-2024-10236|2024-11-02|CUST-6256|Rahul Verma|6|2671.29|15226.35</v>
      </c>
      <c r="AG237" t="str">
        <f>IF(COUNTIF($A$2:$A$913,A237)&gt;1,"TRUE","FALSE")</f>
        <v>FALSE</v>
      </c>
    </row>
    <row r="238" spans="1:33">
      <c r="A238" t="s">
        <v>808</v>
      </c>
      <c r="B238" t="s">
        <v>2749</v>
      </c>
      <c r="C238" t="s">
        <v>2920</v>
      </c>
      <c r="D238">
        <f>IF(OR(B238="", C238=""), "", (C238 - B238))</f>
        <v>7</v>
      </c>
      <c r="E238" t="str">
        <f>IF(C238&lt;B238, "INVALID: Ship date before order date", "")</f>
        <v/>
      </c>
      <c r="F238" t="str">
        <f>IF(B238="", "", TEXT(B238, "mmmm"))</f>
        <v>October</v>
      </c>
      <c r="G238">
        <f>IF(B238="", "", YEAR(B238))</f>
        <v>2024</v>
      </c>
      <c r="H238" t="s">
        <v>809</v>
      </c>
      <c r="I238" t="s">
        <v>112</v>
      </c>
      <c r="J238" t="s">
        <v>89</v>
      </c>
      <c r="K238" t="s">
        <v>24</v>
      </c>
      <c r="L238" t="s">
        <v>134</v>
      </c>
      <c r="M238" t="s">
        <v>135</v>
      </c>
      <c r="N238" t="s">
        <v>40</v>
      </c>
      <c r="O238" t="s">
        <v>153</v>
      </c>
      <c r="P238" t="s">
        <v>810</v>
      </c>
      <c r="Q238" t="s">
        <v>49</v>
      </c>
      <c r="R238">
        <v>6</v>
      </c>
      <c r="S238" s="15">
        <v>4062.78</v>
      </c>
      <c r="T238" s="4">
        <v>0</v>
      </c>
      <c r="U238" s="3" t="str">
        <f>IF(T238&lt;0, "negative_discount", IF(AND(T238&gt;0.5, T238&lt;=1), "high_discount", ""))</f>
        <v/>
      </c>
      <c r="V238" s="11">
        <v>24376.68</v>
      </c>
      <c r="W238" s="12">
        <v>24376.68</v>
      </c>
      <c r="X238" s="11">
        <v>18533.39</v>
      </c>
      <c r="Y238" s="11">
        <v>5843.29</v>
      </c>
      <c r="Z238" s="11">
        <f>ROUND(W238-X238,2)</f>
        <v>5843.29</v>
      </c>
      <c r="AA238" s="4">
        <f>IF(W238=0,0,Z238/W238)</f>
        <v>0.23970819652224995</v>
      </c>
      <c r="AB238" t="s">
        <v>31</v>
      </c>
      <c r="AC238" t="s">
        <v>32</v>
      </c>
      <c r="AD238" t="str">
        <f>IF(AND(E238="", T238&gt;=0, T238&lt;=0.5, K238&lt;&gt;"Unknown", Q238&lt;&gt;"Unknown"), "CLEAN", _xlfn.CONCAT("WARNING: ", IF(E238&lt;&gt;"","invalid_date",""), IF(T238&lt;0,"negative_discount",""), IF(AND(T238&gt;0.5,T238&lt;=1),"high_discount",""), IF(K238="Unknown","missing_region",""), IF(Q238="Unknown","missing_ship_mode","")))</f>
        <v>CLEAN</v>
      </c>
      <c r="AE238" t="str">
        <f>IF(COUNTIF($AF$2:$AF$926,AF238)&gt;1,"DUPLICATE","UNIQUE")</f>
        <v>UNIQUE</v>
      </c>
      <c r="AF238" t="str">
        <f>A238&amp;"|"&amp;B238&amp;"|"&amp;H238&amp;"|"&amp;I238&amp;"|"&amp;R238&amp;"|"&amp;S238&amp;"|"&amp;V238</f>
        <v>ORD-2024-10237|2024-10-14|CUST-7113|Priya Menon|6|4062.78|24376.68</v>
      </c>
      <c r="AG238" t="str">
        <f>IF(COUNTIF($A$2:$A$913,A238)&gt;1,"TRUE","FALSE")</f>
        <v>FALSE</v>
      </c>
    </row>
    <row r="239" spans="1:33">
      <c r="A239" t="s">
        <v>811</v>
      </c>
      <c r="B239" t="s">
        <v>812</v>
      </c>
      <c r="C239" t="s">
        <v>812</v>
      </c>
      <c r="D239">
        <f>IF(OR(B239="", C239=""), "", (C239 - B239))</f>
        <v>0</v>
      </c>
      <c r="E239" t="str">
        <f>IF(C239&lt;B239, "INVALID: Ship date before order date", "")</f>
        <v/>
      </c>
      <c r="F239" t="str">
        <f>IF(B239="", "", TEXT(B239, "mmmm"))</f>
        <v>August</v>
      </c>
      <c r="G239">
        <f>IF(B239="", "", YEAR(B239))</f>
        <v>2024</v>
      </c>
      <c r="H239" t="s">
        <v>813</v>
      </c>
      <c r="I239" t="s">
        <v>35</v>
      </c>
      <c r="J239" t="s">
        <v>23</v>
      </c>
      <c r="K239" t="s">
        <v>24</v>
      </c>
      <c r="L239" t="s">
        <v>234</v>
      </c>
      <c r="M239" t="s">
        <v>235</v>
      </c>
      <c r="N239" t="s">
        <v>74</v>
      </c>
      <c r="O239" t="s">
        <v>79</v>
      </c>
      <c r="P239" t="s">
        <v>814</v>
      </c>
      <c r="Q239" t="s">
        <v>58</v>
      </c>
      <c r="R239">
        <v>9</v>
      </c>
      <c r="S239" s="15">
        <v>2330.3000000000002</v>
      </c>
      <c r="T239" s="4">
        <v>0</v>
      </c>
      <c r="U239" s="3" t="str">
        <f>IF(T239&lt;0, "negative_discount", IF(AND(T239&gt;0.5, T239&lt;=1), "high_discount", ""))</f>
        <v/>
      </c>
      <c r="V239" s="11">
        <v>20972.7</v>
      </c>
      <c r="W239" s="12">
        <v>20972.7</v>
      </c>
      <c r="X239" s="11">
        <v>13504.88</v>
      </c>
      <c r="Y239" s="11">
        <v>7467.82</v>
      </c>
      <c r="Z239" s="11">
        <f>ROUND(W239-X239,2)</f>
        <v>7467.82</v>
      </c>
      <c r="AA239" s="4">
        <f>IF(W239=0,0,Z239/W239)</f>
        <v>0.35607337157352176</v>
      </c>
      <c r="AB239" t="s">
        <v>31</v>
      </c>
      <c r="AC239" t="s">
        <v>32</v>
      </c>
      <c r="AD239" t="str">
        <f>IF(AND(E239="", T239&gt;=0, T239&lt;=0.5, K239&lt;&gt;"Unknown", Q239&lt;&gt;"Unknown"), "CLEAN", _xlfn.CONCAT("WARNING: ", IF(E239&lt;&gt;"","invalid_date",""), IF(T239&lt;0,"negative_discount",""), IF(AND(T239&gt;0.5,T239&lt;=1),"high_discount",""), IF(K239="Unknown","missing_region",""), IF(Q239="Unknown","missing_ship_mode","")))</f>
        <v>CLEAN</v>
      </c>
      <c r="AE239" t="str">
        <f>IF(COUNTIF($AF$2:$AF$926,AF239)&gt;1,"DUPLICATE","UNIQUE")</f>
        <v>UNIQUE</v>
      </c>
      <c r="AF239" t="str">
        <f>A239&amp;"|"&amp;B239&amp;"|"&amp;H239&amp;"|"&amp;I239&amp;"|"&amp;R239&amp;"|"&amp;S239&amp;"|"&amp;V239</f>
        <v>ORD-2024-10238|2024-08-27|CUST-3827|Mira Das|9|2330.3|20972.7</v>
      </c>
      <c r="AG239" t="str">
        <f>IF(COUNTIF($A$2:$A$913,A239)&gt;1,"TRUE","FALSE")</f>
        <v>FALSE</v>
      </c>
    </row>
    <row r="240" spans="1:33">
      <c r="A240" t="s">
        <v>815</v>
      </c>
      <c r="B240" t="s">
        <v>2751</v>
      </c>
      <c r="C240" t="s">
        <v>2201</v>
      </c>
      <c r="D240">
        <f>IF(OR(B240="", C240=""), "", (C240 - B240))</f>
        <v>5</v>
      </c>
      <c r="E240" t="str">
        <f>IF(C240&lt;B240, "INVALID: Ship date before order date", "")</f>
        <v/>
      </c>
      <c r="F240" t="str">
        <f>IF(B240="", "", TEXT(B240, "mmmm"))</f>
        <v>January</v>
      </c>
      <c r="G240">
        <f>IF(B240="", "", YEAR(B240))</f>
        <v>2024</v>
      </c>
      <c r="H240" t="s">
        <v>816</v>
      </c>
      <c r="I240" t="s">
        <v>52</v>
      </c>
      <c r="J240" t="s">
        <v>23</v>
      </c>
      <c r="K240" t="s">
        <v>53</v>
      </c>
      <c r="L240" t="s">
        <v>83</v>
      </c>
      <c r="M240" t="s">
        <v>84</v>
      </c>
      <c r="N240" t="s">
        <v>27</v>
      </c>
      <c r="O240" t="s">
        <v>122</v>
      </c>
      <c r="P240" t="s">
        <v>817</v>
      </c>
      <c r="Q240" t="s">
        <v>49</v>
      </c>
      <c r="R240">
        <v>7</v>
      </c>
      <c r="S240" s="15">
        <v>4005.05</v>
      </c>
      <c r="T240" s="4">
        <v>0.55000000000000004</v>
      </c>
      <c r="U240" s="3" t="str">
        <f>IF(T240&lt;0, "negative_discount", IF(AND(T240&gt;0.5, T240&lt;=1), "high_discount", ""))</f>
        <v>high_discount</v>
      </c>
      <c r="V240" s="11">
        <v>26633.58</v>
      </c>
      <c r="W240" s="12">
        <v>12615.91</v>
      </c>
      <c r="X240" s="11">
        <v>18838.75</v>
      </c>
      <c r="Y240" s="11">
        <v>7794.83</v>
      </c>
      <c r="Z240" s="11">
        <f>ROUND(W240-X240,2)</f>
        <v>-6222.84</v>
      </c>
      <c r="AA240" s="4">
        <f>IF(W240=0,0,Z240/W240)</f>
        <v>-0.49325336024115585</v>
      </c>
      <c r="AB240" t="s">
        <v>31</v>
      </c>
      <c r="AC240" t="s">
        <v>32</v>
      </c>
      <c r="AD240" t="str">
        <f>IF(AND(E240="", T240&gt;=0, T240&lt;=0.5, K240&lt;&gt;"Unknown", Q240&lt;&gt;"Unknown"), "CLEAN", _xlfn.CONCAT("WARNING: ", IF(E240&lt;&gt;"","invalid_date",""), IF(T240&lt;0,"negative_discount",""), IF(AND(T240&gt;0.5,T240&lt;=1),"high_discount",""), IF(K240="Unknown","missing_region",""), IF(Q240="Unknown","missing_ship_mode","")))</f>
        <v>WARNING: high_discount</v>
      </c>
      <c r="AE240" t="str">
        <f>IF(COUNTIF($AF$2:$AF$926,AF240)&gt;1,"DUPLICATE","UNIQUE")</f>
        <v>UNIQUE</v>
      </c>
      <c r="AF240" t="str">
        <f>A240&amp;"|"&amp;B240&amp;"|"&amp;H240&amp;"|"&amp;I240&amp;"|"&amp;R240&amp;"|"&amp;S240&amp;"|"&amp;V240</f>
        <v>ORD-2024-10239|2024-01-12|CUST-2375|Arjun Bose|7|4005.05|26633.58</v>
      </c>
      <c r="AG240" t="str">
        <f>IF(COUNTIF($A$2:$A$913,A240)&gt;1,"TRUE","FALSE")</f>
        <v>FALSE</v>
      </c>
    </row>
    <row r="241" spans="1:33">
      <c r="A241" t="s">
        <v>818</v>
      </c>
      <c r="B241" t="s">
        <v>739</v>
      </c>
      <c r="C241" t="s">
        <v>739</v>
      </c>
      <c r="D241">
        <f>IF(OR(B241="", C241=""), "", (C241 - B241))</f>
        <v>0</v>
      </c>
      <c r="E241" t="str">
        <f>IF(C241&lt;B241, "INVALID: Ship date before order date", "")</f>
        <v/>
      </c>
      <c r="F241" t="str">
        <f>IF(B241="", "", TEXT(B241, "mmmm"))</f>
        <v>September</v>
      </c>
      <c r="G241">
        <f>IF(B241="", "", YEAR(B241))</f>
        <v>2024</v>
      </c>
      <c r="H241" t="s">
        <v>819</v>
      </c>
      <c r="I241" t="s">
        <v>263</v>
      </c>
      <c r="J241" t="s">
        <v>89</v>
      </c>
      <c r="K241" t="s">
        <v>53</v>
      </c>
      <c r="L241" t="s">
        <v>171</v>
      </c>
      <c r="M241" t="s">
        <v>172</v>
      </c>
      <c r="N241" t="s">
        <v>74</v>
      </c>
      <c r="O241" t="s">
        <v>272</v>
      </c>
      <c r="P241" t="s">
        <v>820</v>
      </c>
      <c r="Q241" t="s">
        <v>49</v>
      </c>
      <c r="R241">
        <v>2</v>
      </c>
      <c r="S241" s="15">
        <v>1960.06</v>
      </c>
      <c r="T241" s="4">
        <v>0.2</v>
      </c>
      <c r="U241" s="3" t="str">
        <f>IF(T241&lt;0, "negative_discount", IF(AND(T241&gt;0.5, T241&lt;=1), "high_discount", ""))</f>
        <v/>
      </c>
      <c r="V241" s="11">
        <v>3136.1</v>
      </c>
      <c r="W241" s="12">
        <v>3136.1</v>
      </c>
      <c r="X241" s="11">
        <v>2279.4899999999998</v>
      </c>
      <c r="Y241" s="11">
        <v>856.61</v>
      </c>
      <c r="Z241" s="11">
        <f>ROUND(W241-X241,2)</f>
        <v>856.61</v>
      </c>
      <c r="AA241" s="4">
        <f>IF(W241=0,0,Z241/W241)</f>
        <v>0.2731449889990753</v>
      </c>
      <c r="AB241" t="s">
        <v>31</v>
      </c>
      <c r="AC241" t="s">
        <v>32</v>
      </c>
      <c r="AD241" t="str">
        <f>IF(AND(E241="", T241&gt;=0, T241&lt;=0.5, K241&lt;&gt;"Unknown", Q241&lt;&gt;"Unknown"), "CLEAN", _xlfn.CONCAT("WARNING: ", IF(E241&lt;&gt;"","invalid_date",""), IF(T241&lt;0,"negative_discount",""), IF(AND(T241&gt;0.5,T241&lt;=1),"high_discount",""), IF(K241="Unknown","missing_region",""), IF(Q241="Unknown","missing_ship_mode","")))</f>
        <v>CLEAN</v>
      </c>
      <c r="AE241" t="str">
        <f>IF(COUNTIF($AF$2:$AF$926,AF241)&gt;1,"DUPLICATE","UNIQUE")</f>
        <v>UNIQUE</v>
      </c>
      <c r="AF241" t="str">
        <f>A241&amp;"|"&amp;B241&amp;"|"&amp;H241&amp;"|"&amp;I241&amp;"|"&amp;R241&amp;"|"&amp;S241&amp;"|"&amp;V241</f>
        <v>ORD-2024-10240|2024-09-21|CUST-2233|Kabir Singh|2|1960.06|3136.1</v>
      </c>
      <c r="AG241" t="str">
        <f>IF(COUNTIF($A$2:$A$913,A241)&gt;1,"TRUE","FALSE")</f>
        <v>FALSE</v>
      </c>
    </row>
    <row r="242" spans="1:33">
      <c r="A242" t="s">
        <v>821</v>
      </c>
      <c r="B242" t="s">
        <v>2752</v>
      </c>
      <c r="C242" t="s">
        <v>304</v>
      </c>
      <c r="D242">
        <f>IF(OR(B242="", C242=""), "", (C242 - B242))</f>
        <v>6</v>
      </c>
      <c r="E242" t="str">
        <f>IF(C242&lt;B242, "INVALID: Ship date before order date", "")</f>
        <v/>
      </c>
      <c r="F242" t="str">
        <f>IF(B242="", "", TEXT(B242, "mmmm"))</f>
        <v>December</v>
      </c>
      <c r="G242">
        <f>IF(B242="", "", YEAR(B242))</f>
        <v>2024</v>
      </c>
      <c r="H242" t="s">
        <v>822</v>
      </c>
      <c r="I242" t="s">
        <v>126</v>
      </c>
      <c r="J242" t="s">
        <v>89</v>
      </c>
      <c r="K242" t="s">
        <v>53</v>
      </c>
      <c r="L242" t="s">
        <v>54</v>
      </c>
      <c r="M242" t="s">
        <v>55</v>
      </c>
      <c r="N242" t="s">
        <v>27</v>
      </c>
      <c r="O242" t="s">
        <v>149</v>
      </c>
      <c r="P242" t="s">
        <v>823</v>
      </c>
      <c r="Q242" t="s">
        <v>49</v>
      </c>
      <c r="R242">
        <v>9</v>
      </c>
      <c r="S242" s="15">
        <v>2315.1</v>
      </c>
      <c r="T242" s="4">
        <v>0</v>
      </c>
      <c r="U242" s="3" t="str">
        <f>IF(T242&lt;0, "negative_discount", IF(AND(T242&gt;0.5, T242&lt;=1), "high_discount", ""))</f>
        <v/>
      </c>
      <c r="V242" s="11">
        <v>20835.900000000001</v>
      </c>
      <c r="W242" s="12">
        <v>20835.900000000001</v>
      </c>
      <c r="X242" s="11">
        <v>13928.19</v>
      </c>
      <c r="Y242" s="11">
        <v>6907.71</v>
      </c>
      <c r="Z242" s="11">
        <f>ROUND(W242-X242,2)</f>
        <v>6907.71</v>
      </c>
      <c r="AA242" s="4">
        <f>IF(W242=0,0,Z242/W242)</f>
        <v>0.33152923559817427</v>
      </c>
      <c r="AB242" t="s">
        <v>31</v>
      </c>
      <c r="AC242" t="s">
        <v>32</v>
      </c>
      <c r="AD242" t="str">
        <f>IF(AND(E242="", T242&gt;=0, T242&lt;=0.5, K242&lt;&gt;"Unknown", Q242&lt;&gt;"Unknown"), "CLEAN", _xlfn.CONCAT("WARNING: ", IF(E242&lt;&gt;"","invalid_date",""), IF(T242&lt;0,"negative_discount",""), IF(AND(T242&gt;0.5,T242&lt;=1),"high_discount",""), IF(K242="Unknown","missing_region",""), IF(Q242="Unknown","missing_ship_mode","")))</f>
        <v>CLEAN</v>
      </c>
      <c r="AE242" t="str">
        <f>IF(COUNTIF($AF$2:$AF$926,AF242)&gt;1,"DUPLICATE","UNIQUE")</f>
        <v>UNIQUE</v>
      </c>
      <c r="AF242" t="str">
        <f>A242&amp;"|"&amp;B242&amp;"|"&amp;H242&amp;"|"&amp;I242&amp;"|"&amp;R242&amp;"|"&amp;S242&amp;"|"&amp;V242</f>
        <v>ORD-2024-10241|2024-12-17|CUST-9778|Aarav Sharma|9|2315.1|20835.9</v>
      </c>
      <c r="AG242" t="str">
        <f>IF(COUNTIF($A$2:$A$913,A242)&gt;1,"TRUE","FALSE")</f>
        <v>FALSE</v>
      </c>
    </row>
    <row r="243" spans="1:33">
      <c r="A243" t="s">
        <v>3077</v>
      </c>
      <c r="B243" t="s">
        <v>1555</v>
      </c>
      <c r="C243" t="s">
        <v>2783</v>
      </c>
      <c r="D243">
        <f>IF(OR(B243="", C243=""), "", (C243 - B243))</f>
        <v>-29</v>
      </c>
      <c r="E243" t="str">
        <f>IF(C243&lt;B243, "INVALID: Ship date before order date", "")</f>
        <v>INVALID: Ship date before order date</v>
      </c>
      <c r="F243" t="str">
        <f>IF(B243="", "", TEXT(B243, "mmmm"))</f>
        <v>July</v>
      </c>
      <c r="G243">
        <f>IF(B243="", "", YEAR(B243))</f>
        <v>2025</v>
      </c>
      <c r="H243" t="s">
        <v>824</v>
      </c>
      <c r="I243" t="s">
        <v>131</v>
      </c>
      <c r="J243" t="s">
        <v>89</v>
      </c>
      <c r="K243" t="s">
        <v>24</v>
      </c>
      <c r="L243" t="s">
        <v>234</v>
      </c>
      <c r="M243" t="s">
        <v>235</v>
      </c>
      <c r="N243" t="s">
        <v>27</v>
      </c>
      <c r="O243" t="s">
        <v>122</v>
      </c>
      <c r="P243" t="s">
        <v>825</v>
      </c>
      <c r="Q243" t="s">
        <v>58</v>
      </c>
      <c r="R243">
        <v>1</v>
      </c>
      <c r="S243" s="15">
        <v>1617.2</v>
      </c>
      <c r="T243" s="4">
        <v>0.25</v>
      </c>
      <c r="U243" s="3" t="str">
        <f>IF(T243&lt;0, "negative_discount", IF(AND(T243&gt;0.5, T243&lt;=1), "high_discount", ""))</f>
        <v/>
      </c>
      <c r="V243" s="11">
        <v>1212.9000000000001</v>
      </c>
      <c r="W243" s="12">
        <v>1212.9000000000001</v>
      </c>
      <c r="X243" s="11">
        <v>690.52</v>
      </c>
      <c r="Y243" s="11">
        <v>522.38</v>
      </c>
      <c r="Z243" s="11">
        <f>ROUND(W243-X243,2)</f>
        <v>522.38</v>
      </c>
      <c r="AA243" s="4">
        <f>IF(W243=0,0,Z243/W243)</f>
        <v>0.43068678374144609</v>
      </c>
      <c r="AB243" t="s">
        <v>109</v>
      </c>
      <c r="AC243" t="s">
        <v>100</v>
      </c>
      <c r="AD243" t="str">
        <f>IF(AND(E243="", T243&gt;=0, T243&lt;=0.5, K243&lt;&gt;"Unknown", Q243&lt;&gt;"Unknown"), "CLEAN", _xlfn.CONCAT("WARNING: ", IF(E243&lt;&gt;"","invalid_date",""), IF(T243&lt;0,"negative_discount",""), IF(AND(T243&gt;0.5,T243&lt;=1),"high_discount",""), IF(K243="Unknown","missing_region",""), IF(Q243="Unknown","missing_ship_mode","")))</f>
        <v>WARNING: invalid_date</v>
      </c>
      <c r="AE243" t="str">
        <f>IF(COUNTIF($AF$2:$AF$926,AF243)&gt;1,"DUPLICATE","UNIQUE")</f>
        <v>UNIQUE</v>
      </c>
      <c r="AF243" t="str">
        <f>A243&amp;"|"&amp;B243&amp;"|"&amp;H243&amp;"|"&amp;I243&amp;"|"&amp;R243&amp;"|"&amp;S243&amp;"|"&amp;V243</f>
        <v>ORD-2025-10242|2025-07-06|CUST-6949|Sneha Kapoor|1|1617.2|1212.9</v>
      </c>
      <c r="AG243" t="str">
        <f>IF(COUNTIF($A$2:$A$913,A243)&gt;1,"TRUE","FALSE")</f>
        <v>FALSE</v>
      </c>
    </row>
    <row r="244" spans="1:33">
      <c r="A244" t="s">
        <v>3078</v>
      </c>
      <c r="B244" t="s">
        <v>826</v>
      </c>
      <c r="C244" t="s">
        <v>826</v>
      </c>
      <c r="D244">
        <f>IF(OR(B244="", C244=""), "", (C244 - B244))</f>
        <v>0</v>
      </c>
      <c r="E244" t="str">
        <f>IF(C244&lt;B244, "INVALID: Ship date before order date", "")</f>
        <v/>
      </c>
      <c r="F244" t="str">
        <f>IF(B244="", "", TEXT(B244, "mmmm"))</f>
        <v>February</v>
      </c>
      <c r="G244">
        <f>IF(B244="", "", YEAR(B244))</f>
        <v>2025</v>
      </c>
      <c r="H244" t="s">
        <v>827</v>
      </c>
      <c r="I244" t="s">
        <v>52</v>
      </c>
      <c r="J244" t="s">
        <v>23</v>
      </c>
      <c r="K244" t="s">
        <v>24</v>
      </c>
      <c r="L244" t="s">
        <v>134</v>
      </c>
      <c r="M244" t="s">
        <v>135</v>
      </c>
      <c r="N244" t="s">
        <v>27</v>
      </c>
      <c r="O244" t="s">
        <v>47</v>
      </c>
      <c r="P244" t="s">
        <v>828</v>
      </c>
      <c r="Q244" t="s">
        <v>30</v>
      </c>
      <c r="R244">
        <v>3</v>
      </c>
      <c r="S244" s="15">
        <v>1999.24</v>
      </c>
      <c r="T244" s="4">
        <v>0.05</v>
      </c>
      <c r="U244" s="3" t="str">
        <f>IF(T244&lt;0, "negative_discount", IF(AND(T244&gt;0.5, T244&lt;=1), "high_discount", ""))</f>
        <v/>
      </c>
      <c r="V244" s="11">
        <v>5697.83</v>
      </c>
      <c r="W244" s="12">
        <v>5697.83</v>
      </c>
      <c r="X244" s="11">
        <v>4251.5</v>
      </c>
      <c r="Y244" s="11">
        <v>1446.33</v>
      </c>
      <c r="Z244" s="11">
        <f>ROUND(W244-X244,2)</f>
        <v>1446.33</v>
      </c>
      <c r="AA244" s="4">
        <f>IF(W244=0,0,Z244/W244)</f>
        <v>0.2538387421176132</v>
      </c>
      <c r="AB244" t="s">
        <v>31</v>
      </c>
      <c r="AC244" t="s">
        <v>32</v>
      </c>
      <c r="AD244" t="str">
        <f>IF(AND(E244="", T244&gt;=0, T244&lt;=0.5, K244&lt;&gt;"Unknown", Q244&lt;&gt;"Unknown"), "CLEAN", _xlfn.CONCAT("WARNING: ", IF(E244&lt;&gt;"","invalid_date",""), IF(T244&lt;0,"negative_discount",""), IF(AND(T244&gt;0.5,T244&lt;=1),"high_discount",""), IF(K244="Unknown","missing_region",""), IF(Q244="Unknown","missing_ship_mode","")))</f>
        <v>CLEAN</v>
      </c>
      <c r="AE244" t="str">
        <f>IF(COUNTIF($AF$2:$AF$926,AF244)&gt;1,"DUPLICATE","UNIQUE")</f>
        <v>UNIQUE</v>
      </c>
      <c r="AF244" t="str">
        <f>A244&amp;"|"&amp;B244&amp;"|"&amp;H244&amp;"|"&amp;I244&amp;"|"&amp;R244&amp;"|"&amp;S244&amp;"|"&amp;V244</f>
        <v>ORD-2025-10243|2025-02-07|CUST-3430|Arjun Bose|3|1999.24|5697.83</v>
      </c>
      <c r="AG244" t="str">
        <f>IF(COUNTIF($A$2:$A$913,A244)&gt;1,"TRUE","FALSE")</f>
        <v>FALSE</v>
      </c>
    </row>
    <row r="245" spans="1:33">
      <c r="A245" t="s">
        <v>3079</v>
      </c>
      <c r="B245" t="s">
        <v>2686</v>
      </c>
      <c r="C245" t="s">
        <v>2921</v>
      </c>
      <c r="D245">
        <f>IF(OR(B245="", C245=""), "", (C245 - B245))</f>
        <v>4</v>
      </c>
      <c r="E245" t="str">
        <f>IF(C245&lt;B245, "INVALID: Ship date before order date", "")</f>
        <v/>
      </c>
      <c r="F245" t="str">
        <f>IF(B245="", "", TEXT(B245, "mmmm"))</f>
        <v>July</v>
      </c>
      <c r="G245">
        <f>IF(B245="", "", YEAR(B245))</f>
        <v>2025</v>
      </c>
      <c r="H245" t="s">
        <v>829</v>
      </c>
      <c r="I245" t="s">
        <v>131</v>
      </c>
      <c r="J245" t="s">
        <v>36</v>
      </c>
      <c r="K245" t="s">
        <v>2970</v>
      </c>
      <c r="L245" t="s">
        <v>72</v>
      </c>
      <c r="M245" t="s">
        <v>73</v>
      </c>
      <c r="N245" t="s">
        <v>74</v>
      </c>
      <c r="O245" t="s">
        <v>75</v>
      </c>
      <c r="P245" t="s">
        <v>830</v>
      </c>
      <c r="Q245" t="s">
        <v>49</v>
      </c>
      <c r="R245">
        <v>1</v>
      </c>
      <c r="S245" s="15">
        <v>4499.46</v>
      </c>
      <c r="T245" s="4">
        <v>0.1</v>
      </c>
      <c r="U245" s="3" t="str">
        <f>IF(T245&lt;0, "negative_discount", IF(AND(T245&gt;0.5, T245&lt;=1), "high_discount", ""))</f>
        <v/>
      </c>
      <c r="V245" s="11">
        <v>4049.51</v>
      </c>
      <c r="W245" s="12">
        <v>4049.51</v>
      </c>
      <c r="X245" s="11">
        <v>2509.1999999999998</v>
      </c>
      <c r="Y245" s="11">
        <v>1540.31</v>
      </c>
      <c r="Z245" s="11">
        <f>ROUND(W245-X245,2)</f>
        <v>1540.31</v>
      </c>
      <c r="AA245" s="4">
        <f>IF(W245=0,0,Z245/W245)</f>
        <v>0.38036947680089689</v>
      </c>
      <c r="AB245" t="s">
        <v>31</v>
      </c>
      <c r="AC245" t="s">
        <v>32</v>
      </c>
      <c r="AD245" t="str">
        <f>IF(AND(E245="", T245&gt;=0, T245&lt;=0.5, K245&lt;&gt;"Unknown", Q245&lt;&gt;"Unknown"), "CLEAN", _xlfn.CONCAT("WARNING: ", IF(E245&lt;&gt;"","invalid_date",""), IF(T245&lt;0,"negative_discount",""), IF(AND(T245&gt;0.5,T245&lt;=1),"high_discount",""), IF(K245="Unknown","missing_region",""), IF(Q245="Unknown","missing_ship_mode","")))</f>
        <v>WARNING: missing_region</v>
      </c>
      <c r="AE245" t="str">
        <f>IF(COUNTIF($AF$2:$AF$926,AF245)&gt;1,"DUPLICATE","UNIQUE")</f>
        <v>UNIQUE</v>
      </c>
      <c r="AF245" t="str">
        <f>A245&amp;"|"&amp;B245&amp;"|"&amp;H245&amp;"|"&amp;I245&amp;"|"&amp;R245&amp;"|"&amp;S245&amp;"|"&amp;V245</f>
        <v>ORD-2025-10244|2025-07-29|CUST-6310|Sneha Kapoor|1|4499.46|4049.51</v>
      </c>
      <c r="AG245" t="str">
        <f>IF(COUNTIF($A$2:$A$913,A245)&gt;1,"TRUE","FALSE")</f>
        <v>FALSE</v>
      </c>
    </row>
    <row r="246" spans="1:33">
      <c r="A246" t="s">
        <v>831</v>
      </c>
      <c r="B246" t="s">
        <v>1256</v>
      </c>
      <c r="C246" t="s">
        <v>832</v>
      </c>
      <c r="D246">
        <f>IF(OR(B246="", C246=""), "", (C246 - B246))</f>
        <v>1</v>
      </c>
      <c r="E246" t="str">
        <f>IF(C246&lt;B246, "INVALID: Ship date before order date", "")</f>
        <v/>
      </c>
      <c r="F246" t="str">
        <f>IF(B246="", "", TEXT(B246, "mmmm"))</f>
        <v>August</v>
      </c>
      <c r="G246">
        <f>IF(B246="", "", YEAR(B246))</f>
        <v>2024</v>
      </c>
      <c r="H246" t="s">
        <v>833</v>
      </c>
      <c r="I246" t="s">
        <v>78</v>
      </c>
      <c r="J246" t="s">
        <v>23</v>
      </c>
      <c r="K246" t="s">
        <v>53</v>
      </c>
      <c r="L246" t="s">
        <v>54</v>
      </c>
      <c r="M246" t="s">
        <v>55</v>
      </c>
      <c r="N246" t="s">
        <v>40</v>
      </c>
      <c r="O246" t="s">
        <v>153</v>
      </c>
      <c r="P246" t="s">
        <v>834</v>
      </c>
      <c r="Q246" t="s">
        <v>43</v>
      </c>
      <c r="R246">
        <v>6</v>
      </c>
      <c r="S246" s="15">
        <v>1021.89</v>
      </c>
      <c r="T246" s="4">
        <v>0</v>
      </c>
      <c r="U246" s="3" t="str">
        <f>IF(T246&lt;0, "negative_discount", IF(AND(T246&gt;0.5, T246&lt;=1), "high_discount", ""))</f>
        <v/>
      </c>
      <c r="V246" s="11">
        <v>6131.34</v>
      </c>
      <c r="W246" s="12">
        <v>6131.34</v>
      </c>
      <c r="X246" s="11">
        <v>4060.88</v>
      </c>
      <c r="Y246" s="11">
        <v>2070.46</v>
      </c>
      <c r="Z246" s="11">
        <f>ROUND(W246-X246,2)</f>
        <v>2070.46</v>
      </c>
      <c r="AA246" s="4">
        <f>IF(W246=0,0,Z246/W246)</f>
        <v>0.33768474754295147</v>
      </c>
      <c r="AB246" t="s">
        <v>31</v>
      </c>
      <c r="AC246" t="s">
        <v>32</v>
      </c>
      <c r="AD246" t="str">
        <f>IF(AND(E246="", T246&gt;=0, T246&lt;=0.5, K246&lt;&gt;"Unknown", Q246&lt;&gt;"Unknown"), "CLEAN", _xlfn.CONCAT("WARNING: ", IF(E246&lt;&gt;"","invalid_date",""), IF(T246&lt;0,"negative_discount",""), IF(AND(T246&gt;0.5,T246&lt;=1),"high_discount",""), IF(K246="Unknown","missing_region",""), IF(Q246="Unknown","missing_ship_mode","")))</f>
        <v>CLEAN</v>
      </c>
      <c r="AE246" t="str">
        <f>IF(COUNTIF($AF$2:$AF$926,AF246)&gt;1,"DUPLICATE","UNIQUE")</f>
        <v>UNIQUE</v>
      </c>
      <c r="AF246" t="str">
        <f>A246&amp;"|"&amp;B246&amp;"|"&amp;H246&amp;"|"&amp;I246&amp;"|"&amp;R246&amp;"|"&amp;S246&amp;"|"&amp;V246</f>
        <v>ORD-2024-10245|2024-08-23|CUST-6008|Neha Gupta|6|1021.89|6131.34</v>
      </c>
      <c r="AG246" t="str">
        <f>IF(COUNTIF($A$2:$A$913,A246)&gt;1,"TRUE","FALSE")</f>
        <v>FALSE</v>
      </c>
    </row>
    <row r="247" spans="1:33">
      <c r="A247" t="s">
        <v>835</v>
      </c>
      <c r="B247" t="s">
        <v>2710</v>
      </c>
      <c r="C247" t="s">
        <v>441</v>
      </c>
      <c r="D247">
        <f>IF(OR(B247="", C247=""), "", (C247 - B247))</f>
        <v>6</v>
      </c>
      <c r="E247" t="str">
        <f>IF(C247&lt;B247, "INVALID: Ship date before order date", "")</f>
        <v/>
      </c>
      <c r="F247" t="str">
        <f>IF(B247="", "", TEXT(B247, "mmmm"))</f>
        <v>October</v>
      </c>
      <c r="G247">
        <f>IF(B247="", "", YEAR(B247))</f>
        <v>2024</v>
      </c>
      <c r="H247" t="s">
        <v>836</v>
      </c>
      <c r="I247" t="s">
        <v>78</v>
      </c>
      <c r="J247" t="s">
        <v>93</v>
      </c>
      <c r="K247" t="s">
        <v>53</v>
      </c>
      <c r="L247" t="s">
        <v>180</v>
      </c>
      <c r="M247" t="s">
        <v>181</v>
      </c>
      <c r="N247" t="s">
        <v>40</v>
      </c>
      <c r="O247" t="s">
        <v>65</v>
      </c>
      <c r="P247" t="s">
        <v>837</v>
      </c>
      <c r="Q247" t="s">
        <v>30</v>
      </c>
      <c r="R247">
        <v>3</v>
      </c>
      <c r="S247" s="15">
        <v>3275.93</v>
      </c>
      <c r="T247" s="4">
        <v>0</v>
      </c>
      <c r="U247" s="3" t="str">
        <f>IF(T247&lt;0, "negative_discount", IF(AND(T247&gt;0.5, T247&lt;=1), "high_discount", ""))</f>
        <v/>
      </c>
      <c r="V247" s="11">
        <v>9827.7900000000009</v>
      </c>
      <c r="W247" s="12">
        <v>9827.7900000000009</v>
      </c>
      <c r="X247" s="11">
        <v>5478.28</v>
      </c>
      <c r="Y247" s="11">
        <v>4349.51</v>
      </c>
      <c r="Z247" s="11">
        <f>ROUND(W247-X247,2)</f>
        <v>4349.51</v>
      </c>
      <c r="AA247" s="4">
        <f>IF(W247=0,0,Z247/W247)</f>
        <v>0.44257254174132737</v>
      </c>
      <c r="AB247" t="s">
        <v>31</v>
      </c>
      <c r="AC247" t="s">
        <v>32</v>
      </c>
      <c r="AD247" t="str">
        <f>IF(AND(E247="", T247&gt;=0, T247&lt;=0.5, K247&lt;&gt;"Unknown", Q247&lt;&gt;"Unknown"), "CLEAN", _xlfn.CONCAT("WARNING: ", IF(E247&lt;&gt;"","invalid_date",""), IF(T247&lt;0,"negative_discount",""), IF(AND(T247&gt;0.5,T247&lt;=1),"high_discount",""), IF(K247="Unknown","missing_region",""), IF(Q247="Unknown","missing_ship_mode","")))</f>
        <v>CLEAN</v>
      </c>
      <c r="AE247" t="str">
        <f>IF(COUNTIF($AF$2:$AF$926,AF247)&gt;1,"DUPLICATE","UNIQUE")</f>
        <v>UNIQUE</v>
      </c>
      <c r="AF247" t="str">
        <f>A247&amp;"|"&amp;B247&amp;"|"&amp;H247&amp;"|"&amp;I247&amp;"|"&amp;R247&amp;"|"&amp;S247&amp;"|"&amp;V247</f>
        <v>ORD-2024-10246|2024-10-18|CUST-1704|Neha Gupta|3|3275.93|9827.79</v>
      </c>
      <c r="AG247" t="str">
        <f>IF(COUNTIF($A$2:$A$913,A247)&gt;1,"TRUE","FALSE")</f>
        <v>FALSE</v>
      </c>
    </row>
    <row r="248" spans="1:33">
      <c r="A248" t="s">
        <v>838</v>
      </c>
      <c r="B248" t="s">
        <v>1438</v>
      </c>
      <c r="C248" t="s">
        <v>1151</v>
      </c>
      <c r="D248">
        <f>IF(OR(B248="", C248=""), "", (C248 - B248))</f>
        <v>5</v>
      </c>
      <c r="E248" t="str">
        <f>IF(C248&lt;B248, "INVALID: Ship date before order date", "")</f>
        <v/>
      </c>
      <c r="F248" t="str">
        <f>IF(B248="", "", TEXT(B248, "mmmm"))</f>
        <v>May</v>
      </c>
      <c r="G248">
        <f>IF(B248="", "", YEAR(B248))</f>
        <v>2024</v>
      </c>
      <c r="H248" t="s">
        <v>839</v>
      </c>
      <c r="I248" t="s">
        <v>61</v>
      </c>
      <c r="J248" t="s">
        <v>89</v>
      </c>
      <c r="K248" t="s">
        <v>24</v>
      </c>
      <c r="L248" t="s">
        <v>120</v>
      </c>
      <c r="M248" t="s">
        <v>121</v>
      </c>
      <c r="N248" t="s">
        <v>74</v>
      </c>
      <c r="O248" t="s">
        <v>272</v>
      </c>
      <c r="P248" t="s">
        <v>840</v>
      </c>
      <c r="Q248" t="s">
        <v>43</v>
      </c>
      <c r="R248">
        <v>3</v>
      </c>
      <c r="S248" s="15">
        <v>231.95</v>
      </c>
      <c r="T248" s="4">
        <v>0.25</v>
      </c>
      <c r="U248" s="3" t="str">
        <f>IF(T248&lt;0, "negative_discount", IF(AND(T248&gt;0.5, T248&lt;=1), "high_discount", ""))</f>
        <v/>
      </c>
      <c r="V248" s="11">
        <v>521.89</v>
      </c>
      <c r="W248" s="12">
        <v>521.89</v>
      </c>
      <c r="X248" s="11">
        <v>444.52</v>
      </c>
      <c r="Y248" s="11">
        <v>77.37</v>
      </c>
      <c r="Z248" s="11">
        <f>ROUND(W248-X248,2)</f>
        <v>77.37</v>
      </c>
      <c r="AA248" s="4">
        <f>IF(W248=0,0,Z248/W248)</f>
        <v>0.14824963114832629</v>
      </c>
      <c r="AB248" t="s">
        <v>99</v>
      </c>
      <c r="AC248" t="s">
        <v>67</v>
      </c>
      <c r="AD248" t="str">
        <f>IF(AND(E248="", T248&gt;=0, T248&lt;=0.5, K248&lt;&gt;"Unknown", Q248&lt;&gt;"Unknown"), "CLEAN", _xlfn.CONCAT("WARNING: ", IF(E248&lt;&gt;"","invalid_date",""), IF(T248&lt;0,"negative_discount",""), IF(AND(T248&gt;0.5,T248&lt;=1),"high_discount",""), IF(K248="Unknown","missing_region",""), IF(Q248="Unknown","missing_ship_mode","")))</f>
        <v>CLEAN</v>
      </c>
      <c r="AE248" t="str">
        <f>IF(COUNTIF($AF$2:$AF$926,AF248)&gt;1,"DUPLICATE","UNIQUE")</f>
        <v>UNIQUE</v>
      </c>
      <c r="AF248" t="str">
        <f>A248&amp;"|"&amp;B248&amp;"|"&amp;H248&amp;"|"&amp;I248&amp;"|"&amp;R248&amp;"|"&amp;S248&amp;"|"&amp;V248</f>
        <v>ORD-2024-10247|2024-05-04|CUST-1827|Ananya Rao|3|231.95|521.89</v>
      </c>
      <c r="AG248" t="str">
        <f>IF(COUNTIF($A$2:$A$913,A248)&gt;1,"TRUE","FALSE")</f>
        <v>FALSE</v>
      </c>
    </row>
    <row r="249" spans="1:33">
      <c r="A249" t="s">
        <v>841</v>
      </c>
      <c r="B249" t="s">
        <v>2753</v>
      </c>
      <c r="C249" t="s">
        <v>2828</v>
      </c>
      <c r="D249">
        <f>IF(OR(B249="", C249=""), "", (C249 - B249))</f>
        <v>7</v>
      </c>
      <c r="E249" t="str">
        <f>IF(C249&lt;B249, "INVALID: Ship date before order date", "")</f>
        <v/>
      </c>
      <c r="F249" t="str">
        <f>IF(B249="", "", TEXT(B249, "mmmm"))</f>
        <v>July</v>
      </c>
      <c r="G249">
        <f>IF(B249="", "", YEAR(B249))</f>
        <v>2024</v>
      </c>
      <c r="H249" t="s">
        <v>842</v>
      </c>
      <c r="I249" t="s">
        <v>116</v>
      </c>
      <c r="J249" t="s">
        <v>89</v>
      </c>
      <c r="K249" t="s">
        <v>24</v>
      </c>
      <c r="L249" t="s">
        <v>25</v>
      </c>
      <c r="M249" t="s">
        <v>26</v>
      </c>
      <c r="N249" t="s">
        <v>74</v>
      </c>
      <c r="O249" t="s">
        <v>75</v>
      </c>
      <c r="P249" t="s">
        <v>843</v>
      </c>
      <c r="Q249" t="s">
        <v>30</v>
      </c>
      <c r="R249">
        <v>8</v>
      </c>
      <c r="S249" s="15">
        <v>2493.4</v>
      </c>
      <c r="T249" s="4">
        <v>0.25</v>
      </c>
      <c r="U249" s="3" t="str">
        <f>IF(T249&lt;0, "negative_discount", IF(AND(T249&gt;0.5, T249&lt;=1), "high_discount", ""))</f>
        <v/>
      </c>
      <c r="V249" s="11">
        <v>14960.4</v>
      </c>
      <c r="W249" s="12">
        <v>14960.4</v>
      </c>
      <c r="X249" s="11">
        <v>12500.84</v>
      </c>
      <c r="Y249" s="11">
        <v>2459.56</v>
      </c>
      <c r="Z249" s="11">
        <f>ROUND(W249-X249,2)</f>
        <v>2459.56</v>
      </c>
      <c r="AA249" s="4">
        <f>IF(W249=0,0,Z249/W249)</f>
        <v>0.16440469506162936</v>
      </c>
      <c r="AB249" t="s">
        <v>31</v>
      </c>
      <c r="AC249" t="s">
        <v>32</v>
      </c>
      <c r="AD249" t="str">
        <f>IF(AND(E249="", T249&gt;=0, T249&lt;=0.5, K249&lt;&gt;"Unknown", Q249&lt;&gt;"Unknown"), "CLEAN", _xlfn.CONCAT("WARNING: ", IF(E249&lt;&gt;"","invalid_date",""), IF(T249&lt;0,"negative_discount",""), IF(AND(T249&gt;0.5,T249&lt;=1),"high_discount",""), IF(K249="Unknown","missing_region",""), IF(Q249="Unknown","missing_ship_mode","")))</f>
        <v>CLEAN</v>
      </c>
      <c r="AE249" t="str">
        <f>IF(COUNTIF($AF$2:$AF$926,AF249)&gt;1,"DUPLICATE","UNIQUE")</f>
        <v>UNIQUE</v>
      </c>
      <c r="AF249" t="str">
        <f>A249&amp;"|"&amp;B249&amp;"|"&amp;H249&amp;"|"&amp;I249&amp;"|"&amp;R249&amp;"|"&amp;S249&amp;"|"&amp;V249</f>
        <v>ORD-2024-10248|2024-07-25|CUST-6663|Rahul Verma|8|2493.4|14960.4</v>
      </c>
      <c r="AG249" t="str">
        <f>IF(COUNTIF($A$2:$A$913,A249)&gt;1,"TRUE","FALSE")</f>
        <v>FALSE</v>
      </c>
    </row>
    <row r="250" spans="1:33">
      <c r="A250" t="s">
        <v>844</v>
      </c>
      <c r="B250" t="s">
        <v>2381</v>
      </c>
      <c r="C250" t="s">
        <v>2718</v>
      </c>
      <c r="D250">
        <f>IF(OR(B250="", C250=""), "", (C250 - B250))</f>
        <v>34</v>
      </c>
      <c r="E250" t="str">
        <f>IF(C250&lt;B250, "INVALID: Ship date before order date", "")</f>
        <v/>
      </c>
      <c r="F250" t="str">
        <f>IF(B250="", "", TEXT(B250, "mmmm"))</f>
        <v>June</v>
      </c>
      <c r="G250">
        <f>IF(B250="", "", YEAR(B250))</f>
        <v>2024</v>
      </c>
      <c r="H250" t="s">
        <v>845</v>
      </c>
      <c r="I250" t="s">
        <v>139</v>
      </c>
      <c r="J250" t="s">
        <v>93</v>
      </c>
      <c r="K250" t="s">
        <v>37</v>
      </c>
      <c r="L250" t="s">
        <v>38</v>
      </c>
      <c r="M250" t="s">
        <v>39</v>
      </c>
      <c r="N250" t="s">
        <v>27</v>
      </c>
      <c r="O250" t="s">
        <v>90</v>
      </c>
      <c r="P250" t="s">
        <v>846</v>
      </c>
      <c r="Q250" t="s">
        <v>30</v>
      </c>
      <c r="R250">
        <v>9</v>
      </c>
      <c r="S250" s="15">
        <v>787.91</v>
      </c>
      <c r="T250" s="4">
        <v>0.15</v>
      </c>
      <c r="U250" s="3" t="str">
        <f>IF(T250&lt;0, "negative_discount", IF(AND(T250&gt;0.5, T250&lt;=1), "high_discount", ""))</f>
        <v/>
      </c>
      <c r="V250" s="11">
        <v>6027.51</v>
      </c>
      <c r="W250" s="12">
        <v>6027.51</v>
      </c>
      <c r="X250" s="11">
        <v>4883.82</v>
      </c>
      <c r="Y250" s="11">
        <v>1143.69</v>
      </c>
      <c r="Z250" s="11">
        <f>ROUND(W250-X250,2)</f>
        <v>1143.69</v>
      </c>
      <c r="AA250" s="4">
        <f>IF(W250=0,0,Z250/W250)</f>
        <v>0.1897450190874839</v>
      </c>
      <c r="AB250" t="s">
        <v>31</v>
      </c>
      <c r="AC250" t="s">
        <v>32</v>
      </c>
      <c r="AD250" t="str">
        <f>IF(AND(E250="", T250&gt;=0, T250&lt;=0.5, K250&lt;&gt;"Unknown", Q250&lt;&gt;"Unknown"), "CLEAN", _xlfn.CONCAT("WARNING: ", IF(E250&lt;&gt;"","invalid_date",""), IF(T250&lt;0,"negative_discount",""), IF(AND(T250&gt;0.5,T250&lt;=1),"high_discount",""), IF(K250="Unknown","missing_region",""), IF(Q250="Unknown","missing_ship_mode","")))</f>
        <v>CLEAN</v>
      </c>
      <c r="AE250" t="str">
        <f>IF(COUNTIF($AF$2:$AF$926,AF250)&gt;1,"DUPLICATE","UNIQUE")</f>
        <v>UNIQUE</v>
      </c>
      <c r="AF250" t="str">
        <f>A250&amp;"|"&amp;B250&amp;"|"&amp;H250&amp;"|"&amp;I250&amp;"|"&amp;R250&amp;"|"&amp;S250&amp;"|"&amp;V250</f>
        <v>ORD-2024-10249|2024-06-02|CUST-6278|Rohan Mehta|9|787.91|6027.51</v>
      </c>
      <c r="AG250" t="str">
        <f>IF(COUNTIF($A$2:$A$913,A250)&gt;1,"TRUE","FALSE")</f>
        <v>FALSE</v>
      </c>
    </row>
    <row r="251" spans="1:33">
      <c r="A251" t="s">
        <v>3080</v>
      </c>
      <c r="B251" t="s">
        <v>2754</v>
      </c>
      <c r="C251" t="s">
        <v>2921</v>
      </c>
      <c r="D251">
        <f>IF(OR(B251="", C251=""), "", (C251 - B251))</f>
        <v>1</v>
      </c>
      <c r="E251" t="str">
        <f>IF(C251&lt;B251, "INVALID: Ship date before order date", "")</f>
        <v/>
      </c>
      <c r="F251" t="str">
        <f>IF(B251="", "", TEXT(B251, "mmmm"))</f>
        <v>August</v>
      </c>
      <c r="G251">
        <f>IF(B251="", "", YEAR(B251))</f>
        <v>2025</v>
      </c>
      <c r="H251" t="s">
        <v>847</v>
      </c>
      <c r="I251" t="s">
        <v>35</v>
      </c>
      <c r="J251" t="s">
        <v>89</v>
      </c>
      <c r="K251" t="s">
        <v>24</v>
      </c>
      <c r="L251" t="s">
        <v>25</v>
      </c>
      <c r="M251" t="s">
        <v>26</v>
      </c>
      <c r="N251" t="s">
        <v>40</v>
      </c>
      <c r="O251" t="s">
        <v>56</v>
      </c>
      <c r="P251" t="s">
        <v>848</v>
      </c>
      <c r="Q251" t="s">
        <v>49</v>
      </c>
      <c r="R251">
        <v>4</v>
      </c>
      <c r="S251" s="15">
        <v>2790.29</v>
      </c>
      <c r="T251" s="4">
        <v>0.2</v>
      </c>
      <c r="U251" s="3" t="str">
        <f>IF(T251&lt;0, "negative_discount", IF(AND(T251&gt;0.5, T251&lt;=1), "high_discount", ""))</f>
        <v/>
      </c>
      <c r="V251" s="11">
        <v>8928.93</v>
      </c>
      <c r="W251" s="12">
        <v>8928.93</v>
      </c>
      <c r="X251" s="11">
        <v>5634.38</v>
      </c>
      <c r="Y251" s="11">
        <v>3294.55</v>
      </c>
      <c r="Z251" s="11">
        <f>ROUND(W251-X251,2)</f>
        <v>3294.55</v>
      </c>
      <c r="AA251" s="4">
        <f>IF(W251=0,0,Z251/W251)</f>
        <v>0.36897478197275596</v>
      </c>
      <c r="AB251" t="s">
        <v>31</v>
      </c>
      <c r="AC251" t="s">
        <v>32</v>
      </c>
      <c r="AD251" t="str">
        <f>IF(AND(E251="", T251&gt;=0, T251&lt;=0.5, K251&lt;&gt;"Unknown", Q251&lt;&gt;"Unknown"), "CLEAN", _xlfn.CONCAT("WARNING: ", IF(E251&lt;&gt;"","invalid_date",""), IF(T251&lt;0,"negative_discount",""), IF(AND(T251&gt;0.5,T251&lt;=1),"high_discount",""), IF(K251="Unknown","missing_region",""), IF(Q251="Unknown","missing_ship_mode","")))</f>
        <v>CLEAN</v>
      </c>
      <c r="AE251" t="str">
        <f>IF(COUNTIF($AF$2:$AF$926,AF251)&gt;1,"DUPLICATE","UNIQUE")</f>
        <v>UNIQUE</v>
      </c>
      <c r="AF251" t="str">
        <f>A251&amp;"|"&amp;B251&amp;"|"&amp;H251&amp;"|"&amp;I251&amp;"|"&amp;R251&amp;"|"&amp;S251&amp;"|"&amp;V251</f>
        <v>ORD-2025-10250|2025-08-01|CUST-2305|Mira Das|4|2790.29|8928.93</v>
      </c>
      <c r="AG251" t="str">
        <f>IF(COUNTIF($A$2:$A$913,A251)&gt;1,"TRUE","FALSE")</f>
        <v>FALSE</v>
      </c>
    </row>
    <row r="252" spans="1:33">
      <c r="A252" t="s">
        <v>849</v>
      </c>
      <c r="B252" t="s">
        <v>1804</v>
      </c>
      <c r="C252" t="s">
        <v>1727</v>
      </c>
      <c r="D252">
        <f>IF(OR(B252="", C252=""), "", (C252 - B252))</f>
        <v>6</v>
      </c>
      <c r="E252" t="str">
        <f>IF(C252&lt;B252, "INVALID: Ship date before order date", "")</f>
        <v/>
      </c>
      <c r="F252" t="str">
        <f>IF(B252="", "", TEXT(B252, "mmmm"))</f>
        <v>February</v>
      </c>
      <c r="G252">
        <f>IF(B252="", "", YEAR(B252))</f>
        <v>2024</v>
      </c>
      <c r="H252" t="s">
        <v>850</v>
      </c>
      <c r="I252" t="s">
        <v>52</v>
      </c>
      <c r="J252" t="s">
        <v>36</v>
      </c>
      <c r="K252" t="s">
        <v>37</v>
      </c>
      <c r="L252" t="s">
        <v>96</v>
      </c>
      <c r="M252" t="s">
        <v>97</v>
      </c>
      <c r="N252" t="s">
        <v>40</v>
      </c>
      <c r="O252" t="s">
        <v>56</v>
      </c>
      <c r="P252" t="s">
        <v>851</v>
      </c>
      <c r="Q252" t="s">
        <v>58</v>
      </c>
      <c r="R252">
        <v>5</v>
      </c>
      <c r="S252" s="15">
        <v>3373.86</v>
      </c>
      <c r="T252" s="4">
        <v>0.15</v>
      </c>
      <c r="U252" s="3" t="str">
        <f>IF(T252&lt;0, "negative_discount", IF(AND(T252&gt;0.5, T252&lt;=1), "high_discount", ""))</f>
        <v/>
      </c>
      <c r="V252" s="11">
        <v>14338.9</v>
      </c>
      <c r="W252" s="12">
        <v>14338.91</v>
      </c>
      <c r="X252" s="11">
        <v>11897.65</v>
      </c>
      <c r="Y252" s="11">
        <v>2441.25</v>
      </c>
      <c r="Z252" s="11">
        <f>ROUND(W252-X252,2)</f>
        <v>2441.2600000000002</v>
      </c>
      <c r="AA252" s="4">
        <f>IF(W252=0,0,Z252/W252)</f>
        <v>0.17025422434480725</v>
      </c>
      <c r="AB252" t="s">
        <v>109</v>
      </c>
      <c r="AC252" t="s">
        <v>100</v>
      </c>
      <c r="AD252" t="str">
        <f>IF(AND(E252="", T252&gt;=0, T252&lt;=0.5, K252&lt;&gt;"Unknown", Q252&lt;&gt;"Unknown"), "CLEAN", _xlfn.CONCAT("WARNING: ", IF(E252&lt;&gt;"","invalid_date",""), IF(T252&lt;0,"negative_discount",""), IF(AND(T252&gt;0.5,T252&lt;=1),"high_discount",""), IF(K252="Unknown","missing_region",""), IF(Q252="Unknown","missing_ship_mode","")))</f>
        <v>CLEAN</v>
      </c>
      <c r="AE252" t="str">
        <f>IF(COUNTIF($AF$2:$AF$926,AF252)&gt;1,"DUPLICATE","UNIQUE")</f>
        <v>UNIQUE</v>
      </c>
      <c r="AF252" t="str">
        <f>A252&amp;"|"&amp;B252&amp;"|"&amp;H252&amp;"|"&amp;I252&amp;"|"&amp;R252&amp;"|"&amp;S252&amp;"|"&amp;V252</f>
        <v>ORD-2024-10251|2024-02-21|CUST-5351|Arjun Bose|5|3373.86|14338.9</v>
      </c>
      <c r="AG252" t="str">
        <f>IF(COUNTIF($A$2:$A$913,A252)&gt;1,"TRUE","FALSE")</f>
        <v>FALSE</v>
      </c>
    </row>
    <row r="253" spans="1:33">
      <c r="A253" t="s">
        <v>3081</v>
      </c>
      <c r="B253" t="s">
        <v>852</v>
      </c>
      <c r="C253" t="s">
        <v>1679</v>
      </c>
      <c r="D253">
        <f>IF(OR(B253="", C253=""), "", (C253 - B253))</f>
        <v>4</v>
      </c>
      <c r="E253" t="str">
        <f>IF(C253&lt;B253, "INVALID: Ship date before order date", "")</f>
        <v/>
      </c>
      <c r="F253" t="str">
        <f>IF(B253="", "", TEXT(B253, "mmmm"))</f>
        <v>April</v>
      </c>
      <c r="G253">
        <f>IF(B253="", "", YEAR(B253))</f>
        <v>2025</v>
      </c>
      <c r="H253" t="s">
        <v>853</v>
      </c>
      <c r="I253" t="s">
        <v>61</v>
      </c>
      <c r="J253" t="s">
        <v>89</v>
      </c>
      <c r="K253" t="s">
        <v>62</v>
      </c>
      <c r="L253" t="s">
        <v>176</v>
      </c>
      <c r="M253" t="s">
        <v>177</v>
      </c>
      <c r="N253" t="s">
        <v>40</v>
      </c>
      <c r="O253" t="s">
        <v>41</v>
      </c>
      <c r="P253" t="s">
        <v>854</v>
      </c>
      <c r="Q253" t="s">
        <v>30</v>
      </c>
      <c r="R253">
        <v>6</v>
      </c>
      <c r="S253" s="15">
        <v>1022.16</v>
      </c>
      <c r="T253" s="4">
        <v>0</v>
      </c>
      <c r="U253" s="3" t="str">
        <f>IF(T253&lt;0, "negative_discount", IF(AND(T253&gt;0.5, T253&lt;=1), "high_discount", ""))</f>
        <v/>
      </c>
      <c r="V253" s="11">
        <v>6132.96</v>
      </c>
      <c r="W253" s="12">
        <v>6132.96</v>
      </c>
      <c r="X253" s="11">
        <v>4881.1000000000004</v>
      </c>
      <c r="Y253" s="11">
        <v>1251.8599999999999</v>
      </c>
      <c r="Z253" s="11">
        <f>ROUND(W253-X253,2)</f>
        <v>1251.8599999999999</v>
      </c>
      <c r="AA253" s="4">
        <f>IF(W253=0,0,Z253/W253)</f>
        <v>0.20412003339333698</v>
      </c>
      <c r="AB253" t="s">
        <v>31</v>
      </c>
      <c r="AC253" t="s">
        <v>32</v>
      </c>
      <c r="AD253" t="str">
        <f>IF(AND(E253="", T253&gt;=0, T253&lt;=0.5, K253&lt;&gt;"Unknown", Q253&lt;&gt;"Unknown"), "CLEAN", _xlfn.CONCAT("WARNING: ", IF(E253&lt;&gt;"","invalid_date",""), IF(T253&lt;0,"negative_discount",""), IF(AND(T253&gt;0.5,T253&lt;=1),"high_discount",""), IF(K253="Unknown","missing_region",""), IF(Q253="Unknown","missing_ship_mode","")))</f>
        <v>CLEAN</v>
      </c>
      <c r="AE253" t="str">
        <f>IF(COUNTIF($AF$2:$AF$926,AF253)&gt;1,"DUPLICATE","UNIQUE")</f>
        <v>UNIQUE</v>
      </c>
      <c r="AF253" t="str">
        <f>A253&amp;"|"&amp;B253&amp;"|"&amp;H253&amp;"|"&amp;I253&amp;"|"&amp;R253&amp;"|"&amp;S253&amp;"|"&amp;V253</f>
        <v>ORD-2025-10252|2025-04-06|CUST-6268|Ananya Rao|6|1022.16|6132.96</v>
      </c>
      <c r="AG253" t="str">
        <f>IF(COUNTIF($A$2:$A$913,A253)&gt;1,"TRUE","FALSE")</f>
        <v>FALSE</v>
      </c>
    </row>
    <row r="254" spans="1:33">
      <c r="A254" t="s">
        <v>3082</v>
      </c>
      <c r="B254" t="s">
        <v>1823</v>
      </c>
      <c r="C254" t="s">
        <v>785</v>
      </c>
      <c r="D254">
        <f>IF(OR(B254="", C254=""), "", (C254 - B254))</f>
        <v>3</v>
      </c>
      <c r="E254" t="str">
        <f>IF(C254&lt;B254, "INVALID: Ship date before order date", "")</f>
        <v/>
      </c>
      <c r="F254" t="str">
        <f>IF(B254="", "", TEXT(B254, "mmmm"))</f>
        <v>June</v>
      </c>
      <c r="G254">
        <f>IF(B254="", "", YEAR(B254))</f>
        <v>2025</v>
      </c>
      <c r="H254" t="s">
        <v>855</v>
      </c>
      <c r="I254" t="s">
        <v>52</v>
      </c>
      <c r="J254" t="s">
        <v>89</v>
      </c>
      <c r="K254" t="s">
        <v>24</v>
      </c>
      <c r="L254" t="s">
        <v>234</v>
      </c>
      <c r="M254" t="s">
        <v>235</v>
      </c>
      <c r="N254" t="s">
        <v>27</v>
      </c>
      <c r="O254" t="s">
        <v>122</v>
      </c>
      <c r="P254" t="s">
        <v>856</v>
      </c>
      <c r="Q254" t="s">
        <v>49</v>
      </c>
      <c r="R254">
        <v>2</v>
      </c>
      <c r="S254" s="15">
        <v>1455.92</v>
      </c>
      <c r="T254" s="4">
        <v>0.2</v>
      </c>
      <c r="U254" s="3" t="str">
        <f>IF(T254&lt;0, "negative_discount", IF(AND(T254&gt;0.5, T254&lt;=1), "high_discount", ""))</f>
        <v/>
      </c>
      <c r="V254" s="11">
        <v>2329.4699999999998</v>
      </c>
      <c r="W254" s="12">
        <v>2329.4699999999998</v>
      </c>
      <c r="X254" s="11">
        <v>1603.62</v>
      </c>
      <c r="Y254" s="11">
        <v>725.85</v>
      </c>
      <c r="Z254" s="11">
        <f>ROUND(W254-X254,2)</f>
        <v>725.85</v>
      </c>
      <c r="AA254" s="4">
        <f>IF(W254=0,0,Z254/W254)</f>
        <v>0.31159448286520114</v>
      </c>
      <c r="AB254" t="s">
        <v>109</v>
      </c>
      <c r="AC254" t="s">
        <v>100</v>
      </c>
      <c r="AD254" t="str">
        <f>IF(AND(E254="", T254&gt;=0, T254&lt;=0.5, K254&lt;&gt;"Unknown", Q254&lt;&gt;"Unknown"), "CLEAN", _xlfn.CONCAT("WARNING: ", IF(E254&lt;&gt;"","invalid_date",""), IF(T254&lt;0,"negative_discount",""), IF(AND(T254&gt;0.5,T254&lt;=1),"high_discount",""), IF(K254="Unknown","missing_region",""), IF(Q254="Unknown","missing_ship_mode","")))</f>
        <v>CLEAN</v>
      </c>
      <c r="AE254" t="str">
        <f>IF(COUNTIF($AF$2:$AF$926,AF254)&gt;1,"DUPLICATE","UNIQUE")</f>
        <v>UNIQUE</v>
      </c>
      <c r="AF254" t="str">
        <f>A254&amp;"|"&amp;B254&amp;"|"&amp;H254&amp;"|"&amp;I254&amp;"|"&amp;R254&amp;"|"&amp;S254&amp;"|"&amp;V254</f>
        <v>ORD-2025-10253|2025-06-25|CUST-2103|Arjun Bose|2|1455.92|2329.47</v>
      </c>
      <c r="AG254" t="str">
        <f>IF(COUNTIF($A$2:$A$913,A254)&gt;1,"TRUE","FALSE")</f>
        <v>FALSE</v>
      </c>
    </row>
    <row r="255" spans="1:33">
      <c r="A255" t="s">
        <v>857</v>
      </c>
      <c r="B255" t="s">
        <v>858</v>
      </c>
      <c r="C255" t="s">
        <v>2922</v>
      </c>
      <c r="D255">
        <f>IF(OR(B255="", C255=""), "", (C255 - B255))</f>
        <v>1</v>
      </c>
      <c r="E255" t="str">
        <f>IF(C255&lt;B255, "INVALID: Ship date before order date", "")</f>
        <v/>
      </c>
      <c r="F255" t="str">
        <f>IF(B255="", "", TEXT(B255, "mmmm"))</f>
        <v>September</v>
      </c>
      <c r="G255">
        <f>IF(B255="", "", YEAR(B255))</f>
        <v>2024</v>
      </c>
      <c r="H255" t="s">
        <v>859</v>
      </c>
      <c r="I255" t="s">
        <v>112</v>
      </c>
      <c r="J255" t="s">
        <v>36</v>
      </c>
      <c r="K255" t="s">
        <v>24</v>
      </c>
      <c r="L255" t="s">
        <v>25</v>
      </c>
      <c r="M255" t="s">
        <v>26</v>
      </c>
      <c r="N255" t="s">
        <v>74</v>
      </c>
      <c r="O255" t="s">
        <v>168</v>
      </c>
      <c r="P255" t="s">
        <v>860</v>
      </c>
      <c r="Q255" t="s">
        <v>43</v>
      </c>
      <c r="R255">
        <v>6</v>
      </c>
      <c r="S255" s="15">
        <v>832.79</v>
      </c>
      <c r="T255" s="4">
        <v>0.05</v>
      </c>
      <c r="U255" s="3" t="str">
        <f>IF(T255&lt;0, "negative_discount", IF(AND(T255&gt;0.5, T255&lt;=1), "high_discount", ""))</f>
        <v/>
      </c>
      <c r="V255" s="11">
        <v>4746.8999999999996</v>
      </c>
      <c r="W255" s="12">
        <v>4746.8999999999996</v>
      </c>
      <c r="X255" s="11">
        <v>2825.38</v>
      </c>
      <c r="Y255" s="11">
        <v>1472.89</v>
      </c>
      <c r="Z255" s="11">
        <f>ROUND(W255-X255,2)</f>
        <v>1921.52</v>
      </c>
      <c r="AA255" s="4">
        <f>IF(W255=0,0,Z255/W255)</f>
        <v>0.40479470812530288</v>
      </c>
      <c r="AB255" t="s">
        <v>99</v>
      </c>
      <c r="AC255" t="s">
        <v>67</v>
      </c>
      <c r="AD255" t="str">
        <f>IF(AND(E255="", T255&gt;=0, T255&lt;=0.5, K255&lt;&gt;"Unknown", Q255&lt;&gt;"Unknown"), "CLEAN", _xlfn.CONCAT("WARNING: ", IF(E255&lt;&gt;"","invalid_date",""), IF(T255&lt;0,"negative_discount",""), IF(AND(T255&gt;0.5,T255&lt;=1),"high_discount",""), IF(K255="Unknown","missing_region",""), IF(Q255="Unknown","missing_ship_mode","")))</f>
        <v>CLEAN</v>
      </c>
      <c r="AE255" t="str">
        <f>IF(COUNTIF($AF$2:$AF$926,AF255)&gt;1,"DUPLICATE","UNIQUE")</f>
        <v>UNIQUE</v>
      </c>
      <c r="AF255" t="str">
        <f>A255&amp;"|"&amp;B255&amp;"|"&amp;H255&amp;"|"&amp;I255&amp;"|"&amp;R255&amp;"|"&amp;S255&amp;"|"&amp;V255</f>
        <v>ORD-2024-10254|2024-09-12|CUST-5394|Priya Menon|6|832.79|4746.9</v>
      </c>
      <c r="AG255" t="str">
        <f>IF(COUNTIF($A$2:$A$913,A255)&gt;1,"TRUE","FALSE")</f>
        <v>FALSE</v>
      </c>
    </row>
    <row r="256" spans="1:33">
      <c r="A256" t="s">
        <v>3083</v>
      </c>
      <c r="B256" t="s">
        <v>2755</v>
      </c>
      <c r="C256" t="s">
        <v>333</v>
      </c>
      <c r="D256">
        <f>IF(OR(B256="", C256=""), "", (C256 - B256))</f>
        <v>59</v>
      </c>
      <c r="E256" t="str">
        <f>IF(C256&lt;B256, "INVALID: Ship date before order date", "")</f>
        <v/>
      </c>
      <c r="F256" t="str">
        <f>IF(B256="", "", TEXT(B256, "mmmm"))</f>
        <v>January</v>
      </c>
      <c r="G256">
        <f>IF(B256="", "", YEAR(B256))</f>
        <v>2025</v>
      </c>
      <c r="H256" t="s">
        <v>861</v>
      </c>
      <c r="I256" t="s">
        <v>61</v>
      </c>
      <c r="J256" t="s">
        <v>23</v>
      </c>
      <c r="K256" t="s">
        <v>62</v>
      </c>
      <c r="L256" t="s">
        <v>72</v>
      </c>
      <c r="M256" t="s">
        <v>73</v>
      </c>
      <c r="N256" t="s">
        <v>74</v>
      </c>
      <c r="O256" t="s">
        <v>75</v>
      </c>
      <c r="P256" t="s">
        <v>862</v>
      </c>
      <c r="Q256" t="s">
        <v>43</v>
      </c>
      <c r="R256">
        <v>7</v>
      </c>
      <c r="S256" s="15">
        <v>1000.55</v>
      </c>
      <c r="T256" s="4">
        <v>0.2</v>
      </c>
      <c r="U256" s="3" t="str">
        <f>IF(T256&lt;0, "negative_discount", IF(AND(T256&gt;0.5, T256&lt;=1), "high_discount", ""))</f>
        <v/>
      </c>
      <c r="V256" s="11">
        <v>5603.08</v>
      </c>
      <c r="W256" s="12">
        <v>5603.08</v>
      </c>
      <c r="X256" s="11">
        <v>3132.52</v>
      </c>
      <c r="Y256" s="11">
        <v>2470.56</v>
      </c>
      <c r="Z256" s="11">
        <f>ROUND(W256-X256,2)</f>
        <v>2470.56</v>
      </c>
      <c r="AA256" s="4">
        <f>IF(W256=0,0,Z256/W256)</f>
        <v>0.44092891766671188</v>
      </c>
      <c r="AB256" t="s">
        <v>31</v>
      </c>
      <c r="AC256" t="s">
        <v>100</v>
      </c>
      <c r="AD256" t="str">
        <f>IF(AND(E256="", T256&gt;=0, T256&lt;=0.5, K256&lt;&gt;"Unknown", Q256&lt;&gt;"Unknown"), "CLEAN", _xlfn.CONCAT("WARNING: ", IF(E256&lt;&gt;"","invalid_date",""), IF(T256&lt;0,"negative_discount",""), IF(AND(T256&gt;0.5,T256&lt;=1),"high_discount",""), IF(K256="Unknown","missing_region",""), IF(Q256="Unknown","missing_ship_mode","")))</f>
        <v>CLEAN</v>
      </c>
      <c r="AE256" t="str">
        <f>IF(COUNTIF($AF$2:$AF$926,AF256)&gt;1,"DUPLICATE","UNIQUE")</f>
        <v>UNIQUE</v>
      </c>
      <c r="AF256" t="str">
        <f>A256&amp;"|"&amp;B256&amp;"|"&amp;H256&amp;"|"&amp;I256&amp;"|"&amp;R256&amp;"|"&amp;S256&amp;"|"&amp;V256</f>
        <v>ORD-2025-10255|2025-01-01|CUST-6853|Ananya Rao|7|1000.55|5603.08</v>
      </c>
      <c r="AG256" t="str">
        <f>IF(COUNTIF($A$2:$A$913,A256)&gt;1,"TRUE","FALSE")</f>
        <v>FALSE</v>
      </c>
    </row>
    <row r="257" spans="1:33">
      <c r="A257" t="s">
        <v>3084</v>
      </c>
      <c r="B257" t="s">
        <v>863</v>
      </c>
      <c r="C257" t="s">
        <v>2759</v>
      </c>
      <c r="D257">
        <f>IF(OR(B257="", C257=""), "", (C257 - B257))</f>
        <v>6</v>
      </c>
      <c r="E257" t="str">
        <f>IF(C257&lt;B257, "INVALID: Ship date before order date", "")</f>
        <v/>
      </c>
      <c r="F257" t="str">
        <f>IF(B257="", "", TEXT(B257, "mmmm"))</f>
        <v>February</v>
      </c>
      <c r="G257">
        <f>IF(B257="", "", YEAR(B257))</f>
        <v>2025</v>
      </c>
      <c r="H257" t="s">
        <v>864</v>
      </c>
      <c r="I257" t="s">
        <v>46</v>
      </c>
      <c r="J257" t="s">
        <v>89</v>
      </c>
      <c r="K257" t="s">
        <v>62</v>
      </c>
      <c r="L257" t="s">
        <v>63</v>
      </c>
      <c r="M257" t="s">
        <v>64</v>
      </c>
      <c r="N257" t="s">
        <v>74</v>
      </c>
      <c r="O257" t="s">
        <v>168</v>
      </c>
      <c r="P257" t="s">
        <v>865</v>
      </c>
      <c r="Q257" t="s">
        <v>49</v>
      </c>
      <c r="R257">
        <v>7</v>
      </c>
      <c r="S257" s="15">
        <v>1830</v>
      </c>
      <c r="T257" s="4">
        <v>0</v>
      </c>
      <c r="U257" s="3" t="str">
        <f>IF(T257&lt;0, "negative_discount", IF(AND(T257&gt;0.5, T257&lt;=1), "high_discount", ""))</f>
        <v/>
      </c>
      <c r="V257" s="11">
        <v>12810</v>
      </c>
      <c r="W257" s="12">
        <v>12810</v>
      </c>
      <c r="X257" s="11">
        <v>9334.1200000000008</v>
      </c>
      <c r="Y257" s="11">
        <v>3475.88</v>
      </c>
      <c r="Z257" s="11">
        <f>ROUND(W257-X257,2)</f>
        <v>3475.88</v>
      </c>
      <c r="AA257" s="4">
        <f>IF(W257=0,0,Z257/W257)</f>
        <v>0.27134113973458235</v>
      </c>
      <c r="AB257" t="s">
        <v>31</v>
      </c>
      <c r="AC257" t="s">
        <v>32</v>
      </c>
      <c r="AD257" t="str">
        <f>IF(AND(E257="", T257&gt;=0, T257&lt;=0.5, K257&lt;&gt;"Unknown", Q257&lt;&gt;"Unknown"), "CLEAN", _xlfn.CONCAT("WARNING: ", IF(E257&lt;&gt;"","invalid_date",""), IF(T257&lt;0,"negative_discount",""), IF(AND(T257&gt;0.5,T257&lt;=1),"high_discount",""), IF(K257="Unknown","missing_region",""), IF(Q257="Unknown","missing_ship_mode","")))</f>
        <v>CLEAN</v>
      </c>
      <c r="AE257" t="str">
        <f>IF(COUNTIF($AF$2:$AF$926,AF257)&gt;1,"DUPLICATE","UNIQUE")</f>
        <v>UNIQUE</v>
      </c>
      <c r="AF257" t="str">
        <f>A257&amp;"|"&amp;B257&amp;"|"&amp;H257&amp;"|"&amp;I257&amp;"|"&amp;R257&amp;"|"&amp;S257&amp;"|"&amp;V257</f>
        <v>ORD-2025-10256|2025-02-04|CUST-1549|Isha Nair|7|1830|12810</v>
      </c>
      <c r="AG257" t="str">
        <f>IF(COUNTIF($A$2:$A$913,A257)&gt;1,"TRUE","FALSE")</f>
        <v>FALSE</v>
      </c>
    </row>
    <row r="258" spans="1:33">
      <c r="A258" t="s">
        <v>866</v>
      </c>
      <c r="B258" t="s">
        <v>867</v>
      </c>
      <c r="C258" t="s">
        <v>2699</v>
      </c>
      <c r="D258">
        <f>IF(OR(B258="", C258=""), "", (C258 - B258))</f>
        <v>-2</v>
      </c>
      <c r="E258" t="str">
        <f>IF(C258&lt;B258, "INVALID: Ship date before order date", "")</f>
        <v>INVALID: Ship date before order date</v>
      </c>
      <c r="F258" t="str">
        <f>IF(B258="", "", TEXT(B258, "mmmm"))</f>
        <v>November</v>
      </c>
      <c r="G258">
        <f>IF(B258="", "", YEAR(B258))</f>
        <v>2024</v>
      </c>
      <c r="H258" t="s">
        <v>868</v>
      </c>
      <c r="I258" t="s">
        <v>61</v>
      </c>
      <c r="J258" t="s">
        <v>23</v>
      </c>
      <c r="K258" t="s">
        <v>37</v>
      </c>
      <c r="L258" t="s">
        <v>96</v>
      </c>
      <c r="M258" t="s">
        <v>97</v>
      </c>
      <c r="N258" t="s">
        <v>40</v>
      </c>
      <c r="O258" t="s">
        <v>41</v>
      </c>
      <c r="P258" t="s">
        <v>869</v>
      </c>
      <c r="Q258" t="s">
        <v>49</v>
      </c>
      <c r="R258">
        <v>9</v>
      </c>
      <c r="S258" s="15">
        <v>2260.61</v>
      </c>
      <c r="T258" s="4">
        <v>0.05</v>
      </c>
      <c r="U258" s="3" t="str">
        <f>IF(T258&lt;0, "negative_discount", IF(AND(T258&gt;0.5, T258&lt;=1), "high_discount", ""))</f>
        <v/>
      </c>
      <c r="V258" s="11">
        <v>19328.22</v>
      </c>
      <c r="W258" s="12">
        <v>19328.22</v>
      </c>
      <c r="X258" s="11">
        <v>12039.5</v>
      </c>
      <c r="Y258" s="11">
        <v>7288.72</v>
      </c>
      <c r="Z258" s="11">
        <f>ROUND(W258-X258,2)</f>
        <v>7288.72</v>
      </c>
      <c r="AA258" s="4">
        <f>IF(W258=0,0,Z258/W258)</f>
        <v>0.37710249572904281</v>
      </c>
      <c r="AB258" t="s">
        <v>31</v>
      </c>
      <c r="AC258" t="s">
        <v>32</v>
      </c>
      <c r="AD258" t="str">
        <f>IF(AND(E258="", T258&gt;=0, T258&lt;=0.5, K258&lt;&gt;"Unknown", Q258&lt;&gt;"Unknown"), "CLEAN", _xlfn.CONCAT("WARNING: ", IF(E258&lt;&gt;"","invalid_date",""), IF(T258&lt;0,"negative_discount",""), IF(AND(T258&gt;0.5,T258&lt;=1),"high_discount",""), IF(K258="Unknown","missing_region",""), IF(Q258="Unknown","missing_ship_mode","")))</f>
        <v>WARNING: invalid_date</v>
      </c>
      <c r="AE258" t="str">
        <f>IF(COUNTIF($AF$2:$AF$926,AF258)&gt;1,"DUPLICATE","UNIQUE")</f>
        <v>UNIQUE</v>
      </c>
      <c r="AF258" t="str">
        <f>A258&amp;"|"&amp;B258&amp;"|"&amp;H258&amp;"|"&amp;I258&amp;"|"&amp;R258&amp;"|"&amp;S258&amp;"|"&amp;V258</f>
        <v>ORD-2024-10257|2024-11-05|CUST-8411|Ananya Rao|9|2260.61|19328.22</v>
      </c>
      <c r="AG258" t="str">
        <f>IF(COUNTIF($A$2:$A$913,A258)&gt;1,"TRUE","FALSE")</f>
        <v>FALSE</v>
      </c>
    </row>
    <row r="259" spans="1:33">
      <c r="A259" t="s">
        <v>3085</v>
      </c>
      <c r="B259" t="s">
        <v>870</v>
      </c>
      <c r="C259" t="s">
        <v>871</v>
      </c>
      <c r="D259">
        <f>IF(OR(B259="", C259=""), "", (C259 - B259))</f>
        <v>3</v>
      </c>
      <c r="E259" t="str">
        <f>IF(C259&lt;B259, "INVALID: Ship date before order date", "")</f>
        <v/>
      </c>
      <c r="F259" t="str">
        <f>IF(B259="", "", TEXT(B259, "mmmm"))</f>
        <v>August</v>
      </c>
      <c r="G259">
        <f>IF(B259="", "", YEAR(B259))</f>
        <v>2025</v>
      </c>
      <c r="H259" t="s">
        <v>872</v>
      </c>
      <c r="I259" t="s">
        <v>158</v>
      </c>
      <c r="J259" t="s">
        <v>89</v>
      </c>
      <c r="K259" t="s">
        <v>53</v>
      </c>
      <c r="L259" t="s">
        <v>171</v>
      </c>
      <c r="M259" t="s">
        <v>172</v>
      </c>
      <c r="N259" t="s">
        <v>74</v>
      </c>
      <c r="O259" t="s">
        <v>75</v>
      </c>
      <c r="P259" t="s">
        <v>873</v>
      </c>
      <c r="Q259" t="s">
        <v>30</v>
      </c>
      <c r="R259">
        <v>2</v>
      </c>
      <c r="S259" s="15">
        <v>3237.27</v>
      </c>
      <c r="T259" s="4">
        <v>0</v>
      </c>
      <c r="U259" s="3" t="str">
        <f>IF(T259&lt;0, "negative_discount", IF(AND(T259&gt;0.5, T259&lt;=1), "high_discount", ""))</f>
        <v/>
      </c>
      <c r="V259" s="11">
        <v>6474.54</v>
      </c>
      <c r="W259" s="12">
        <v>6474.54</v>
      </c>
      <c r="X259" s="11">
        <v>5095.91</v>
      </c>
      <c r="Y259" s="11">
        <v>1378.63</v>
      </c>
      <c r="Z259" s="11">
        <f>ROUND(W259-X259,2)</f>
        <v>1378.63</v>
      </c>
      <c r="AA259" s="4">
        <f>IF(W259=0,0,Z259/W259)</f>
        <v>0.21293095725719513</v>
      </c>
      <c r="AB259" t="s">
        <v>31</v>
      </c>
      <c r="AC259" t="s">
        <v>67</v>
      </c>
      <c r="AD259" t="str">
        <f>IF(AND(E259="", T259&gt;=0, T259&lt;=0.5, K259&lt;&gt;"Unknown", Q259&lt;&gt;"Unknown"), "CLEAN", _xlfn.CONCAT("WARNING: ", IF(E259&lt;&gt;"","invalid_date",""), IF(T259&lt;0,"negative_discount",""), IF(AND(T259&gt;0.5,T259&lt;=1),"high_discount",""), IF(K259="Unknown","missing_region",""), IF(Q259="Unknown","missing_ship_mode","")))</f>
        <v>CLEAN</v>
      </c>
      <c r="AE259" t="str">
        <f>IF(COUNTIF($AF$2:$AF$926,AF259)&gt;1,"DUPLICATE","UNIQUE")</f>
        <v>UNIQUE</v>
      </c>
      <c r="AF259" t="str">
        <f>A259&amp;"|"&amp;B259&amp;"|"&amp;H259&amp;"|"&amp;I259&amp;"|"&amp;R259&amp;"|"&amp;S259&amp;"|"&amp;V259</f>
        <v>ORD-2025-10258|2025-08-09|CUST-5615|Diya Patel|2|3237.27|6474.54</v>
      </c>
      <c r="AG259" t="str">
        <f>IF(COUNTIF($A$2:$A$913,A259)&gt;1,"TRUE","FALSE")</f>
        <v>FALSE</v>
      </c>
    </row>
    <row r="260" spans="1:33">
      <c r="A260" t="s">
        <v>874</v>
      </c>
      <c r="B260" t="s">
        <v>556</v>
      </c>
      <c r="C260" t="s">
        <v>875</v>
      </c>
      <c r="D260">
        <f>IF(OR(B260="", C260=""), "", (C260 - B260))</f>
        <v>5</v>
      </c>
      <c r="E260" t="str">
        <f>IF(C260&lt;B260, "INVALID: Ship date before order date", "")</f>
        <v/>
      </c>
      <c r="F260" t="str">
        <f>IF(B260="", "", TEXT(B260, "mmmm"))</f>
        <v>December</v>
      </c>
      <c r="G260">
        <f>IF(B260="", "", YEAR(B260))</f>
        <v>2024</v>
      </c>
      <c r="H260" t="s">
        <v>876</v>
      </c>
      <c r="I260" t="s">
        <v>131</v>
      </c>
      <c r="J260" t="s">
        <v>89</v>
      </c>
      <c r="K260" t="s">
        <v>53</v>
      </c>
      <c r="L260" t="s">
        <v>246</v>
      </c>
      <c r="M260" t="s">
        <v>247</v>
      </c>
      <c r="N260" t="s">
        <v>40</v>
      </c>
      <c r="O260" t="s">
        <v>41</v>
      </c>
      <c r="P260" t="s">
        <v>877</v>
      </c>
      <c r="Q260" t="s">
        <v>43</v>
      </c>
      <c r="R260">
        <v>2</v>
      </c>
      <c r="S260" s="15">
        <v>3720.07</v>
      </c>
      <c r="T260" s="4">
        <v>0.25</v>
      </c>
      <c r="U260" s="3" t="str">
        <f>IF(T260&lt;0, "negative_discount", IF(AND(T260&gt;0.5, T260&lt;=1), "high_discount", ""))</f>
        <v/>
      </c>
      <c r="V260" s="11">
        <v>5580.11</v>
      </c>
      <c r="W260" s="12">
        <v>5580.11</v>
      </c>
      <c r="X260" s="11">
        <v>4307.01</v>
      </c>
      <c r="Y260" s="11">
        <v>1273.0999999999999</v>
      </c>
      <c r="Z260" s="11">
        <f>ROUND(W260-X260,2)</f>
        <v>1273.0999999999999</v>
      </c>
      <c r="AA260" s="4">
        <f>IF(W260=0,0,Z260/W260)</f>
        <v>0.22814962429056057</v>
      </c>
      <c r="AB260" t="s">
        <v>31</v>
      </c>
      <c r="AC260" t="s">
        <v>32</v>
      </c>
      <c r="AD260" t="str">
        <f>IF(AND(E260="", T260&gt;=0, T260&lt;=0.5, K260&lt;&gt;"Unknown", Q260&lt;&gt;"Unknown"), "CLEAN", _xlfn.CONCAT("WARNING: ", IF(E260&lt;&gt;"","invalid_date",""), IF(T260&lt;0,"negative_discount",""), IF(AND(T260&gt;0.5,T260&lt;=1),"high_discount",""), IF(K260="Unknown","missing_region",""), IF(Q260="Unknown","missing_ship_mode","")))</f>
        <v>CLEAN</v>
      </c>
      <c r="AE260" t="str">
        <f>IF(COUNTIF($AF$2:$AF$926,AF260)&gt;1,"DUPLICATE","UNIQUE")</f>
        <v>UNIQUE</v>
      </c>
      <c r="AF260" t="str">
        <f>A260&amp;"|"&amp;B260&amp;"|"&amp;H260&amp;"|"&amp;I260&amp;"|"&amp;R260&amp;"|"&amp;S260&amp;"|"&amp;V260</f>
        <v>ORD-2024-10259|2024-12-30|CUST-8467|Sneha Kapoor|2|3720.07|5580.11</v>
      </c>
      <c r="AG260" t="str">
        <f>IF(COUNTIF($A$2:$A$913,A260)&gt;1,"TRUE","FALSE")</f>
        <v>FALSE</v>
      </c>
    </row>
    <row r="261" spans="1:33">
      <c r="A261" t="s">
        <v>878</v>
      </c>
      <c r="B261" t="s">
        <v>2756</v>
      </c>
      <c r="C261" t="s">
        <v>1346</v>
      </c>
      <c r="D261">
        <f>IF(OR(B261="", C261=""), "", (C261 - B261))</f>
        <v>8</v>
      </c>
      <c r="E261" t="str">
        <f>IF(C261&lt;B261, "INVALID: Ship date before order date", "")</f>
        <v/>
      </c>
      <c r="F261" t="str">
        <f>IF(B261="", "", TEXT(B261, "mmmm"))</f>
        <v>June</v>
      </c>
      <c r="G261">
        <f>IF(B261="", "", YEAR(B261))</f>
        <v>2024</v>
      </c>
      <c r="H261" t="s">
        <v>879</v>
      </c>
      <c r="I261" t="s">
        <v>78</v>
      </c>
      <c r="J261" t="s">
        <v>23</v>
      </c>
      <c r="K261" t="s">
        <v>53</v>
      </c>
      <c r="L261" t="s">
        <v>246</v>
      </c>
      <c r="M261" t="s">
        <v>247</v>
      </c>
      <c r="N261" t="s">
        <v>74</v>
      </c>
      <c r="O261" t="s">
        <v>272</v>
      </c>
      <c r="P261" t="s">
        <v>880</v>
      </c>
      <c r="Q261" t="s">
        <v>58</v>
      </c>
      <c r="R261">
        <v>8</v>
      </c>
      <c r="S261" s="15">
        <v>2853.92</v>
      </c>
      <c r="T261" s="4">
        <v>0.2</v>
      </c>
      <c r="U261" s="3" t="str">
        <f>IF(T261&lt;0, "negative_discount", IF(AND(T261&gt;0.5, T261&lt;=1), "high_discount", ""))</f>
        <v/>
      </c>
      <c r="V261" s="11">
        <v>18265.09</v>
      </c>
      <c r="W261" s="12">
        <v>18265.09</v>
      </c>
      <c r="X261" s="11">
        <v>10437.14</v>
      </c>
      <c r="Y261" s="11">
        <v>7827.95</v>
      </c>
      <c r="Z261" s="11">
        <f>ROUND(W261-X261,2)</f>
        <v>7827.95</v>
      </c>
      <c r="AA261" s="4">
        <f>IF(W261=0,0,Z261/W261)</f>
        <v>0.42857440067363478</v>
      </c>
      <c r="AB261" t="s">
        <v>31</v>
      </c>
      <c r="AC261" t="s">
        <v>32</v>
      </c>
      <c r="AD261" t="str">
        <f>IF(AND(E261="", T261&gt;=0, T261&lt;=0.5, K261&lt;&gt;"Unknown", Q261&lt;&gt;"Unknown"), "CLEAN", _xlfn.CONCAT("WARNING: ", IF(E261&lt;&gt;"","invalid_date",""), IF(T261&lt;0,"negative_discount",""), IF(AND(T261&gt;0.5,T261&lt;=1),"high_discount",""), IF(K261="Unknown","missing_region",""), IF(Q261="Unknown","missing_ship_mode","")))</f>
        <v>CLEAN</v>
      </c>
      <c r="AE261" t="str">
        <f>IF(COUNTIF($AF$2:$AF$926,AF261)&gt;1,"DUPLICATE","UNIQUE")</f>
        <v>UNIQUE</v>
      </c>
      <c r="AF261" t="str">
        <f>A261&amp;"|"&amp;B261&amp;"|"&amp;H261&amp;"|"&amp;I261&amp;"|"&amp;R261&amp;"|"&amp;S261&amp;"|"&amp;V261</f>
        <v>ORD-2024-10260|2024-06-21|CUST-5174|Neha Gupta|8|2853.92|18265.09</v>
      </c>
      <c r="AG261" t="str">
        <f>IF(COUNTIF($A$2:$A$913,A261)&gt;1,"TRUE","FALSE")</f>
        <v>FALSE</v>
      </c>
    </row>
    <row r="262" spans="1:33">
      <c r="A262" t="s">
        <v>3086</v>
      </c>
      <c r="B262" t="s">
        <v>881</v>
      </c>
      <c r="C262" t="s">
        <v>345</v>
      </c>
      <c r="D262">
        <f>IF(OR(B262="", C262=""), "", (C262 - B262))</f>
        <v>4</v>
      </c>
      <c r="E262" t="str">
        <f>IF(C262&lt;B262, "INVALID: Ship date before order date", "")</f>
        <v/>
      </c>
      <c r="F262" t="str">
        <f>IF(B262="", "", TEXT(B262, "mmmm"))</f>
        <v>September</v>
      </c>
      <c r="G262">
        <f>IF(B262="", "", YEAR(B262))</f>
        <v>2025</v>
      </c>
      <c r="H262" t="s">
        <v>882</v>
      </c>
      <c r="I262" t="s">
        <v>88</v>
      </c>
      <c r="J262" t="s">
        <v>89</v>
      </c>
      <c r="K262" t="s">
        <v>37</v>
      </c>
      <c r="L262" t="s">
        <v>96</v>
      </c>
      <c r="M262" t="s">
        <v>97</v>
      </c>
      <c r="N262" t="s">
        <v>27</v>
      </c>
      <c r="O262" t="s">
        <v>149</v>
      </c>
      <c r="P262" t="s">
        <v>883</v>
      </c>
      <c r="Q262" t="s">
        <v>43</v>
      </c>
      <c r="R262">
        <v>7</v>
      </c>
      <c r="S262" s="15">
        <v>2897.12</v>
      </c>
      <c r="T262" s="4">
        <v>0.25</v>
      </c>
      <c r="U262" s="3" t="str">
        <f>IF(T262&lt;0, "negative_discount", IF(AND(T262&gt;0.5, T262&lt;=1), "high_discount", ""))</f>
        <v/>
      </c>
      <c r="V262" s="11">
        <v>15209.88</v>
      </c>
      <c r="W262" s="12">
        <v>15209.88</v>
      </c>
      <c r="X262" s="11">
        <v>10891.15</v>
      </c>
      <c r="Y262" s="11">
        <v>4318.7299999999996</v>
      </c>
      <c r="Z262" s="11">
        <f>ROUND(W262-X262,2)</f>
        <v>4318.7299999999996</v>
      </c>
      <c r="AA262" s="4">
        <f>IF(W262=0,0,Z262/W262)</f>
        <v>0.28394241111698448</v>
      </c>
      <c r="AB262" t="s">
        <v>151</v>
      </c>
      <c r="AC262" t="s">
        <v>100</v>
      </c>
      <c r="AD262" t="str">
        <f>IF(AND(E262="", T262&gt;=0, T262&lt;=0.5, K262&lt;&gt;"Unknown", Q262&lt;&gt;"Unknown"), "CLEAN", _xlfn.CONCAT("WARNING: ", IF(E262&lt;&gt;"","invalid_date",""), IF(T262&lt;0,"negative_discount",""), IF(AND(T262&gt;0.5,T262&lt;=1),"high_discount",""), IF(K262="Unknown","missing_region",""), IF(Q262="Unknown","missing_ship_mode","")))</f>
        <v>CLEAN</v>
      </c>
      <c r="AE262" t="str">
        <f>IF(COUNTIF($AF$2:$AF$926,AF262)&gt;1,"DUPLICATE","UNIQUE")</f>
        <v>UNIQUE</v>
      </c>
      <c r="AF262" t="str">
        <f>A262&amp;"|"&amp;B262&amp;"|"&amp;H262&amp;"|"&amp;I262&amp;"|"&amp;R262&amp;"|"&amp;S262&amp;"|"&amp;V262</f>
        <v>ORD-2025-10261|2025-09-23|CUST-3543|Aditi Sen|7|2897.12|15209.88</v>
      </c>
      <c r="AG262" t="str">
        <f>IF(COUNTIF($A$2:$A$913,A262)&gt;1,"TRUE","FALSE")</f>
        <v>FALSE</v>
      </c>
    </row>
    <row r="263" spans="1:33">
      <c r="A263" t="s">
        <v>3087</v>
      </c>
      <c r="B263" t="s">
        <v>2757</v>
      </c>
      <c r="C263" t="s">
        <v>656</v>
      </c>
      <c r="D263">
        <f>IF(OR(B263="", C263=""), "", (C263 - B263))</f>
        <v>6</v>
      </c>
      <c r="E263" t="str">
        <f>IF(C263&lt;B263, "INVALID: Ship date before order date", "")</f>
        <v/>
      </c>
      <c r="F263" t="str">
        <f>IF(B263="", "", TEXT(B263, "mmmm"))</f>
        <v>June</v>
      </c>
      <c r="G263">
        <f>IF(B263="", "", YEAR(B263))</f>
        <v>2025</v>
      </c>
      <c r="H263" t="s">
        <v>884</v>
      </c>
      <c r="I263" t="s">
        <v>131</v>
      </c>
      <c r="J263" t="s">
        <v>89</v>
      </c>
      <c r="K263" t="s">
        <v>24</v>
      </c>
      <c r="L263" t="s">
        <v>25</v>
      </c>
      <c r="M263" t="s">
        <v>26</v>
      </c>
      <c r="N263" t="s">
        <v>27</v>
      </c>
      <c r="O263" t="s">
        <v>90</v>
      </c>
      <c r="P263" t="s">
        <v>885</v>
      </c>
      <c r="Q263" t="s">
        <v>58</v>
      </c>
      <c r="R263">
        <v>3</v>
      </c>
      <c r="S263" s="15">
        <v>686.74</v>
      </c>
      <c r="T263" s="4">
        <v>0.2</v>
      </c>
      <c r="U263" s="3" t="str">
        <f>IF(T263&lt;0, "negative_discount", IF(AND(T263&gt;0.5, T263&lt;=1), "high_discount", ""))</f>
        <v/>
      </c>
      <c r="V263" s="11">
        <v>1648.18</v>
      </c>
      <c r="W263" s="12">
        <v>1648.18</v>
      </c>
      <c r="X263" s="11">
        <v>987.91</v>
      </c>
      <c r="Y263" s="11">
        <v>660.27</v>
      </c>
      <c r="Z263" s="11">
        <f>ROUND(W263-X263,2)</f>
        <v>660.27</v>
      </c>
      <c r="AA263" s="4">
        <f>IF(W263=0,0,Z263/W263)</f>
        <v>0.40060551638777314</v>
      </c>
      <c r="AB263" t="s">
        <v>151</v>
      </c>
      <c r="AC263" t="s">
        <v>67</v>
      </c>
      <c r="AD263" t="str">
        <f>IF(AND(E263="", T263&gt;=0, T263&lt;=0.5, K263&lt;&gt;"Unknown", Q263&lt;&gt;"Unknown"), "CLEAN", _xlfn.CONCAT("WARNING: ", IF(E263&lt;&gt;"","invalid_date",""), IF(T263&lt;0,"negative_discount",""), IF(AND(T263&gt;0.5,T263&lt;=1),"high_discount",""), IF(K263="Unknown","missing_region",""), IF(Q263="Unknown","missing_ship_mode","")))</f>
        <v>CLEAN</v>
      </c>
      <c r="AE263" t="str">
        <f>IF(COUNTIF($AF$2:$AF$926,AF263)&gt;1,"DUPLICATE","UNIQUE")</f>
        <v>UNIQUE</v>
      </c>
      <c r="AF263" t="str">
        <f>A263&amp;"|"&amp;B263&amp;"|"&amp;H263&amp;"|"&amp;I263&amp;"|"&amp;R263&amp;"|"&amp;S263&amp;"|"&amp;V263</f>
        <v>ORD-2025-10262|2025-06-18|CUST-7623|Sneha Kapoor|3|686.74|1648.18</v>
      </c>
      <c r="AG263" t="str">
        <f>IF(COUNTIF($A$2:$A$913,A263)&gt;1,"TRUE","FALSE")</f>
        <v>FALSE</v>
      </c>
    </row>
    <row r="264" spans="1:33">
      <c r="A264" t="s">
        <v>3088</v>
      </c>
      <c r="B264" t="s">
        <v>886</v>
      </c>
      <c r="C264" t="s">
        <v>1662</v>
      </c>
      <c r="D264">
        <f>IF(OR(B264="", C264=""), "", (C264 - B264))</f>
        <v>6</v>
      </c>
      <c r="E264" t="str">
        <f>IF(C264&lt;B264, "INVALID: Ship date before order date", "")</f>
        <v/>
      </c>
      <c r="F264" t="str">
        <f>IF(B264="", "", TEXT(B264, "mmmm"))</f>
        <v>May</v>
      </c>
      <c r="G264">
        <f>IF(B264="", "", YEAR(B264))</f>
        <v>2025</v>
      </c>
      <c r="H264" t="s">
        <v>626</v>
      </c>
      <c r="I264" t="s">
        <v>52</v>
      </c>
      <c r="J264" t="s">
        <v>36</v>
      </c>
      <c r="K264" t="s">
        <v>24</v>
      </c>
      <c r="L264" t="s">
        <v>353</v>
      </c>
      <c r="M264" t="s">
        <v>354</v>
      </c>
      <c r="N264" t="s">
        <v>74</v>
      </c>
      <c r="O264" t="s">
        <v>168</v>
      </c>
      <c r="P264" t="s">
        <v>887</v>
      </c>
      <c r="Q264" t="s">
        <v>43</v>
      </c>
      <c r="R264">
        <v>4</v>
      </c>
      <c r="S264" s="15">
        <v>3349.86</v>
      </c>
      <c r="T264" s="4">
        <v>0</v>
      </c>
      <c r="U264" s="3" t="str">
        <f>IF(T264&lt;0, "negative_discount", IF(AND(T264&gt;0.5, T264&lt;=1), "high_discount", ""))</f>
        <v/>
      </c>
      <c r="V264" s="11">
        <v>13399.44</v>
      </c>
      <c r="W264" s="12">
        <v>13399.44</v>
      </c>
      <c r="X264" s="11">
        <v>8581.35</v>
      </c>
      <c r="Y264" s="11">
        <v>4818.09</v>
      </c>
      <c r="Z264" s="11">
        <f>ROUND(W264-X264,2)</f>
        <v>4818.09</v>
      </c>
      <c r="AA264" s="4">
        <f>IF(W264=0,0,Z264/W264)</f>
        <v>0.3595739821962709</v>
      </c>
      <c r="AB264" t="s">
        <v>109</v>
      </c>
      <c r="AC264" t="s">
        <v>100</v>
      </c>
      <c r="AD264" t="str">
        <f>IF(AND(E264="", T264&gt;=0, T264&lt;=0.5, K264&lt;&gt;"Unknown", Q264&lt;&gt;"Unknown"), "CLEAN", _xlfn.CONCAT("WARNING: ", IF(E264&lt;&gt;"","invalid_date",""), IF(T264&lt;0,"negative_discount",""), IF(AND(T264&gt;0.5,T264&lt;=1),"high_discount",""), IF(K264="Unknown","missing_region",""), IF(Q264="Unknown","missing_ship_mode","")))</f>
        <v>CLEAN</v>
      </c>
      <c r="AE264" t="str">
        <f>IF(COUNTIF($AF$2:$AF$926,AF264)&gt;1,"DUPLICATE","UNIQUE")</f>
        <v>UNIQUE</v>
      </c>
      <c r="AF264" t="str">
        <f>A264&amp;"|"&amp;B264&amp;"|"&amp;H264&amp;"|"&amp;I264&amp;"|"&amp;R264&amp;"|"&amp;S264&amp;"|"&amp;V264</f>
        <v>ORD-2025-10263|2025-05-26|CUST-6153|Arjun Bose|4|3349.86|13399.44</v>
      </c>
      <c r="AG264" t="str">
        <f>IF(COUNTIF($A$2:$A$913,A264)&gt;1,"TRUE","FALSE")</f>
        <v>FALSE</v>
      </c>
    </row>
    <row r="265" spans="1:33">
      <c r="A265" t="s">
        <v>3089</v>
      </c>
      <c r="B265" t="s">
        <v>2758</v>
      </c>
      <c r="C265" t="s">
        <v>2415</v>
      </c>
      <c r="D265">
        <f>IF(OR(B265="", C265=""), "", (C265 - B265))</f>
        <v>63</v>
      </c>
      <c r="E265" t="str">
        <f>IF(C265&lt;B265, "INVALID: Ship date before order date", "")</f>
        <v/>
      </c>
      <c r="F265" t="str">
        <f>IF(B265="", "", TEXT(B265, "mmmm"))</f>
        <v>August</v>
      </c>
      <c r="G265">
        <f>IF(B265="", "", YEAR(B265))</f>
        <v>2025</v>
      </c>
      <c r="H265" t="s">
        <v>888</v>
      </c>
      <c r="I265" t="s">
        <v>139</v>
      </c>
      <c r="J265" t="s">
        <v>36</v>
      </c>
      <c r="K265" t="s">
        <v>24</v>
      </c>
      <c r="L265" t="s">
        <v>353</v>
      </c>
      <c r="M265" t="s">
        <v>354</v>
      </c>
      <c r="N265" t="s">
        <v>27</v>
      </c>
      <c r="O265" t="s">
        <v>149</v>
      </c>
      <c r="P265" t="s">
        <v>889</v>
      </c>
      <c r="Q265" t="s">
        <v>30</v>
      </c>
      <c r="R265">
        <v>9</v>
      </c>
      <c r="S265" s="15">
        <v>4042.45</v>
      </c>
      <c r="T265" s="4">
        <v>0.1</v>
      </c>
      <c r="U265" s="3" t="str">
        <f>IF(T265&lt;0, "negative_discount", IF(AND(T265&gt;0.5, T265&lt;=1), "high_discount", ""))</f>
        <v/>
      </c>
      <c r="V265" s="11">
        <v>32743.84</v>
      </c>
      <c r="W265" s="12">
        <v>32743.85</v>
      </c>
      <c r="X265" s="11">
        <v>22452.05</v>
      </c>
      <c r="Y265" s="11">
        <v>10291.790000000001</v>
      </c>
      <c r="Z265" s="11">
        <f>ROUND(W265-X265,2)</f>
        <v>10291.799999999999</v>
      </c>
      <c r="AA265" s="4">
        <f>IF(W265=0,0,Z265/W265)</f>
        <v>0.31431245867544594</v>
      </c>
      <c r="AB265" t="s">
        <v>109</v>
      </c>
      <c r="AC265" t="s">
        <v>100</v>
      </c>
      <c r="AD265" t="str">
        <f>IF(AND(E265="", T265&gt;=0, T265&lt;=0.5, K265&lt;&gt;"Unknown", Q265&lt;&gt;"Unknown"), "CLEAN", _xlfn.CONCAT("WARNING: ", IF(E265&lt;&gt;"","invalid_date",""), IF(T265&lt;0,"negative_discount",""), IF(AND(T265&gt;0.5,T265&lt;=1),"high_discount",""), IF(K265="Unknown","missing_region",""), IF(Q265="Unknown","missing_ship_mode","")))</f>
        <v>CLEAN</v>
      </c>
      <c r="AE265" t="str">
        <f>IF(COUNTIF($AF$2:$AF$926,AF265)&gt;1,"DUPLICATE","UNIQUE")</f>
        <v>UNIQUE</v>
      </c>
      <c r="AF265" t="str">
        <f>A265&amp;"|"&amp;B265&amp;"|"&amp;H265&amp;"|"&amp;I265&amp;"|"&amp;R265&amp;"|"&amp;S265&amp;"|"&amp;V265</f>
        <v>ORD-2025-10264|2025-08-06|CUST-8265|Rohan Mehta|9|4042.45|32743.84</v>
      </c>
      <c r="AG265" t="str">
        <f>IF(COUNTIF($A$2:$A$913,A265)&gt;1,"TRUE","FALSE")</f>
        <v>FALSE</v>
      </c>
    </row>
    <row r="266" spans="1:33">
      <c r="A266" t="s">
        <v>890</v>
      </c>
      <c r="B266" t="s">
        <v>2739</v>
      </c>
      <c r="C266" t="s">
        <v>2068</v>
      </c>
      <c r="D266">
        <f>IF(OR(B266="", C266=""), "", (C266 - B266))</f>
        <v>5</v>
      </c>
      <c r="E266" t="str">
        <f>IF(C266&lt;B266, "INVALID: Ship date before order date", "")</f>
        <v/>
      </c>
      <c r="F266" t="str">
        <f>IF(B266="", "", TEXT(B266, "mmmm"))</f>
        <v>May</v>
      </c>
      <c r="G266">
        <f>IF(B266="", "", YEAR(B266))</f>
        <v>2024</v>
      </c>
      <c r="H266" t="s">
        <v>891</v>
      </c>
      <c r="I266" t="s">
        <v>158</v>
      </c>
      <c r="J266" t="s">
        <v>36</v>
      </c>
      <c r="K266" t="s">
        <v>37</v>
      </c>
      <c r="L266" t="s">
        <v>142</v>
      </c>
      <c r="M266" t="s">
        <v>143</v>
      </c>
      <c r="N266" t="s">
        <v>74</v>
      </c>
      <c r="O266" t="s">
        <v>79</v>
      </c>
      <c r="P266" t="s">
        <v>892</v>
      </c>
      <c r="Q266" t="s">
        <v>58</v>
      </c>
      <c r="R266">
        <v>4</v>
      </c>
      <c r="S266" s="15">
        <v>1503.07</v>
      </c>
      <c r="T266" s="4">
        <v>0</v>
      </c>
      <c r="U266" s="3" t="str">
        <f>IF(T266&lt;0, "negative_discount", IF(AND(T266&gt;0.5, T266&lt;=1), "high_discount", ""))</f>
        <v/>
      </c>
      <c r="V266" s="11">
        <v>6012.28</v>
      </c>
      <c r="W266" s="12">
        <v>6012.28</v>
      </c>
      <c r="X266" s="11">
        <v>3927.64</v>
      </c>
      <c r="Y266" s="11">
        <v>2084.64</v>
      </c>
      <c r="Z266" s="11">
        <f>ROUND(W266-X266,2)</f>
        <v>2084.64</v>
      </c>
      <c r="AA266" s="4">
        <f>IF(W266=0,0,Z266/W266)</f>
        <v>0.34673035853286938</v>
      </c>
      <c r="AB266" t="s">
        <v>31</v>
      </c>
      <c r="AC266" t="s">
        <v>32</v>
      </c>
      <c r="AD266" t="str">
        <f>IF(AND(E266="", T266&gt;=0, T266&lt;=0.5, K266&lt;&gt;"Unknown", Q266&lt;&gt;"Unknown"), "CLEAN", _xlfn.CONCAT("WARNING: ", IF(E266&lt;&gt;"","invalid_date",""), IF(T266&lt;0,"negative_discount",""), IF(AND(T266&gt;0.5,T266&lt;=1),"high_discount",""), IF(K266="Unknown","missing_region",""), IF(Q266="Unknown","missing_ship_mode","")))</f>
        <v>CLEAN</v>
      </c>
      <c r="AE266" t="str">
        <f>IF(COUNTIF($AF$2:$AF$926,AF266)&gt;1,"DUPLICATE","UNIQUE")</f>
        <v>UNIQUE</v>
      </c>
      <c r="AF266" t="str">
        <f>A266&amp;"|"&amp;B266&amp;"|"&amp;H266&amp;"|"&amp;I266&amp;"|"&amp;R266&amp;"|"&amp;S266&amp;"|"&amp;V266</f>
        <v>ORD-2024-10265|2024-05-16|CUST-4750|Diya Patel|4|1503.07|6012.28</v>
      </c>
      <c r="AG266" t="str">
        <f>IF(COUNTIF($A$2:$A$913,A266)&gt;1,"TRUE","FALSE")</f>
        <v>FALSE</v>
      </c>
    </row>
    <row r="267" spans="1:33">
      <c r="A267" t="s">
        <v>893</v>
      </c>
      <c r="B267" t="s">
        <v>1547</v>
      </c>
      <c r="C267" t="s">
        <v>1548</v>
      </c>
      <c r="D267">
        <f>IF(OR(B267="", C267=""), "", (C267 - B267))</f>
        <v>8</v>
      </c>
      <c r="E267" t="str">
        <f>IF(C267&lt;B267, "INVALID: Ship date before order date", "")</f>
        <v/>
      </c>
      <c r="F267" t="str">
        <f>IF(B267="", "", TEXT(B267, "mmmm"))</f>
        <v>November</v>
      </c>
      <c r="G267">
        <f>IF(B267="", "", YEAR(B267))</f>
        <v>2024</v>
      </c>
      <c r="H267" t="s">
        <v>894</v>
      </c>
      <c r="I267" t="s">
        <v>112</v>
      </c>
      <c r="J267" t="s">
        <v>89</v>
      </c>
      <c r="K267" t="s">
        <v>37</v>
      </c>
      <c r="L267" t="s">
        <v>142</v>
      </c>
      <c r="M267" t="s">
        <v>143</v>
      </c>
      <c r="N267" t="s">
        <v>40</v>
      </c>
      <c r="O267" t="s">
        <v>153</v>
      </c>
      <c r="P267" t="s">
        <v>895</v>
      </c>
      <c r="Q267" t="s">
        <v>43</v>
      </c>
      <c r="R267">
        <v>1</v>
      </c>
      <c r="S267" s="15">
        <v>582.37</v>
      </c>
      <c r="T267" s="4">
        <v>0.15</v>
      </c>
      <c r="U267" s="3" t="str">
        <f>IF(T267&lt;0, "negative_discount", IF(AND(T267&gt;0.5, T267&lt;=1), "high_discount", ""))</f>
        <v/>
      </c>
      <c r="V267" s="11">
        <v>495.01</v>
      </c>
      <c r="W267" s="12">
        <v>495.01</v>
      </c>
      <c r="X267" s="11">
        <v>285.13</v>
      </c>
      <c r="Y267" s="11">
        <v>209.88</v>
      </c>
      <c r="Z267" s="11">
        <f>ROUND(W267-X267,2)</f>
        <v>209.88</v>
      </c>
      <c r="AA267" s="4">
        <f>IF(W267=0,0,Z267/W267)</f>
        <v>0.42399143451647442</v>
      </c>
      <c r="AB267" t="s">
        <v>99</v>
      </c>
      <c r="AC267" t="s">
        <v>67</v>
      </c>
      <c r="AD267" t="str">
        <f>IF(AND(E267="", T267&gt;=0, T267&lt;=0.5, K267&lt;&gt;"Unknown", Q267&lt;&gt;"Unknown"), "CLEAN", _xlfn.CONCAT("WARNING: ", IF(E267&lt;&gt;"","invalid_date",""), IF(T267&lt;0,"negative_discount",""), IF(AND(T267&gt;0.5,T267&lt;=1),"high_discount",""), IF(K267="Unknown","missing_region",""), IF(Q267="Unknown","missing_ship_mode","")))</f>
        <v>CLEAN</v>
      </c>
      <c r="AE267" t="str">
        <f>IF(COUNTIF($AF$2:$AF$926,AF267)&gt;1,"DUPLICATE","UNIQUE")</f>
        <v>UNIQUE</v>
      </c>
      <c r="AF267" t="str">
        <f>A267&amp;"|"&amp;B267&amp;"|"&amp;H267&amp;"|"&amp;I267&amp;"|"&amp;R267&amp;"|"&amp;S267&amp;"|"&amp;V267</f>
        <v>ORD-2024-10266|2024-11-14|CUST-3974|Priya Menon|1|582.37|495.01</v>
      </c>
      <c r="AG267" t="str">
        <f>IF(COUNTIF($A$2:$A$913,A267)&gt;1,"TRUE","FALSE")</f>
        <v>FALSE</v>
      </c>
    </row>
    <row r="268" spans="1:33">
      <c r="A268" t="s">
        <v>3090</v>
      </c>
      <c r="B268" t="s">
        <v>896</v>
      </c>
      <c r="C268" t="s">
        <v>897</v>
      </c>
      <c r="D268">
        <f>IF(OR(B268="", C268=""), "", (C268 - B268))</f>
        <v>7</v>
      </c>
      <c r="E268" t="str">
        <f>IF(C268&lt;B268, "INVALID: Ship date before order date", "")</f>
        <v/>
      </c>
      <c r="F268" t="str">
        <f>IF(B268="", "", TEXT(B268, "mmmm"))</f>
        <v>May</v>
      </c>
      <c r="G268">
        <f>IF(B268="", "", YEAR(B268))</f>
        <v>2025</v>
      </c>
      <c r="H268" t="s">
        <v>898</v>
      </c>
      <c r="I268" t="s">
        <v>78</v>
      </c>
      <c r="J268" t="s">
        <v>93</v>
      </c>
      <c r="K268" t="s">
        <v>62</v>
      </c>
      <c r="L268" t="s">
        <v>63</v>
      </c>
      <c r="M268" t="s">
        <v>64</v>
      </c>
      <c r="N268" t="s">
        <v>27</v>
      </c>
      <c r="O268" t="s">
        <v>122</v>
      </c>
      <c r="P268" t="s">
        <v>899</v>
      </c>
      <c r="Q268" t="s">
        <v>30</v>
      </c>
      <c r="R268">
        <v>3</v>
      </c>
      <c r="S268" s="15">
        <v>4339.24</v>
      </c>
      <c r="T268" s="4">
        <v>0</v>
      </c>
      <c r="U268" s="3" t="str">
        <f>IF(T268&lt;0, "negative_discount", IF(AND(T268&gt;0.5, T268&lt;=1), "high_discount", ""))</f>
        <v/>
      </c>
      <c r="V268" s="11">
        <v>13017.72</v>
      </c>
      <c r="W268" s="12">
        <v>13017.72</v>
      </c>
      <c r="X268" s="11">
        <v>10170.57</v>
      </c>
      <c r="Y268" s="11">
        <v>2847.15</v>
      </c>
      <c r="Z268" s="11">
        <f>ROUND(W268-X268,2)</f>
        <v>2847.15</v>
      </c>
      <c r="AA268" s="4">
        <f>IF(W268=0,0,Z268/W268)</f>
        <v>0.21871341525244054</v>
      </c>
      <c r="AB268" t="s">
        <v>31</v>
      </c>
      <c r="AC268" t="s">
        <v>32</v>
      </c>
      <c r="AD268" t="str">
        <f>IF(AND(E268="", T268&gt;=0, T268&lt;=0.5, K268&lt;&gt;"Unknown", Q268&lt;&gt;"Unknown"), "CLEAN", _xlfn.CONCAT("WARNING: ", IF(E268&lt;&gt;"","invalid_date",""), IF(T268&lt;0,"negative_discount",""), IF(AND(T268&gt;0.5,T268&lt;=1),"high_discount",""), IF(K268="Unknown","missing_region",""), IF(Q268="Unknown","missing_ship_mode","")))</f>
        <v>CLEAN</v>
      </c>
      <c r="AE268" t="str">
        <f>IF(COUNTIF($AF$2:$AF$926,AF268)&gt;1,"DUPLICATE","UNIQUE")</f>
        <v>UNIQUE</v>
      </c>
      <c r="AF268" t="str">
        <f>A268&amp;"|"&amp;B268&amp;"|"&amp;H268&amp;"|"&amp;I268&amp;"|"&amp;R268&amp;"|"&amp;S268&amp;"|"&amp;V268</f>
        <v>ORD-2025-10267|2025-05-03|CUST-7114|Neha Gupta|3|4339.24|13017.72</v>
      </c>
      <c r="AG268" t="str">
        <f>IF(COUNTIF($A$2:$A$913,A268)&gt;1,"TRUE","FALSE")</f>
        <v>FALSE</v>
      </c>
    </row>
    <row r="269" spans="1:33">
      <c r="A269" t="s">
        <v>3091</v>
      </c>
      <c r="B269" t="s">
        <v>1088</v>
      </c>
      <c r="C269" t="s">
        <v>852</v>
      </c>
      <c r="D269">
        <f>IF(OR(B269="", C269=""), "", (C269 - B269))</f>
        <v>-52</v>
      </c>
      <c r="E269" t="str">
        <f>IF(C269&lt;B269, "INVALID: Ship date before order date", "")</f>
        <v>INVALID: Ship date before order date</v>
      </c>
      <c r="F269" t="str">
        <f>IF(B269="", "", TEXT(B269, "mmmm"))</f>
        <v>May</v>
      </c>
      <c r="G269">
        <f>IF(B269="", "", YEAR(B269))</f>
        <v>2025</v>
      </c>
      <c r="H269" t="s">
        <v>900</v>
      </c>
      <c r="I269" t="s">
        <v>158</v>
      </c>
      <c r="J269" t="s">
        <v>89</v>
      </c>
      <c r="K269" t="s">
        <v>37</v>
      </c>
      <c r="L269" t="s">
        <v>226</v>
      </c>
      <c r="M269" t="s">
        <v>227</v>
      </c>
      <c r="N269" t="s">
        <v>40</v>
      </c>
      <c r="O269" t="s">
        <v>56</v>
      </c>
      <c r="P269" t="s">
        <v>901</v>
      </c>
      <c r="Q269" t="s">
        <v>49</v>
      </c>
      <c r="R269">
        <v>4</v>
      </c>
      <c r="S269" s="15">
        <v>261.8</v>
      </c>
      <c r="T269" s="4">
        <v>0.25</v>
      </c>
      <c r="U269" s="3" t="str">
        <f>IF(T269&lt;0, "negative_discount", IF(AND(T269&gt;0.5, T269&lt;=1), "high_discount", ""))</f>
        <v/>
      </c>
      <c r="V269" s="11">
        <v>785.4</v>
      </c>
      <c r="W269" s="12">
        <v>785.4</v>
      </c>
      <c r="X269" s="11">
        <v>557.22</v>
      </c>
      <c r="Y269" s="11">
        <v>228.18</v>
      </c>
      <c r="Z269" s="11">
        <f>ROUND(W269-X269,2)</f>
        <v>228.18</v>
      </c>
      <c r="AA269" s="4">
        <f>IF(W269=0,0,Z269/W269)</f>
        <v>0.29052711993888464</v>
      </c>
      <c r="AB269" t="s">
        <v>31</v>
      </c>
      <c r="AC269" t="s">
        <v>32</v>
      </c>
      <c r="AD269" t="str">
        <f>IF(AND(E269="", T269&gt;=0, T269&lt;=0.5, K269&lt;&gt;"Unknown", Q269&lt;&gt;"Unknown"), "CLEAN", _xlfn.CONCAT("WARNING: ", IF(E269&lt;&gt;"","invalid_date",""), IF(T269&lt;0,"negative_discount",""), IF(AND(T269&gt;0.5,T269&lt;=1),"high_discount",""), IF(K269="Unknown","missing_region",""), IF(Q269="Unknown","missing_ship_mode","")))</f>
        <v>WARNING: invalid_date</v>
      </c>
      <c r="AE269" t="str">
        <f>IF(COUNTIF($AF$2:$AF$926,AF269)&gt;1,"DUPLICATE","UNIQUE")</f>
        <v>UNIQUE</v>
      </c>
      <c r="AF269" t="str">
        <f>A269&amp;"|"&amp;B269&amp;"|"&amp;H269&amp;"|"&amp;I269&amp;"|"&amp;R269&amp;"|"&amp;S269&amp;"|"&amp;V269</f>
        <v>ORD-2025-10268|2025-05-28|CUST-4431|Diya Patel|4|261.8|785.4</v>
      </c>
      <c r="AG269" t="str">
        <f>IF(COUNTIF($A$2:$A$913,A269)&gt;1,"TRUE","FALSE")</f>
        <v>FALSE</v>
      </c>
    </row>
    <row r="270" spans="1:33">
      <c r="A270" t="s">
        <v>3092</v>
      </c>
      <c r="B270" t="s">
        <v>2253</v>
      </c>
      <c r="C270" t="s">
        <v>2253</v>
      </c>
      <c r="D270">
        <f>IF(OR(B270="", C270=""), "", (C270 - B270))</f>
        <v>0</v>
      </c>
      <c r="E270" t="str">
        <f>IF(C270&lt;B270, "INVALID: Ship date before order date", "")</f>
        <v/>
      </c>
      <c r="F270" t="str">
        <f>IF(B270="", "", TEXT(B270, "mmmm"))</f>
        <v>August</v>
      </c>
      <c r="G270">
        <f>IF(B270="", "", YEAR(B270))</f>
        <v>2025</v>
      </c>
      <c r="H270" t="s">
        <v>902</v>
      </c>
      <c r="I270" t="s">
        <v>126</v>
      </c>
      <c r="J270" t="s">
        <v>93</v>
      </c>
      <c r="K270" t="s">
        <v>24</v>
      </c>
      <c r="L270" t="s">
        <v>120</v>
      </c>
      <c r="M270" t="s">
        <v>121</v>
      </c>
      <c r="N270" t="s">
        <v>74</v>
      </c>
      <c r="O270" t="s">
        <v>75</v>
      </c>
      <c r="P270" t="s">
        <v>903</v>
      </c>
      <c r="Q270" t="s">
        <v>49</v>
      </c>
      <c r="R270">
        <v>7</v>
      </c>
      <c r="S270" s="15">
        <v>632.20000000000005</v>
      </c>
      <c r="T270" s="4">
        <v>0.25</v>
      </c>
      <c r="U270" s="3" t="str">
        <f>IF(T270&lt;0, "negative_discount", IF(AND(T270&gt;0.5, T270&lt;=1), "high_discount", ""))</f>
        <v/>
      </c>
      <c r="V270" s="11">
        <v>3319.05</v>
      </c>
      <c r="W270" s="12">
        <v>3319.05</v>
      </c>
      <c r="X270" s="11">
        <v>2124.6</v>
      </c>
      <c r="Y270" s="11">
        <v>1194.45</v>
      </c>
      <c r="Z270" s="11">
        <f>ROUND(W270-X270,2)</f>
        <v>1194.45</v>
      </c>
      <c r="AA270" s="4">
        <f>IF(W270=0,0,Z270/W270)</f>
        <v>0.35987707325891444</v>
      </c>
      <c r="AB270" t="s">
        <v>31</v>
      </c>
      <c r="AC270" t="s">
        <v>32</v>
      </c>
      <c r="AD270" t="str">
        <f>IF(AND(E270="", T270&gt;=0, T270&lt;=0.5, K270&lt;&gt;"Unknown", Q270&lt;&gt;"Unknown"), "CLEAN", _xlfn.CONCAT("WARNING: ", IF(E270&lt;&gt;"","invalid_date",""), IF(T270&lt;0,"negative_discount",""), IF(AND(T270&gt;0.5,T270&lt;=1),"high_discount",""), IF(K270="Unknown","missing_region",""), IF(Q270="Unknown","missing_ship_mode","")))</f>
        <v>CLEAN</v>
      </c>
      <c r="AE270" t="str">
        <f>IF(COUNTIF($AF$2:$AF$926,AF270)&gt;1,"DUPLICATE","UNIQUE")</f>
        <v>UNIQUE</v>
      </c>
      <c r="AF270" t="str">
        <f>A270&amp;"|"&amp;B270&amp;"|"&amp;H270&amp;"|"&amp;I270&amp;"|"&amp;R270&amp;"|"&amp;S270&amp;"|"&amp;V270</f>
        <v>ORD-2025-10269|2025-08-17|CUST-1488|Aarav Sharma|7|632.2|3319.05</v>
      </c>
      <c r="AG270" t="str">
        <f>IF(COUNTIF($A$2:$A$913,A270)&gt;1,"TRUE","FALSE")</f>
        <v>FALSE</v>
      </c>
    </row>
    <row r="271" spans="1:33">
      <c r="A271" t="s">
        <v>3093</v>
      </c>
      <c r="B271" t="s">
        <v>2759</v>
      </c>
      <c r="C271" t="s">
        <v>1582</v>
      </c>
      <c r="D271">
        <f>IF(OR(B271="", C271=""), "", (C271 - B271))</f>
        <v>2</v>
      </c>
      <c r="E271" t="str">
        <f>IF(C271&lt;B271, "INVALID: Ship date before order date", "")</f>
        <v/>
      </c>
      <c r="F271" t="str">
        <f>IF(B271="", "", TEXT(B271, "mmmm"))</f>
        <v>February</v>
      </c>
      <c r="G271">
        <f>IF(B271="", "", YEAR(B271))</f>
        <v>2025</v>
      </c>
      <c r="H271" t="s">
        <v>904</v>
      </c>
      <c r="I271" t="s">
        <v>116</v>
      </c>
      <c r="J271" t="s">
        <v>36</v>
      </c>
      <c r="K271" t="s">
        <v>62</v>
      </c>
      <c r="L271" t="s">
        <v>25</v>
      </c>
      <c r="M271" t="s">
        <v>107</v>
      </c>
      <c r="N271" t="s">
        <v>40</v>
      </c>
      <c r="O271" t="s">
        <v>41</v>
      </c>
      <c r="P271" t="s">
        <v>905</v>
      </c>
      <c r="Q271" t="s">
        <v>43</v>
      </c>
      <c r="R271">
        <v>1</v>
      </c>
      <c r="S271" s="15">
        <v>1925.86</v>
      </c>
      <c r="T271" s="4">
        <v>0</v>
      </c>
      <c r="U271" s="3" t="str">
        <f>IF(T271&lt;0, "negative_discount", IF(AND(T271&gt;0.5, T271&lt;=1), "high_discount", ""))</f>
        <v/>
      </c>
      <c r="V271" s="11">
        <v>1925.86</v>
      </c>
      <c r="W271" s="12">
        <v>1925.86</v>
      </c>
      <c r="X271" s="11">
        <v>1321.89</v>
      </c>
      <c r="Y271" s="11">
        <v>603.97</v>
      </c>
      <c r="Z271" s="11">
        <f>ROUND(W271-X271,2)</f>
        <v>603.97</v>
      </c>
      <c r="AA271" s="4">
        <f>IF(W271=0,0,Z271/W271)</f>
        <v>0.3136105428224274</v>
      </c>
      <c r="AB271" t="s">
        <v>31</v>
      </c>
      <c r="AC271" t="s">
        <v>32</v>
      </c>
      <c r="AD271" t="str">
        <f>IF(AND(E271="", T271&gt;=0, T271&lt;=0.5, K271&lt;&gt;"Unknown", Q271&lt;&gt;"Unknown"), "CLEAN", _xlfn.CONCAT("WARNING: ", IF(E271&lt;&gt;"","invalid_date",""), IF(T271&lt;0,"negative_discount",""), IF(AND(T271&gt;0.5,T271&lt;=1),"high_discount",""), IF(K271="Unknown","missing_region",""), IF(Q271="Unknown","missing_ship_mode","")))</f>
        <v>CLEAN</v>
      </c>
      <c r="AE271" t="str">
        <f>IF(COUNTIF($AF$2:$AF$926,AF271)&gt;1,"DUPLICATE","UNIQUE")</f>
        <v>UNIQUE</v>
      </c>
      <c r="AF271" t="str">
        <f>A271&amp;"|"&amp;B271&amp;"|"&amp;H271&amp;"|"&amp;I271&amp;"|"&amp;R271&amp;"|"&amp;S271&amp;"|"&amp;V271</f>
        <v>ORD-2025-10270|2025-02-10|CUST-1586|Rahul Verma|1|1925.86|1925.86</v>
      </c>
      <c r="AG271" t="str">
        <f>IF(COUNTIF($A$2:$A$913,A271)&gt;1,"TRUE","FALSE")</f>
        <v>FALSE</v>
      </c>
    </row>
    <row r="272" spans="1:33">
      <c r="A272" t="s">
        <v>906</v>
      </c>
      <c r="B272" t="s">
        <v>2751</v>
      </c>
      <c r="C272" t="s">
        <v>2907</v>
      </c>
      <c r="D272">
        <f>IF(OR(B272="", C272=""), "", (C272 - B272))</f>
        <v>1</v>
      </c>
      <c r="E272" t="str">
        <f>IF(C272&lt;B272, "INVALID: Ship date before order date", "")</f>
        <v/>
      </c>
      <c r="F272" t="str">
        <f>IF(B272="", "", TEXT(B272, "mmmm"))</f>
        <v>January</v>
      </c>
      <c r="G272">
        <f>IF(B272="", "", YEAR(B272))</f>
        <v>2024</v>
      </c>
      <c r="H272" t="s">
        <v>907</v>
      </c>
      <c r="I272" t="s">
        <v>88</v>
      </c>
      <c r="J272" t="s">
        <v>89</v>
      </c>
      <c r="K272" t="s">
        <v>24</v>
      </c>
      <c r="L272" t="s">
        <v>134</v>
      </c>
      <c r="M272" t="s">
        <v>135</v>
      </c>
      <c r="N272" t="s">
        <v>74</v>
      </c>
      <c r="O272" t="s">
        <v>272</v>
      </c>
      <c r="P272" t="s">
        <v>908</v>
      </c>
      <c r="Q272" t="s">
        <v>43</v>
      </c>
      <c r="R272">
        <v>3</v>
      </c>
      <c r="S272" s="15">
        <v>827.44</v>
      </c>
      <c r="T272" s="4">
        <v>0</v>
      </c>
      <c r="U272" s="3" t="str">
        <f>IF(T272&lt;0, "negative_discount", IF(AND(T272&gt;0.5, T272&lt;=1), "high_discount", ""))</f>
        <v/>
      </c>
      <c r="V272" s="11">
        <v>2482.3200000000002</v>
      </c>
      <c r="W272" s="12">
        <v>2482.3200000000002</v>
      </c>
      <c r="X272" s="11">
        <v>1520.21</v>
      </c>
      <c r="Y272" s="11">
        <v>962.11</v>
      </c>
      <c r="Z272" s="11">
        <f>ROUND(W272-X272,2)</f>
        <v>962.11</v>
      </c>
      <c r="AA272" s="4">
        <f>IF(W272=0,0,Z272/W272)</f>
        <v>0.38758500112797706</v>
      </c>
      <c r="AB272" t="s">
        <v>31</v>
      </c>
      <c r="AC272" t="s">
        <v>32</v>
      </c>
      <c r="AD272" t="str">
        <f>IF(AND(E272="", T272&gt;=0, T272&lt;=0.5, K272&lt;&gt;"Unknown", Q272&lt;&gt;"Unknown"), "CLEAN", _xlfn.CONCAT("WARNING: ", IF(E272&lt;&gt;"","invalid_date",""), IF(T272&lt;0,"negative_discount",""), IF(AND(T272&gt;0.5,T272&lt;=1),"high_discount",""), IF(K272="Unknown","missing_region",""), IF(Q272="Unknown","missing_ship_mode","")))</f>
        <v>CLEAN</v>
      </c>
      <c r="AE272" t="str">
        <f>IF(COUNTIF($AF$2:$AF$926,AF272)&gt;1,"DUPLICATE","UNIQUE")</f>
        <v>UNIQUE</v>
      </c>
      <c r="AF272" t="str">
        <f>A272&amp;"|"&amp;B272&amp;"|"&amp;H272&amp;"|"&amp;I272&amp;"|"&amp;R272&amp;"|"&amp;S272&amp;"|"&amp;V272</f>
        <v>ORD-2024-10271|2024-01-12|CUST-2487|Aditi Sen|3|827.44|2482.32</v>
      </c>
      <c r="AG272" t="str">
        <f>IF(COUNTIF($A$2:$A$913,A272)&gt;1,"TRUE","FALSE")</f>
        <v>FALSE</v>
      </c>
    </row>
    <row r="273" spans="1:33">
      <c r="A273" t="s">
        <v>909</v>
      </c>
      <c r="B273" t="s">
        <v>2760</v>
      </c>
      <c r="C273" t="s">
        <v>2819</v>
      </c>
      <c r="D273">
        <f>IF(OR(B273="", C273=""), "", (C273 - B273))</f>
        <v>4</v>
      </c>
      <c r="E273" t="str">
        <f>IF(C273&lt;B273, "INVALID: Ship date before order date", "")</f>
        <v/>
      </c>
      <c r="F273" t="str">
        <f>IF(B273="", "", TEXT(B273, "mmmm"))</f>
        <v>December</v>
      </c>
      <c r="G273">
        <f>IF(B273="", "", YEAR(B273))</f>
        <v>2024</v>
      </c>
      <c r="H273" t="s">
        <v>910</v>
      </c>
      <c r="I273" t="s">
        <v>88</v>
      </c>
      <c r="J273" t="s">
        <v>23</v>
      </c>
      <c r="K273" t="s">
        <v>53</v>
      </c>
      <c r="L273" t="s">
        <v>54</v>
      </c>
      <c r="M273" t="s">
        <v>55</v>
      </c>
      <c r="N273" t="s">
        <v>27</v>
      </c>
      <c r="O273" t="s">
        <v>149</v>
      </c>
      <c r="P273" t="s">
        <v>911</v>
      </c>
      <c r="Q273" t="s">
        <v>58</v>
      </c>
      <c r="R273">
        <v>7</v>
      </c>
      <c r="S273" s="15">
        <v>1667.75</v>
      </c>
      <c r="T273" s="4">
        <v>0</v>
      </c>
      <c r="U273" s="3" t="str">
        <f>IF(T273&lt;0, "negative_discount", IF(AND(T273&gt;0.5, T273&lt;=1), "high_discount", ""))</f>
        <v/>
      </c>
      <c r="V273" s="11">
        <v>11674.25</v>
      </c>
      <c r="W273" s="12">
        <v>11674.25</v>
      </c>
      <c r="X273" s="11">
        <v>9621.19</v>
      </c>
      <c r="Y273" s="11">
        <v>2053.06</v>
      </c>
      <c r="Z273" s="11">
        <f>ROUND(W273-X273,2)</f>
        <v>2053.06</v>
      </c>
      <c r="AA273" s="4">
        <f>IF(W273=0,0,Z273/W273)</f>
        <v>0.17586226095894811</v>
      </c>
      <c r="AB273" t="s">
        <v>151</v>
      </c>
      <c r="AC273" t="s">
        <v>67</v>
      </c>
      <c r="AD273" t="str">
        <f>IF(AND(E273="", T273&gt;=0, T273&lt;=0.5, K273&lt;&gt;"Unknown", Q273&lt;&gt;"Unknown"), "CLEAN", _xlfn.CONCAT("WARNING: ", IF(E273&lt;&gt;"","invalid_date",""), IF(T273&lt;0,"negative_discount",""), IF(AND(T273&gt;0.5,T273&lt;=1),"high_discount",""), IF(K273="Unknown","missing_region",""), IF(Q273="Unknown","missing_ship_mode","")))</f>
        <v>CLEAN</v>
      </c>
      <c r="AE273" t="str">
        <f>IF(COUNTIF($AF$2:$AF$926,AF273)&gt;1,"DUPLICATE","UNIQUE")</f>
        <v>UNIQUE</v>
      </c>
      <c r="AF273" t="str">
        <f>A273&amp;"|"&amp;B273&amp;"|"&amp;H273&amp;"|"&amp;I273&amp;"|"&amp;R273&amp;"|"&amp;S273&amp;"|"&amp;V273</f>
        <v>ORD-2024-10272|2024-12-21|CUST-8009|Aditi Sen|7|1667.75|11674.25</v>
      </c>
      <c r="AG273" t="str">
        <f>IF(COUNTIF($A$2:$A$913,A273)&gt;1,"TRUE","FALSE")</f>
        <v>FALSE</v>
      </c>
    </row>
    <row r="274" spans="1:33">
      <c r="A274" t="s">
        <v>912</v>
      </c>
      <c r="B274" t="s">
        <v>475</v>
      </c>
      <c r="C274" t="s">
        <v>832</v>
      </c>
      <c r="D274">
        <f>IF(OR(B274="", C274=""), "", (C274 - B274))</f>
        <v>6</v>
      </c>
      <c r="E274" t="str">
        <f>IF(C274&lt;B274, "INVALID: Ship date before order date", "")</f>
        <v/>
      </c>
      <c r="F274" t="str">
        <f>IF(B274="", "", TEXT(B274, "mmmm"))</f>
        <v>August</v>
      </c>
      <c r="G274">
        <f>IF(B274="", "", YEAR(B274))</f>
        <v>2024</v>
      </c>
      <c r="H274" t="s">
        <v>913</v>
      </c>
      <c r="I274" t="s">
        <v>52</v>
      </c>
      <c r="J274" t="s">
        <v>23</v>
      </c>
      <c r="K274" t="s">
        <v>53</v>
      </c>
      <c r="L274" t="s">
        <v>83</v>
      </c>
      <c r="M274" t="s">
        <v>84</v>
      </c>
      <c r="N274" t="s">
        <v>40</v>
      </c>
      <c r="O274" t="s">
        <v>65</v>
      </c>
      <c r="P274" t="s">
        <v>914</v>
      </c>
      <c r="Q274" t="s">
        <v>49</v>
      </c>
      <c r="R274">
        <v>7</v>
      </c>
      <c r="S274" s="15">
        <v>557.21</v>
      </c>
      <c r="T274" s="4">
        <v>0.1</v>
      </c>
      <c r="U274" s="3" t="str">
        <f>IF(T274&lt;0, "negative_discount", IF(AND(T274&gt;0.5, T274&lt;=1), "high_discount", ""))</f>
        <v/>
      </c>
      <c r="V274" s="11">
        <v>3510.42</v>
      </c>
      <c r="W274" s="12">
        <v>3510.42</v>
      </c>
      <c r="X274" s="11">
        <v>2191.5</v>
      </c>
      <c r="Y274" s="11">
        <v>1213.48</v>
      </c>
      <c r="Z274" s="11">
        <f>ROUND(W274-X274,2)</f>
        <v>1318.92</v>
      </c>
      <c r="AA274" s="4">
        <f>IF(W274=0,0,Z274/W274)</f>
        <v>0.37571572632334593</v>
      </c>
      <c r="AB274" t="s">
        <v>31</v>
      </c>
      <c r="AC274" t="s">
        <v>32</v>
      </c>
      <c r="AD274" t="str">
        <f>IF(AND(E274="", T274&gt;=0, T274&lt;=0.5, K274&lt;&gt;"Unknown", Q274&lt;&gt;"Unknown"), "CLEAN", _xlfn.CONCAT("WARNING: ", IF(E274&lt;&gt;"","invalid_date",""), IF(T274&lt;0,"negative_discount",""), IF(AND(T274&gt;0.5,T274&lt;=1),"high_discount",""), IF(K274="Unknown","missing_region",""), IF(Q274="Unknown","missing_ship_mode","")))</f>
        <v>CLEAN</v>
      </c>
      <c r="AE274" t="str">
        <f>IF(COUNTIF($AF$2:$AF$926,AF274)&gt;1,"DUPLICATE","UNIQUE")</f>
        <v>UNIQUE</v>
      </c>
      <c r="AF274" t="str">
        <f>A274&amp;"|"&amp;B274&amp;"|"&amp;H274&amp;"|"&amp;I274&amp;"|"&amp;R274&amp;"|"&amp;S274&amp;"|"&amp;V274</f>
        <v>ORD-2024-10273|2024-08-18|CUST-7389|Arjun Bose|7|557.21|3510.42</v>
      </c>
      <c r="AG274" t="str">
        <f>IF(COUNTIF($A$2:$A$913,A274)&gt;1,"TRUE","FALSE")</f>
        <v>TRUE</v>
      </c>
    </row>
    <row r="275" spans="1:33">
      <c r="A275" t="s">
        <v>3094</v>
      </c>
      <c r="B275" t="s">
        <v>1543</v>
      </c>
      <c r="C275" t="s">
        <v>1543</v>
      </c>
      <c r="D275">
        <f>IF(OR(B275="", C275=""), "", (C275 - B275))</f>
        <v>0</v>
      </c>
      <c r="E275" t="str">
        <f>IF(C275&lt;B275, "INVALID: Ship date before order date", "")</f>
        <v/>
      </c>
      <c r="F275" t="str">
        <f>IF(B275="", "", TEXT(B275, "mmmm"))</f>
        <v>February</v>
      </c>
      <c r="G275">
        <f>IF(B275="", "", YEAR(B275))</f>
        <v>2025</v>
      </c>
      <c r="H275" t="s">
        <v>915</v>
      </c>
      <c r="I275" t="s">
        <v>46</v>
      </c>
      <c r="J275" t="s">
        <v>23</v>
      </c>
      <c r="K275" t="s">
        <v>37</v>
      </c>
      <c r="L275" t="s">
        <v>142</v>
      </c>
      <c r="M275" t="s">
        <v>143</v>
      </c>
      <c r="N275" t="s">
        <v>27</v>
      </c>
      <c r="O275" t="s">
        <v>28</v>
      </c>
      <c r="P275" t="s">
        <v>916</v>
      </c>
      <c r="Q275" t="s">
        <v>30</v>
      </c>
      <c r="R275">
        <v>9</v>
      </c>
      <c r="S275" s="15">
        <v>2521.63</v>
      </c>
      <c r="T275" s="4">
        <v>0</v>
      </c>
      <c r="U275" s="3" t="str">
        <f>IF(T275&lt;0, "negative_discount", IF(AND(T275&gt;0.5, T275&lt;=1), "high_discount", ""))</f>
        <v/>
      </c>
      <c r="V275" s="11">
        <v>22694.67</v>
      </c>
      <c r="W275" s="12">
        <v>22694.67</v>
      </c>
      <c r="X275" s="11">
        <v>15405.36</v>
      </c>
      <c r="Y275" s="11">
        <v>7289.31</v>
      </c>
      <c r="Z275" s="11">
        <f>ROUND(W275-X275,2)</f>
        <v>7289.31</v>
      </c>
      <c r="AA275" s="4">
        <f>IF(W275=0,0,Z275/W275)</f>
        <v>0.32119039404406413</v>
      </c>
      <c r="AB275" t="s">
        <v>31</v>
      </c>
      <c r="AC275" t="s">
        <v>100</v>
      </c>
      <c r="AD275" t="str">
        <f>IF(AND(E275="", T275&gt;=0, T275&lt;=0.5, K275&lt;&gt;"Unknown", Q275&lt;&gt;"Unknown"), "CLEAN", _xlfn.CONCAT("WARNING: ", IF(E275&lt;&gt;"","invalid_date",""), IF(T275&lt;0,"negative_discount",""), IF(AND(T275&gt;0.5,T275&lt;=1),"high_discount",""), IF(K275="Unknown","missing_region",""), IF(Q275="Unknown","missing_ship_mode","")))</f>
        <v>CLEAN</v>
      </c>
      <c r="AE275" t="str">
        <f>IF(COUNTIF($AF$2:$AF$926,AF275)&gt;1,"DUPLICATE","UNIQUE")</f>
        <v>UNIQUE</v>
      </c>
      <c r="AF275" t="str">
        <f>A275&amp;"|"&amp;B275&amp;"|"&amp;H275&amp;"|"&amp;I275&amp;"|"&amp;R275&amp;"|"&amp;S275&amp;"|"&amp;V275</f>
        <v>ORD-2025-10274|2025-02-13|CUST-8249|Isha Nair|9|2521.63|22694.67</v>
      </c>
      <c r="AG275" t="str">
        <f>IF(COUNTIF($A$2:$A$913,A275)&gt;1,"TRUE","FALSE")</f>
        <v>FALSE</v>
      </c>
    </row>
    <row r="276" spans="1:33">
      <c r="A276" t="s">
        <v>917</v>
      </c>
      <c r="B276" t="s">
        <v>2761</v>
      </c>
      <c r="C276" t="s">
        <v>2532</v>
      </c>
      <c r="D276">
        <f>IF(OR(B276="", C276=""), "", (C276 - B276))</f>
        <v>-81</v>
      </c>
      <c r="E276" t="str">
        <f>IF(C276&lt;B276, "INVALID: Ship date before order date", "")</f>
        <v>INVALID: Ship date before order date</v>
      </c>
      <c r="F276" t="str">
        <f>IF(B276="", "", TEXT(B276, "mmmm"))</f>
        <v>July</v>
      </c>
      <c r="G276">
        <f>IF(B276="", "", YEAR(B276))</f>
        <v>2024</v>
      </c>
      <c r="H276" t="s">
        <v>918</v>
      </c>
      <c r="I276" t="s">
        <v>139</v>
      </c>
      <c r="J276" t="s">
        <v>23</v>
      </c>
      <c r="K276" t="s">
        <v>53</v>
      </c>
      <c r="L276" t="s">
        <v>180</v>
      </c>
      <c r="M276" t="s">
        <v>181</v>
      </c>
      <c r="N276" t="s">
        <v>74</v>
      </c>
      <c r="O276" t="s">
        <v>79</v>
      </c>
      <c r="P276" t="s">
        <v>919</v>
      </c>
      <c r="Q276" t="s">
        <v>58</v>
      </c>
      <c r="R276">
        <v>6</v>
      </c>
      <c r="S276" s="15">
        <v>4246.71</v>
      </c>
      <c r="T276" s="4">
        <v>0.15</v>
      </c>
      <c r="U276" s="3" t="str">
        <f>IF(T276&lt;0, "negative_discount", IF(AND(T276&gt;0.5, T276&lt;=1), "high_discount", ""))</f>
        <v/>
      </c>
      <c r="V276" s="11">
        <v>21658.22</v>
      </c>
      <c r="W276" s="12">
        <v>21658.22</v>
      </c>
      <c r="X276" s="11">
        <v>15490.69</v>
      </c>
      <c r="Y276" s="11">
        <v>6167.53</v>
      </c>
      <c r="Z276" s="11">
        <f>ROUND(W276-X276,2)</f>
        <v>6167.53</v>
      </c>
      <c r="AA276" s="4">
        <f>IF(W276=0,0,Z276/W276)</f>
        <v>0.28476624579489906</v>
      </c>
      <c r="AB276" t="s">
        <v>151</v>
      </c>
      <c r="AC276" t="s">
        <v>100</v>
      </c>
      <c r="AD276" t="str">
        <f>IF(AND(E276="", T276&gt;=0, T276&lt;=0.5, K276&lt;&gt;"Unknown", Q276&lt;&gt;"Unknown"), "CLEAN", _xlfn.CONCAT("WARNING: ", IF(E276&lt;&gt;"","invalid_date",""), IF(T276&lt;0,"negative_discount",""), IF(AND(T276&gt;0.5,T276&lt;=1),"high_discount",""), IF(K276="Unknown","missing_region",""), IF(Q276="Unknown","missing_ship_mode","")))</f>
        <v>WARNING: invalid_date</v>
      </c>
      <c r="AE276" t="str">
        <f>IF(COUNTIF($AF$2:$AF$926,AF276)&gt;1,"DUPLICATE","UNIQUE")</f>
        <v>UNIQUE</v>
      </c>
      <c r="AF276" t="str">
        <f>A276&amp;"|"&amp;B276&amp;"|"&amp;H276&amp;"|"&amp;I276&amp;"|"&amp;R276&amp;"|"&amp;S276&amp;"|"&amp;V276</f>
        <v>ORD-2024-10275|2024-07-04|CUST-4202|Rohan Mehta|6|4246.71|21658.22</v>
      </c>
      <c r="AG276" t="str">
        <f>IF(COUNTIF($A$2:$A$913,A276)&gt;1,"TRUE","FALSE")</f>
        <v>FALSE</v>
      </c>
    </row>
    <row r="277" spans="1:33">
      <c r="A277" t="s">
        <v>920</v>
      </c>
      <c r="B277" t="s">
        <v>464</v>
      </c>
      <c r="C277" t="s">
        <v>1842</v>
      </c>
      <c r="D277">
        <f>IF(OR(B277="", C277=""), "", (C277 - B277))</f>
        <v>7</v>
      </c>
      <c r="E277" t="str">
        <f>IF(C277&lt;B277, "INVALID: Ship date before order date", "")</f>
        <v/>
      </c>
      <c r="F277" t="str">
        <f>IF(B277="", "", TEXT(B277, "mmmm"))</f>
        <v>February</v>
      </c>
      <c r="G277">
        <f>IF(B277="", "", YEAR(B277))</f>
        <v>2024</v>
      </c>
      <c r="H277" t="s">
        <v>921</v>
      </c>
      <c r="I277" t="s">
        <v>112</v>
      </c>
      <c r="J277" t="s">
        <v>36</v>
      </c>
      <c r="K277" t="s">
        <v>37</v>
      </c>
      <c r="L277" t="s">
        <v>96</v>
      </c>
      <c r="M277" t="s">
        <v>97</v>
      </c>
      <c r="N277" t="s">
        <v>40</v>
      </c>
      <c r="O277" t="s">
        <v>56</v>
      </c>
      <c r="P277" t="s">
        <v>922</v>
      </c>
      <c r="Q277" t="s">
        <v>43</v>
      </c>
      <c r="R277">
        <v>1</v>
      </c>
      <c r="S277" s="15">
        <v>980.51</v>
      </c>
      <c r="T277" s="4">
        <v>0</v>
      </c>
      <c r="U277" s="3" t="str">
        <f>IF(T277&lt;0, "negative_discount", IF(AND(T277&gt;0.5, T277&lt;=1), "high_discount", ""))</f>
        <v/>
      </c>
      <c r="V277" s="11">
        <v>980.51</v>
      </c>
      <c r="W277" s="12">
        <v>980.51</v>
      </c>
      <c r="X277" s="11">
        <v>660.92</v>
      </c>
      <c r="Y277" s="11">
        <v>319.58999999999997</v>
      </c>
      <c r="Z277" s="11">
        <f>ROUND(W277-X277,2)</f>
        <v>319.58999999999997</v>
      </c>
      <c r="AA277" s="4">
        <f>IF(W277=0,0,Z277/W277)</f>
        <v>0.32594262169687199</v>
      </c>
      <c r="AB277" t="s">
        <v>31</v>
      </c>
      <c r="AC277" t="s">
        <v>32</v>
      </c>
      <c r="AD277" t="str">
        <f>IF(AND(E277="", T277&gt;=0, T277&lt;=0.5, K277&lt;&gt;"Unknown", Q277&lt;&gt;"Unknown"), "CLEAN", _xlfn.CONCAT("WARNING: ", IF(E277&lt;&gt;"","invalid_date",""), IF(T277&lt;0,"negative_discount",""), IF(AND(T277&gt;0.5,T277&lt;=1),"high_discount",""), IF(K277="Unknown","missing_region",""), IF(Q277="Unknown","missing_ship_mode","")))</f>
        <v>CLEAN</v>
      </c>
      <c r="AE277" t="str">
        <f>IF(COUNTIF($AF$2:$AF$926,AF277)&gt;1,"DUPLICATE","UNIQUE")</f>
        <v>UNIQUE</v>
      </c>
      <c r="AF277" t="str">
        <f>A277&amp;"|"&amp;B277&amp;"|"&amp;H277&amp;"|"&amp;I277&amp;"|"&amp;R277&amp;"|"&amp;S277&amp;"|"&amp;V277</f>
        <v>ORD-2024-10276|2024-02-15|CUST-2875|Priya Menon|1|980.51|980.51</v>
      </c>
      <c r="AG277" t="str">
        <f>IF(COUNTIF($A$2:$A$913,A277)&gt;1,"TRUE","FALSE")</f>
        <v>FALSE</v>
      </c>
    </row>
    <row r="278" spans="1:33" ht="16">
      <c r="A278" s="6" t="s">
        <v>923</v>
      </c>
      <c r="B278" t="s">
        <v>1312</v>
      </c>
      <c r="C278" t="s">
        <v>2923</v>
      </c>
      <c r="D278">
        <f>IF(OR(B278="", C278=""), "", (C278 - B278))</f>
        <v>1</v>
      </c>
      <c r="E278" t="str">
        <f>IF(C278&lt;B278, "INVALID: Ship date before order date", "")</f>
        <v/>
      </c>
      <c r="F278" t="str">
        <f>IF(B278="", "", TEXT(B278, "mmmm"))</f>
        <v>January</v>
      </c>
      <c r="G278">
        <f>IF(B278="", "", YEAR(B278))</f>
        <v>2024</v>
      </c>
      <c r="H278" t="s">
        <v>924</v>
      </c>
      <c r="I278" t="s">
        <v>126</v>
      </c>
      <c r="J278" t="s">
        <v>36</v>
      </c>
      <c r="K278" t="s">
        <v>2970</v>
      </c>
      <c r="L278" t="s">
        <v>163</v>
      </c>
      <c r="M278" t="s">
        <v>164</v>
      </c>
      <c r="N278" t="s">
        <v>40</v>
      </c>
      <c r="O278" t="s">
        <v>65</v>
      </c>
      <c r="P278" t="s">
        <v>925</v>
      </c>
      <c r="Q278" t="s">
        <v>30</v>
      </c>
      <c r="R278">
        <v>6</v>
      </c>
      <c r="S278" s="15">
        <v>3391.53</v>
      </c>
      <c r="T278" s="4">
        <v>-0.14000000000000001</v>
      </c>
      <c r="U278" s="3" t="str">
        <f>IF(T278&lt;0, "negative_discount", IF(AND(T278&gt;0.5, T278&lt;=1), "high_discount", ""))</f>
        <v>negative_discount</v>
      </c>
      <c r="V278" s="11">
        <v>15261.89</v>
      </c>
      <c r="W278" s="12">
        <v>23198.07</v>
      </c>
      <c r="X278" s="11">
        <v>8413.5300000000007</v>
      </c>
      <c r="Y278" s="11">
        <v>6848.36</v>
      </c>
      <c r="Z278" s="11">
        <f>ROUND(W278-X278,2)</f>
        <v>14784.54</v>
      </c>
      <c r="AA278" s="4">
        <f>IF(W278=0,0,Z278/W278)</f>
        <v>0.63731767340990009</v>
      </c>
      <c r="AB278" t="s">
        <v>31</v>
      </c>
      <c r="AC278" t="s">
        <v>32</v>
      </c>
      <c r="AD278" t="str">
        <f>IF(AND(E278="", T278&gt;=0, T278&lt;=0.5, K278&lt;&gt;"Unknown", Q278&lt;&gt;"Unknown"), "CLEAN", _xlfn.CONCAT("WARNING: ", IF(E278&lt;&gt;"","invalid_date",""), IF(T278&lt;0,"negative_discount",""), IF(AND(T278&gt;0.5,T278&lt;=1),"high_discount",""), IF(K278="Unknown","missing_region",""), IF(Q278="Unknown","missing_ship_mode","")))</f>
        <v>WARNING: negative_discountmissing_region</v>
      </c>
      <c r="AE278" t="str">
        <f>IF(COUNTIF($AF$2:$AF$926,AF278)&gt;1,"DUPLICATE","UNIQUE")</f>
        <v>UNIQUE</v>
      </c>
      <c r="AF278" t="str">
        <f>A278&amp;"|"&amp;B278&amp;"|"&amp;H278&amp;"|"&amp;I278&amp;"|"&amp;R278&amp;"|"&amp;S278&amp;"|"&amp;V278</f>
        <v>ORD-2024-10277|2024-01-22|CUST-7039|Aarav Sharma|6|3391.53|15261.89</v>
      </c>
      <c r="AG278" t="str">
        <f>IF(COUNTIF($A$2:$A$913,A278)&gt;1,"TRUE","FALSE")</f>
        <v>FALSE</v>
      </c>
    </row>
    <row r="279" spans="1:33">
      <c r="A279" t="s">
        <v>3095</v>
      </c>
      <c r="B279" t="s">
        <v>795</v>
      </c>
      <c r="C279" t="s">
        <v>795</v>
      </c>
      <c r="D279">
        <f>IF(OR(B279="", C279=""), "", (C279 - B279))</f>
        <v>0</v>
      </c>
      <c r="E279" t="str">
        <f>IF(C279&lt;B279, "INVALID: Ship date before order date", "")</f>
        <v/>
      </c>
      <c r="F279" t="str">
        <f>IF(B279="", "", TEXT(B279, "mmmm"))</f>
        <v>June</v>
      </c>
      <c r="G279">
        <f>IF(B279="", "", YEAR(B279))</f>
        <v>2025</v>
      </c>
      <c r="H279" t="s">
        <v>780</v>
      </c>
      <c r="I279" t="s">
        <v>46</v>
      </c>
      <c r="J279" t="s">
        <v>89</v>
      </c>
      <c r="K279" t="s">
        <v>24</v>
      </c>
      <c r="L279" t="s">
        <v>234</v>
      </c>
      <c r="M279" t="s">
        <v>235</v>
      </c>
      <c r="N279" t="s">
        <v>74</v>
      </c>
      <c r="O279" t="s">
        <v>75</v>
      </c>
      <c r="P279" t="s">
        <v>926</v>
      </c>
      <c r="Q279" t="s">
        <v>30</v>
      </c>
      <c r="R279">
        <v>1</v>
      </c>
      <c r="S279" s="15">
        <v>2133.73</v>
      </c>
      <c r="T279" s="4">
        <v>0.15</v>
      </c>
      <c r="U279" s="3" t="str">
        <f>IF(T279&lt;0, "negative_discount", IF(AND(T279&gt;0.5, T279&lt;=1), "high_discount", ""))</f>
        <v/>
      </c>
      <c r="V279" s="11">
        <v>2008.39</v>
      </c>
      <c r="W279" s="12">
        <v>1813.67</v>
      </c>
      <c r="X279" s="11">
        <v>1002.57</v>
      </c>
      <c r="Y279" s="11">
        <v>811.1</v>
      </c>
      <c r="Z279" s="11">
        <f>ROUND(W279-X279,2)</f>
        <v>811.1</v>
      </c>
      <c r="AA279" s="4">
        <f>IF(W279=0,0,Z279/W279)</f>
        <v>0.44721476343546512</v>
      </c>
      <c r="AB279" t="s">
        <v>109</v>
      </c>
      <c r="AC279" t="s">
        <v>67</v>
      </c>
      <c r="AD279" t="str">
        <f>IF(AND(E279="", T279&gt;=0, T279&lt;=0.5, K279&lt;&gt;"Unknown", Q279&lt;&gt;"Unknown"), "CLEAN", _xlfn.CONCAT("WARNING: ", IF(E279&lt;&gt;"","invalid_date",""), IF(T279&lt;0,"negative_discount",""), IF(AND(T279&gt;0.5,T279&lt;=1),"high_discount",""), IF(K279="Unknown","missing_region",""), IF(Q279="Unknown","missing_ship_mode","")))</f>
        <v>CLEAN</v>
      </c>
      <c r="AE279" t="str">
        <f>IF(COUNTIF($AF$2:$AF$926,AF279)&gt;1,"DUPLICATE","UNIQUE")</f>
        <v>UNIQUE</v>
      </c>
      <c r="AF279" t="str">
        <f>A279&amp;"|"&amp;B279&amp;"|"&amp;H279&amp;"|"&amp;I279&amp;"|"&amp;R279&amp;"|"&amp;S279&amp;"|"&amp;V279</f>
        <v>ORD-2025-10278|2025-06-04|CUST-2819|Isha Nair|1|2133.73|2008.39</v>
      </c>
      <c r="AG279" t="str">
        <f>IF(COUNTIF($A$2:$A$913,A279)&gt;1,"TRUE","FALSE")</f>
        <v>FALSE</v>
      </c>
    </row>
    <row r="280" spans="1:33">
      <c r="A280" t="s">
        <v>3096</v>
      </c>
      <c r="B280" t="s">
        <v>2309</v>
      </c>
      <c r="C280" t="s">
        <v>927</v>
      </c>
      <c r="D280">
        <f>IF(OR(B280="", C280=""), "", (C280 - B280))</f>
        <v>-111</v>
      </c>
      <c r="E280" t="str">
        <f>IF(C280&lt;B280, "INVALID: Ship date before order date", "")</f>
        <v>INVALID: Ship date before order date</v>
      </c>
      <c r="F280" t="str">
        <f>IF(B280="", "", TEXT(B280, "mmmm"))</f>
        <v>July</v>
      </c>
      <c r="G280">
        <f>IF(B280="", "", YEAR(B280))</f>
        <v>2025</v>
      </c>
      <c r="H280" t="s">
        <v>928</v>
      </c>
      <c r="I280" t="s">
        <v>112</v>
      </c>
      <c r="J280" t="s">
        <v>36</v>
      </c>
      <c r="K280" t="s">
        <v>24</v>
      </c>
      <c r="L280" t="s">
        <v>353</v>
      </c>
      <c r="M280" t="s">
        <v>354</v>
      </c>
      <c r="N280" t="s">
        <v>74</v>
      </c>
      <c r="O280" t="s">
        <v>75</v>
      </c>
      <c r="P280" t="s">
        <v>929</v>
      </c>
      <c r="Q280" t="s">
        <v>43</v>
      </c>
      <c r="R280">
        <v>1</v>
      </c>
      <c r="S280" s="15">
        <v>3979.64</v>
      </c>
      <c r="T280" s="4">
        <v>0.05</v>
      </c>
      <c r="U280" s="3" t="str">
        <f>IF(T280&lt;0, "negative_discount", IF(AND(T280&gt;0.5, T280&lt;=1), "high_discount", ""))</f>
        <v/>
      </c>
      <c r="V280" s="11">
        <v>3780.66</v>
      </c>
      <c r="W280" s="12">
        <v>3780.66</v>
      </c>
      <c r="X280" s="11">
        <v>2148.31</v>
      </c>
      <c r="Y280" s="11">
        <v>1632.35</v>
      </c>
      <c r="Z280" s="11">
        <f>ROUND(W280-X280,2)</f>
        <v>1632.35</v>
      </c>
      <c r="AA280" s="4">
        <f>IF(W280=0,0,Z280/W280)</f>
        <v>0.43176323710674858</v>
      </c>
      <c r="AB280" t="s">
        <v>31</v>
      </c>
      <c r="AC280" t="s">
        <v>100</v>
      </c>
      <c r="AD280" t="str">
        <f>IF(AND(E280="", T280&gt;=0, T280&lt;=0.5, K280&lt;&gt;"Unknown", Q280&lt;&gt;"Unknown"), "CLEAN", _xlfn.CONCAT("WARNING: ", IF(E280&lt;&gt;"","invalid_date",""), IF(T280&lt;0,"negative_discount",""), IF(AND(T280&gt;0.5,T280&lt;=1),"high_discount",""), IF(K280="Unknown","missing_region",""), IF(Q280="Unknown","missing_ship_mode","")))</f>
        <v>WARNING: invalid_date</v>
      </c>
      <c r="AE280" t="str">
        <f>IF(COUNTIF($AF$2:$AF$926,AF280)&gt;1,"DUPLICATE","UNIQUE")</f>
        <v>UNIQUE</v>
      </c>
      <c r="AF280" t="str">
        <f>A280&amp;"|"&amp;B280&amp;"|"&amp;H280&amp;"|"&amp;I280&amp;"|"&amp;R280&amp;"|"&amp;S280&amp;"|"&amp;V280</f>
        <v>ORD-2025-10279|2025-07-03|CUST-8242|Priya Menon|1|3979.64|3780.66</v>
      </c>
      <c r="AG280" t="str">
        <f>IF(COUNTIF($A$2:$A$913,A280)&gt;1,"TRUE","FALSE")</f>
        <v>FALSE</v>
      </c>
    </row>
    <row r="281" spans="1:33">
      <c r="A281" t="s">
        <v>930</v>
      </c>
      <c r="B281" t="s">
        <v>1574</v>
      </c>
      <c r="C281" t="s">
        <v>967</v>
      </c>
      <c r="D281">
        <f>IF(OR(B281="", C281=""), "", (C281 - B281))</f>
        <v>1</v>
      </c>
      <c r="E281" t="str">
        <f>IF(C281&lt;B281, "INVALID: Ship date before order date", "")</f>
        <v/>
      </c>
      <c r="F281" t="str">
        <f>IF(B281="", "", TEXT(B281, "mmmm"))</f>
        <v>April</v>
      </c>
      <c r="G281">
        <f>IF(B281="", "", YEAR(B281))</f>
        <v>2024</v>
      </c>
      <c r="H281" t="s">
        <v>931</v>
      </c>
      <c r="I281" t="s">
        <v>139</v>
      </c>
      <c r="J281" t="s">
        <v>36</v>
      </c>
      <c r="K281" t="s">
        <v>62</v>
      </c>
      <c r="L281" t="s">
        <v>63</v>
      </c>
      <c r="M281" t="s">
        <v>64</v>
      </c>
      <c r="N281" t="s">
        <v>27</v>
      </c>
      <c r="O281" t="s">
        <v>122</v>
      </c>
      <c r="P281" t="s">
        <v>932</v>
      </c>
      <c r="Q281" t="s">
        <v>49</v>
      </c>
      <c r="R281">
        <v>1</v>
      </c>
      <c r="S281" s="15">
        <v>4359.12</v>
      </c>
      <c r="T281" s="4">
        <v>0.05</v>
      </c>
      <c r="U281" s="3" t="str">
        <f>IF(T281&lt;0, "negative_discount", IF(AND(T281&gt;0.5, T281&lt;=1), "high_discount", ""))</f>
        <v/>
      </c>
      <c r="V281" s="11">
        <v>4141.16</v>
      </c>
      <c r="W281" s="12">
        <v>4141.16</v>
      </c>
      <c r="X281" s="11">
        <v>2754.17</v>
      </c>
      <c r="Y281" s="11">
        <v>1386.99</v>
      </c>
      <c r="Z281" s="11">
        <f>ROUND(W281-X281,2)</f>
        <v>1386.99</v>
      </c>
      <c r="AA281" s="4">
        <f>IF(W281=0,0,Z281/W281)</f>
        <v>0.33492789459958083</v>
      </c>
      <c r="AB281" t="s">
        <v>31</v>
      </c>
      <c r="AC281" t="s">
        <v>32</v>
      </c>
      <c r="AD281" t="str">
        <f>IF(AND(E281="", T281&gt;=0, T281&lt;=0.5, K281&lt;&gt;"Unknown", Q281&lt;&gt;"Unknown"), "CLEAN", _xlfn.CONCAT("WARNING: ", IF(E281&lt;&gt;"","invalid_date",""), IF(T281&lt;0,"negative_discount",""), IF(AND(T281&gt;0.5,T281&lt;=1),"high_discount",""), IF(K281="Unknown","missing_region",""), IF(Q281="Unknown","missing_ship_mode","")))</f>
        <v>CLEAN</v>
      </c>
      <c r="AE281" t="str">
        <f>IF(COUNTIF($AF$2:$AF$926,AF281)&gt;1,"DUPLICATE","UNIQUE")</f>
        <v>UNIQUE</v>
      </c>
      <c r="AF281" t="str">
        <f>A281&amp;"|"&amp;B281&amp;"|"&amp;H281&amp;"|"&amp;I281&amp;"|"&amp;R281&amp;"|"&amp;S281&amp;"|"&amp;V281</f>
        <v>ORD-2024-10280|2024-04-09|CUST-4571|Rohan Mehta|1|4359.12|4141.16</v>
      </c>
      <c r="AG281" t="str">
        <f>IF(COUNTIF($A$2:$A$913,A281)&gt;1,"TRUE","FALSE")</f>
        <v>FALSE</v>
      </c>
    </row>
    <row r="282" spans="1:33">
      <c r="A282" t="s">
        <v>933</v>
      </c>
      <c r="B282" t="s">
        <v>304</v>
      </c>
      <c r="C282" t="s">
        <v>2924</v>
      </c>
      <c r="D282">
        <f>IF(OR(B282="", C282=""), "", (C282 - B282))</f>
        <v>3</v>
      </c>
      <c r="E282" t="str">
        <f>IF(C282&lt;B282, "INVALID: Ship date before order date", "")</f>
        <v/>
      </c>
      <c r="F282" t="str">
        <f>IF(B282="", "", TEXT(B282, "mmmm"))</f>
        <v>December</v>
      </c>
      <c r="G282">
        <f>IF(B282="", "", YEAR(B282))</f>
        <v>2024</v>
      </c>
      <c r="H282" t="s">
        <v>934</v>
      </c>
      <c r="I282" t="s">
        <v>88</v>
      </c>
      <c r="J282" t="s">
        <v>23</v>
      </c>
      <c r="K282" t="s">
        <v>53</v>
      </c>
      <c r="L282" t="s">
        <v>171</v>
      </c>
      <c r="M282" t="s">
        <v>172</v>
      </c>
      <c r="N282" t="s">
        <v>74</v>
      </c>
      <c r="O282" t="s">
        <v>79</v>
      </c>
      <c r="P282" t="s">
        <v>935</v>
      </c>
      <c r="Q282" t="s">
        <v>58</v>
      </c>
      <c r="R282">
        <v>9</v>
      </c>
      <c r="S282" s="15">
        <v>993.67</v>
      </c>
      <c r="T282" s="4">
        <v>0</v>
      </c>
      <c r="U282" s="3" t="str">
        <f>IF(T282&lt;0, "negative_discount", IF(AND(T282&gt;0.5, T282&lt;=1), "high_discount", ""))</f>
        <v/>
      </c>
      <c r="V282" s="11">
        <v>8943.0300000000007</v>
      </c>
      <c r="W282" s="12">
        <v>8943.0300000000007</v>
      </c>
      <c r="X282" s="11">
        <v>5165.38</v>
      </c>
      <c r="Y282" s="11">
        <v>3777.65</v>
      </c>
      <c r="Z282" s="11">
        <f>ROUND(W282-X282,2)</f>
        <v>3777.65</v>
      </c>
      <c r="AA282" s="4">
        <f>IF(W282=0,0,Z282/W282)</f>
        <v>0.42241276167026165</v>
      </c>
      <c r="AB282" t="s">
        <v>31</v>
      </c>
      <c r="AC282" t="s">
        <v>32</v>
      </c>
      <c r="AD282" t="str">
        <f>IF(AND(E282="", T282&gt;=0, T282&lt;=0.5, K282&lt;&gt;"Unknown", Q282&lt;&gt;"Unknown"), "CLEAN", _xlfn.CONCAT("WARNING: ", IF(E282&lt;&gt;"","invalid_date",""), IF(T282&lt;0,"negative_discount",""), IF(AND(T282&gt;0.5,T282&lt;=1),"high_discount",""), IF(K282="Unknown","missing_region",""), IF(Q282="Unknown","missing_ship_mode","")))</f>
        <v>CLEAN</v>
      </c>
      <c r="AE282" t="str">
        <f>IF(COUNTIF($AF$2:$AF$926,AF282)&gt;1,"DUPLICATE","UNIQUE")</f>
        <v>UNIQUE</v>
      </c>
      <c r="AF282" t="str">
        <f>A282&amp;"|"&amp;B282&amp;"|"&amp;H282&amp;"|"&amp;I282&amp;"|"&amp;R282&amp;"|"&amp;S282&amp;"|"&amp;V282</f>
        <v>ORD-2024-10281|2024-12-23|CUST-4098|Aditi Sen|9|993.67|8943.03</v>
      </c>
      <c r="AG282" t="str">
        <f>IF(COUNTIF($A$2:$A$913,A282)&gt;1,"TRUE","FALSE")</f>
        <v>FALSE</v>
      </c>
    </row>
    <row r="283" spans="1:33">
      <c r="A283" t="s">
        <v>3097</v>
      </c>
      <c r="B283" t="s">
        <v>2762</v>
      </c>
      <c r="C283" t="s">
        <v>2925</v>
      </c>
      <c r="D283">
        <f>IF(OR(B283="", C283=""), "", (C283 - B283))</f>
        <v>2</v>
      </c>
      <c r="E283" t="str">
        <f>IF(C283&lt;B283, "INVALID: Ship date before order date", "")</f>
        <v/>
      </c>
      <c r="F283" t="str">
        <f>IF(B283="", "", TEXT(B283, "mmmm"))</f>
        <v>July</v>
      </c>
      <c r="G283">
        <f>IF(B283="", "", YEAR(B283))</f>
        <v>2025</v>
      </c>
      <c r="H283" t="s">
        <v>936</v>
      </c>
      <c r="I283" t="s">
        <v>263</v>
      </c>
      <c r="J283" t="s">
        <v>23</v>
      </c>
      <c r="K283" t="s">
        <v>37</v>
      </c>
      <c r="L283" t="s">
        <v>226</v>
      </c>
      <c r="M283" t="s">
        <v>227</v>
      </c>
      <c r="N283" t="s">
        <v>27</v>
      </c>
      <c r="O283" t="s">
        <v>149</v>
      </c>
      <c r="P283" t="s">
        <v>937</v>
      </c>
      <c r="Q283" t="s">
        <v>30</v>
      </c>
      <c r="R283">
        <v>6</v>
      </c>
      <c r="S283" s="15">
        <v>3438.38</v>
      </c>
      <c r="T283" s="4">
        <v>0.2</v>
      </c>
      <c r="U283" s="3" t="str">
        <f>IF(T283&lt;0, "negative_discount", IF(AND(T283&gt;0.5, T283&lt;=1), "high_discount", ""))</f>
        <v/>
      </c>
      <c r="V283" s="11">
        <v>16504.22</v>
      </c>
      <c r="W283" s="12">
        <v>16504.22</v>
      </c>
      <c r="X283" s="11">
        <v>11262.71</v>
      </c>
      <c r="Y283" s="11">
        <v>5241.51</v>
      </c>
      <c r="Z283" s="11">
        <f>ROUND(W283-X283,2)</f>
        <v>5241.51</v>
      </c>
      <c r="AA283" s="4">
        <f>IF(W283=0,0,Z283/W283)</f>
        <v>0.31758604768962118</v>
      </c>
      <c r="AB283" t="s">
        <v>31</v>
      </c>
      <c r="AC283" t="s">
        <v>32</v>
      </c>
      <c r="AD283" t="str">
        <f>IF(AND(E283="", T283&gt;=0, T283&lt;=0.5, K283&lt;&gt;"Unknown", Q283&lt;&gt;"Unknown"), "CLEAN", _xlfn.CONCAT("WARNING: ", IF(E283&lt;&gt;"","invalid_date",""), IF(T283&lt;0,"negative_discount",""), IF(AND(T283&gt;0.5,T283&lt;=1),"high_discount",""), IF(K283="Unknown","missing_region",""), IF(Q283="Unknown","missing_ship_mode","")))</f>
        <v>CLEAN</v>
      </c>
      <c r="AE283" t="str">
        <f>IF(COUNTIF($AF$2:$AF$926,AF283)&gt;1,"DUPLICATE","UNIQUE")</f>
        <v>UNIQUE</v>
      </c>
      <c r="AF283" t="str">
        <f>A283&amp;"|"&amp;B283&amp;"|"&amp;H283&amp;"|"&amp;I283&amp;"|"&amp;R283&amp;"|"&amp;S283&amp;"|"&amp;V283</f>
        <v>ORD-2025-10282|2025-07-25|CUST-2052|Kabir Singh|6|3438.38|16504.22</v>
      </c>
      <c r="AG283" t="str">
        <f>IF(COUNTIF($A$2:$A$913,A283)&gt;1,"TRUE","FALSE")</f>
        <v>FALSE</v>
      </c>
    </row>
    <row r="284" spans="1:33">
      <c r="A284" t="s">
        <v>938</v>
      </c>
      <c r="B284" t="s">
        <v>939</v>
      </c>
      <c r="C284" t="s">
        <v>2853</v>
      </c>
      <c r="D284">
        <f>IF(OR(B284="", C284=""), "", (C284 - B284))</f>
        <v>1</v>
      </c>
      <c r="E284" t="str">
        <f>IF(C284&lt;B284, "INVALID: Ship date before order date", "")</f>
        <v/>
      </c>
      <c r="F284" t="str">
        <f>IF(B284="", "", TEXT(B284, "mmmm"))</f>
        <v>October</v>
      </c>
      <c r="G284">
        <f>IF(B284="", "", YEAR(B284))</f>
        <v>2024</v>
      </c>
      <c r="H284" t="s">
        <v>940</v>
      </c>
      <c r="I284" t="s">
        <v>22</v>
      </c>
      <c r="J284" t="s">
        <v>93</v>
      </c>
      <c r="K284" t="s">
        <v>37</v>
      </c>
      <c r="L284" t="s">
        <v>163</v>
      </c>
      <c r="M284" t="s">
        <v>164</v>
      </c>
      <c r="N284" t="s">
        <v>40</v>
      </c>
      <c r="O284" t="s">
        <v>41</v>
      </c>
      <c r="P284" t="s">
        <v>941</v>
      </c>
      <c r="Q284" t="s">
        <v>30</v>
      </c>
      <c r="R284">
        <v>2</v>
      </c>
      <c r="S284" s="15">
        <v>2298</v>
      </c>
      <c r="T284" s="4">
        <v>0</v>
      </c>
      <c r="U284" s="3" t="str">
        <f>IF(T284&lt;0, "negative_discount", IF(AND(T284&gt;0.5, T284&lt;=1), "high_discount", ""))</f>
        <v/>
      </c>
      <c r="V284" s="11">
        <v>4596</v>
      </c>
      <c r="W284" s="12">
        <v>4596</v>
      </c>
      <c r="X284" s="11">
        <v>3220.33</v>
      </c>
      <c r="Y284" s="11">
        <v>1375.67</v>
      </c>
      <c r="Z284" s="11">
        <f>ROUND(W284-X284,2)</f>
        <v>1375.67</v>
      </c>
      <c r="AA284" s="4">
        <f>IF(W284=0,0,Z284/W284)</f>
        <v>0.29931897302001742</v>
      </c>
      <c r="AB284" t="s">
        <v>31</v>
      </c>
      <c r="AC284" t="s">
        <v>32</v>
      </c>
      <c r="AD284" t="str">
        <f>IF(AND(E284="", T284&gt;=0, T284&lt;=0.5, K284&lt;&gt;"Unknown", Q284&lt;&gt;"Unknown"), "CLEAN", _xlfn.CONCAT("WARNING: ", IF(E284&lt;&gt;"","invalid_date",""), IF(T284&lt;0,"negative_discount",""), IF(AND(T284&gt;0.5,T284&lt;=1),"high_discount",""), IF(K284="Unknown","missing_region",""), IF(Q284="Unknown","missing_ship_mode","")))</f>
        <v>CLEAN</v>
      </c>
      <c r="AE284" t="str">
        <f>IF(COUNTIF($AF$2:$AF$926,AF284)&gt;1,"DUPLICATE","UNIQUE")</f>
        <v>UNIQUE</v>
      </c>
      <c r="AF284" t="str">
        <f>A284&amp;"|"&amp;B284&amp;"|"&amp;H284&amp;"|"&amp;I284&amp;"|"&amp;R284&amp;"|"&amp;S284&amp;"|"&amp;V284</f>
        <v>ORD-2024-10283|2024-10-01|CUST-9445|Karan Malhotra|2|2298|4596</v>
      </c>
      <c r="AG284" t="str">
        <f>IF(COUNTIF($A$2:$A$913,A284)&gt;1,"TRUE","FALSE")</f>
        <v>FALSE</v>
      </c>
    </row>
    <row r="285" spans="1:33">
      <c r="A285" t="s">
        <v>3098</v>
      </c>
      <c r="B285" t="s">
        <v>2763</v>
      </c>
      <c r="C285" t="s">
        <v>2866</v>
      </c>
      <c r="D285">
        <f>IF(OR(B285="", C285=""), "", (C285 - B285))</f>
        <v>7</v>
      </c>
      <c r="E285" t="str">
        <f>IF(C285&lt;B285, "INVALID: Ship date before order date", "")</f>
        <v/>
      </c>
      <c r="F285" t="str">
        <f>IF(B285="", "", TEXT(B285, "mmmm"))</f>
        <v>March</v>
      </c>
      <c r="G285">
        <f>IF(B285="", "", YEAR(B285))</f>
        <v>2025</v>
      </c>
      <c r="H285" t="s">
        <v>942</v>
      </c>
      <c r="I285" t="s">
        <v>71</v>
      </c>
      <c r="J285" t="s">
        <v>23</v>
      </c>
      <c r="K285" t="s">
        <v>62</v>
      </c>
      <c r="L285" t="s">
        <v>63</v>
      </c>
      <c r="M285" t="s">
        <v>64</v>
      </c>
      <c r="N285" t="s">
        <v>40</v>
      </c>
      <c r="O285" t="s">
        <v>56</v>
      </c>
      <c r="P285" t="s">
        <v>943</v>
      </c>
      <c r="Q285" t="s">
        <v>49</v>
      </c>
      <c r="R285">
        <v>1</v>
      </c>
      <c r="S285" s="15">
        <v>1814.01</v>
      </c>
      <c r="T285" s="4">
        <v>0</v>
      </c>
      <c r="U285" s="3" t="str">
        <f>IF(T285&lt;0, "negative_discount", IF(AND(T285&gt;0.5, T285&lt;=1), "high_discount", ""))</f>
        <v/>
      </c>
      <c r="V285" s="11">
        <v>1814.01</v>
      </c>
      <c r="W285" s="12">
        <v>1814.01</v>
      </c>
      <c r="X285" s="11">
        <v>1033.47</v>
      </c>
      <c r="Y285" s="11">
        <v>780.54</v>
      </c>
      <c r="Z285" s="11">
        <f>ROUND(W285-X285,2)</f>
        <v>780.54</v>
      </c>
      <c r="AA285" s="4">
        <f>IF(W285=0,0,Z285/W285)</f>
        <v>0.43028428729720342</v>
      </c>
      <c r="AB285" t="s">
        <v>31</v>
      </c>
      <c r="AC285" t="s">
        <v>32</v>
      </c>
      <c r="AD285" t="str">
        <f>IF(AND(E285="", T285&gt;=0, T285&lt;=0.5, K285&lt;&gt;"Unknown", Q285&lt;&gt;"Unknown"), "CLEAN", _xlfn.CONCAT("WARNING: ", IF(E285&lt;&gt;"","invalid_date",""), IF(T285&lt;0,"negative_discount",""), IF(AND(T285&gt;0.5,T285&lt;=1),"high_discount",""), IF(K285="Unknown","missing_region",""), IF(Q285="Unknown","missing_ship_mode","")))</f>
        <v>CLEAN</v>
      </c>
      <c r="AE285" t="str">
        <f>IF(COUNTIF($AF$2:$AF$926,AF285)&gt;1,"DUPLICATE","UNIQUE")</f>
        <v>UNIQUE</v>
      </c>
      <c r="AF285" t="str">
        <f>A285&amp;"|"&amp;B285&amp;"|"&amp;H285&amp;"|"&amp;I285&amp;"|"&amp;R285&amp;"|"&amp;S285&amp;"|"&amp;V285</f>
        <v>ORD-2025-10284|2025-03-13|CUST-6568|Vikram Iyer|1|1814.01|1814.01</v>
      </c>
      <c r="AG285" t="str">
        <f>IF(COUNTIF($A$2:$A$913,A285)&gt;1,"TRUE","FALSE")</f>
        <v>FALSE</v>
      </c>
    </row>
    <row r="286" spans="1:33">
      <c r="A286" t="s">
        <v>944</v>
      </c>
      <c r="B286" t="s">
        <v>2689</v>
      </c>
      <c r="C286" t="s">
        <v>2926</v>
      </c>
      <c r="D286">
        <f>IF(OR(B286="", C286=""), "", (C286 - B286))</f>
        <v>6</v>
      </c>
      <c r="E286" t="str">
        <f>IF(C286&lt;B286, "INVALID: Ship date before order date", "")</f>
        <v/>
      </c>
      <c r="F286" t="str">
        <f>IF(B286="", "", TEXT(B286, "mmmm"))</f>
        <v>December</v>
      </c>
      <c r="G286">
        <f>IF(B286="", "", YEAR(B286))</f>
        <v>2024</v>
      </c>
      <c r="H286" t="s">
        <v>945</v>
      </c>
      <c r="I286" t="s">
        <v>22</v>
      </c>
      <c r="J286" t="s">
        <v>23</v>
      </c>
      <c r="K286" t="s">
        <v>37</v>
      </c>
      <c r="L286" t="s">
        <v>38</v>
      </c>
      <c r="M286" t="s">
        <v>39</v>
      </c>
      <c r="N286" t="s">
        <v>40</v>
      </c>
      <c r="O286" t="s">
        <v>41</v>
      </c>
      <c r="P286" t="s">
        <v>946</v>
      </c>
      <c r="Q286" t="s">
        <v>43</v>
      </c>
      <c r="R286">
        <v>3</v>
      </c>
      <c r="S286" s="15">
        <v>1576.92</v>
      </c>
      <c r="T286" s="4">
        <v>0</v>
      </c>
      <c r="U286" s="3" t="str">
        <f>IF(T286&lt;0, "negative_discount", IF(AND(T286&gt;0.5, T286&lt;=1), "high_discount", ""))</f>
        <v/>
      </c>
      <c r="V286" s="11">
        <v>4730.76</v>
      </c>
      <c r="W286" s="12">
        <v>4730.76</v>
      </c>
      <c r="X286" s="11">
        <v>3139.73</v>
      </c>
      <c r="Y286" s="11">
        <v>1591.03</v>
      </c>
      <c r="Z286" s="11">
        <f>ROUND(W286-X286,2)</f>
        <v>1591.03</v>
      </c>
      <c r="AA286" s="4">
        <f>IF(W286=0,0,Z286/W286)</f>
        <v>0.3363159407790714</v>
      </c>
      <c r="AB286" t="s">
        <v>31</v>
      </c>
      <c r="AC286" t="s">
        <v>100</v>
      </c>
      <c r="AD286" t="str">
        <f>IF(AND(E286="", T286&gt;=0, T286&lt;=0.5, K286&lt;&gt;"Unknown", Q286&lt;&gt;"Unknown"), "CLEAN", _xlfn.CONCAT("WARNING: ", IF(E286&lt;&gt;"","invalid_date",""), IF(T286&lt;0,"negative_discount",""), IF(AND(T286&gt;0.5,T286&lt;=1),"high_discount",""), IF(K286="Unknown","missing_region",""), IF(Q286="Unknown","missing_ship_mode","")))</f>
        <v>CLEAN</v>
      </c>
      <c r="AE286" t="str">
        <f>IF(COUNTIF($AF$2:$AF$926,AF286)&gt;1,"DUPLICATE","UNIQUE")</f>
        <v>UNIQUE</v>
      </c>
      <c r="AF286" t="str">
        <f>A286&amp;"|"&amp;B286&amp;"|"&amp;H286&amp;"|"&amp;I286&amp;"|"&amp;R286&amp;"|"&amp;S286&amp;"|"&amp;V286</f>
        <v>ORD-2024-10285|2024-12-08|CUST-2076|Karan Malhotra|3|1576.92|4730.76</v>
      </c>
      <c r="AG286" t="str">
        <f>IF(COUNTIF($A$2:$A$913,A286)&gt;1,"TRUE","FALSE")</f>
        <v>FALSE</v>
      </c>
    </row>
    <row r="287" spans="1:33">
      <c r="A287" t="s">
        <v>3099</v>
      </c>
      <c r="B287" t="s">
        <v>947</v>
      </c>
      <c r="C287" t="s">
        <v>948</v>
      </c>
      <c r="D287">
        <f>IF(OR(B287="", C287=""), "", (C287 - B287))</f>
        <v>5</v>
      </c>
      <c r="E287" t="str">
        <f>IF(C287&lt;B287, "INVALID: Ship date before order date", "")</f>
        <v/>
      </c>
      <c r="F287" t="str">
        <f>IF(B287="", "", TEXT(B287, "mmmm"))</f>
        <v>August</v>
      </c>
      <c r="G287">
        <f>IF(B287="", "", YEAR(B287))</f>
        <v>2025</v>
      </c>
      <c r="H287" t="s">
        <v>949</v>
      </c>
      <c r="I287" t="s">
        <v>78</v>
      </c>
      <c r="J287" t="s">
        <v>93</v>
      </c>
      <c r="K287" t="s">
        <v>24</v>
      </c>
      <c r="L287" t="s">
        <v>25</v>
      </c>
      <c r="M287" t="s">
        <v>26</v>
      </c>
      <c r="N287" t="s">
        <v>27</v>
      </c>
      <c r="O287" t="s">
        <v>122</v>
      </c>
      <c r="P287" t="s">
        <v>950</v>
      </c>
      <c r="Q287" t="s">
        <v>58</v>
      </c>
      <c r="R287">
        <v>9</v>
      </c>
      <c r="S287" s="15">
        <v>4081.77</v>
      </c>
      <c r="T287" s="4">
        <v>0</v>
      </c>
      <c r="U287" s="3" t="str">
        <f>IF(T287&lt;0, "negative_discount", IF(AND(T287&gt;0.5, T287&lt;=1), "high_discount", ""))</f>
        <v/>
      </c>
      <c r="V287" s="11">
        <v>36735.93</v>
      </c>
      <c r="W287" s="12">
        <v>36735.93</v>
      </c>
      <c r="X287" s="11">
        <v>30820.84</v>
      </c>
      <c r="Y287" s="11">
        <v>5915.09</v>
      </c>
      <c r="Z287" s="11">
        <f>ROUND(W287-X287,2)</f>
        <v>5915.09</v>
      </c>
      <c r="AA287" s="4">
        <f>IF(W287=0,0,Z287/W287)</f>
        <v>0.16101647624001897</v>
      </c>
      <c r="AB287" t="s">
        <v>31</v>
      </c>
      <c r="AC287" t="s">
        <v>32</v>
      </c>
      <c r="AD287" t="str">
        <f>IF(AND(E287="", T287&gt;=0, T287&lt;=0.5, K287&lt;&gt;"Unknown", Q287&lt;&gt;"Unknown"), "CLEAN", _xlfn.CONCAT("WARNING: ", IF(E287&lt;&gt;"","invalid_date",""), IF(T287&lt;0,"negative_discount",""), IF(AND(T287&gt;0.5,T287&lt;=1),"high_discount",""), IF(K287="Unknown","missing_region",""), IF(Q287="Unknown","missing_ship_mode","")))</f>
        <v>CLEAN</v>
      </c>
      <c r="AE287" t="str">
        <f>IF(COUNTIF($AF$2:$AF$926,AF287)&gt;1,"DUPLICATE","UNIQUE")</f>
        <v>UNIQUE</v>
      </c>
      <c r="AF287" t="str">
        <f>A287&amp;"|"&amp;B287&amp;"|"&amp;H287&amp;"|"&amp;I287&amp;"|"&amp;R287&amp;"|"&amp;S287&amp;"|"&amp;V287</f>
        <v>ORD-2025-10286|2025-08-15|CUST-5610|Neha Gupta|9|4081.77|36735.93</v>
      </c>
      <c r="AG287" t="str">
        <f>IF(COUNTIF($A$2:$A$913,A287)&gt;1,"TRUE","FALSE")</f>
        <v>FALSE</v>
      </c>
    </row>
    <row r="288" spans="1:33">
      <c r="A288" t="s">
        <v>951</v>
      </c>
      <c r="B288" t="s">
        <v>2764</v>
      </c>
      <c r="C288" t="s">
        <v>2927</v>
      </c>
      <c r="D288">
        <f>IF(OR(B288="", C288=""), "", (C288 - B288))</f>
        <v>3</v>
      </c>
      <c r="E288" t="str">
        <f>IF(C288&lt;B288, "INVALID: Ship date before order date", "")</f>
        <v/>
      </c>
      <c r="F288" t="str">
        <f>IF(B288="", "", TEXT(B288, "mmmm"))</f>
        <v>February</v>
      </c>
      <c r="G288">
        <f>IF(B288="", "", YEAR(B288))</f>
        <v>2024</v>
      </c>
      <c r="H288" t="s">
        <v>952</v>
      </c>
      <c r="I288" t="s">
        <v>112</v>
      </c>
      <c r="J288" t="s">
        <v>36</v>
      </c>
      <c r="K288" t="s">
        <v>24</v>
      </c>
      <c r="L288" t="s">
        <v>353</v>
      </c>
      <c r="M288" t="s">
        <v>354</v>
      </c>
      <c r="N288" t="s">
        <v>40</v>
      </c>
      <c r="O288" t="s">
        <v>56</v>
      </c>
      <c r="P288" t="s">
        <v>953</v>
      </c>
      <c r="Q288" t="s">
        <v>49</v>
      </c>
      <c r="R288">
        <v>7</v>
      </c>
      <c r="S288" s="15">
        <v>701.8</v>
      </c>
      <c r="T288" s="4">
        <v>0.1</v>
      </c>
      <c r="U288" s="3" t="str">
        <f>IF(T288&lt;0, "negative_discount", IF(AND(T288&gt;0.5, T288&lt;=1), "high_discount", ""))</f>
        <v/>
      </c>
      <c r="V288" s="11">
        <v>4421.34</v>
      </c>
      <c r="W288" s="12">
        <v>4421.34</v>
      </c>
      <c r="X288" s="11">
        <v>2489.98</v>
      </c>
      <c r="Y288" s="11">
        <v>1931.36</v>
      </c>
      <c r="Z288" s="11">
        <f>ROUND(W288-X288,2)</f>
        <v>1931.36</v>
      </c>
      <c r="AA288" s="4">
        <f>IF(W288=0,0,Z288/W288)</f>
        <v>0.43682684435035529</v>
      </c>
      <c r="AB288" t="s">
        <v>109</v>
      </c>
      <c r="AC288" t="s">
        <v>100</v>
      </c>
      <c r="AD288" t="str">
        <f>IF(AND(E288="", T288&gt;=0, T288&lt;=0.5, K288&lt;&gt;"Unknown", Q288&lt;&gt;"Unknown"), "CLEAN", _xlfn.CONCAT("WARNING: ", IF(E288&lt;&gt;"","invalid_date",""), IF(T288&lt;0,"negative_discount",""), IF(AND(T288&gt;0.5,T288&lt;=1),"high_discount",""), IF(K288="Unknown","missing_region",""), IF(Q288="Unknown","missing_ship_mode","")))</f>
        <v>CLEAN</v>
      </c>
      <c r="AE288" t="str">
        <f>IF(COUNTIF($AF$2:$AF$926,AF288)&gt;1,"DUPLICATE","UNIQUE")</f>
        <v>UNIQUE</v>
      </c>
      <c r="AF288" t="str">
        <f>A288&amp;"|"&amp;B288&amp;"|"&amp;H288&amp;"|"&amp;I288&amp;"|"&amp;R288&amp;"|"&amp;S288&amp;"|"&amp;V288</f>
        <v>ORD-2024-10287|2024-02-28|CUST-5823|Priya Menon|7|701.8|4421.34</v>
      </c>
      <c r="AG288" t="str">
        <f>IF(COUNTIF($A$2:$A$913,A288)&gt;1,"TRUE","FALSE")</f>
        <v>FALSE</v>
      </c>
    </row>
    <row r="289" spans="1:33">
      <c r="A289" t="s">
        <v>954</v>
      </c>
      <c r="B289" t="s">
        <v>2061</v>
      </c>
      <c r="C289" t="s">
        <v>2676</v>
      </c>
      <c r="D289">
        <f>IF(OR(B289="", C289=""), "", (C289 - B289))</f>
        <v>-58</v>
      </c>
      <c r="E289" t="str">
        <f>IF(C289&lt;B289, "INVALID: Ship date before order date", "")</f>
        <v>INVALID: Ship date before order date</v>
      </c>
      <c r="F289" t="str">
        <f>IF(B289="", "", TEXT(B289, "mmmm"))</f>
        <v>September</v>
      </c>
      <c r="G289">
        <f>IF(B289="", "", YEAR(B289))</f>
        <v>2024</v>
      </c>
      <c r="H289" t="s">
        <v>955</v>
      </c>
      <c r="I289" t="s">
        <v>78</v>
      </c>
      <c r="J289" t="s">
        <v>36</v>
      </c>
      <c r="K289" t="s">
        <v>53</v>
      </c>
      <c r="L289" t="s">
        <v>246</v>
      </c>
      <c r="M289" t="s">
        <v>247</v>
      </c>
      <c r="N289" t="s">
        <v>74</v>
      </c>
      <c r="O289" t="s">
        <v>79</v>
      </c>
      <c r="P289" t="s">
        <v>956</v>
      </c>
      <c r="Q289" t="s">
        <v>58</v>
      </c>
      <c r="R289">
        <v>3</v>
      </c>
      <c r="S289" s="15">
        <v>2555.66</v>
      </c>
      <c r="T289" s="4">
        <v>0.15</v>
      </c>
      <c r="U289" s="3" t="str">
        <f>IF(T289&lt;0, "negative_discount", IF(AND(T289&gt;0.5, T289&lt;=1), "high_discount", ""))</f>
        <v/>
      </c>
      <c r="V289" s="11">
        <v>6516.93</v>
      </c>
      <c r="W289" s="12">
        <v>6516.93</v>
      </c>
      <c r="X289" s="11">
        <v>4511.54</v>
      </c>
      <c r="Y289" s="11">
        <v>2005.39</v>
      </c>
      <c r="Z289" s="11">
        <f>ROUND(W289-X289,2)</f>
        <v>2005.39</v>
      </c>
      <c r="AA289" s="4">
        <f>IF(W289=0,0,Z289/W289)</f>
        <v>0.30772004609532405</v>
      </c>
      <c r="AB289" t="s">
        <v>31</v>
      </c>
      <c r="AC289" t="s">
        <v>67</v>
      </c>
      <c r="AD289" t="str">
        <f>IF(AND(E289="", T289&gt;=0, T289&lt;=0.5, K289&lt;&gt;"Unknown", Q289&lt;&gt;"Unknown"), "CLEAN", _xlfn.CONCAT("WARNING: ", IF(E289&lt;&gt;"","invalid_date",""), IF(T289&lt;0,"negative_discount",""), IF(AND(T289&gt;0.5,T289&lt;=1),"high_discount",""), IF(K289="Unknown","missing_region",""), IF(Q289="Unknown","missing_ship_mode","")))</f>
        <v>WARNING: invalid_date</v>
      </c>
      <c r="AE289" t="str">
        <f>IF(COUNTIF($AF$2:$AF$926,AF289)&gt;1,"DUPLICATE","UNIQUE")</f>
        <v>UNIQUE</v>
      </c>
      <c r="AF289" t="str">
        <f>A289&amp;"|"&amp;B289&amp;"|"&amp;H289&amp;"|"&amp;I289&amp;"|"&amp;R289&amp;"|"&amp;S289&amp;"|"&amp;V289</f>
        <v>ORD-2024-10288|2024-09-05|CUST-7095|Neha Gupta|3|2555.66|6516.93</v>
      </c>
      <c r="AG289" t="str">
        <f>IF(COUNTIF($A$2:$A$913,A289)&gt;1,"TRUE","FALSE")</f>
        <v>FALSE</v>
      </c>
    </row>
    <row r="290" spans="1:33">
      <c r="A290" t="s">
        <v>957</v>
      </c>
      <c r="B290" t="s">
        <v>958</v>
      </c>
      <c r="C290" t="s">
        <v>958</v>
      </c>
      <c r="D290">
        <f>IF(OR(B290="", C290=""), "", (C290 - B290))</f>
        <v>0</v>
      </c>
      <c r="E290" t="str">
        <f>IF(C290&lt;B290, "INVALID: Ship date before order date", "")</f>
        <v/>
      </c>
      <c r="F290" t="str">
        <f>IF(B290="", "", TEXT(B290, "mmmm"))</f>
        <v>June</v>
      </c>
      <c r="G290">
        <f>IF(B290="", "", YEAR(B290))</f>
        <v>2024</v>
      </c>
      <c r="H290" t="s">
        <v>959</v>
      </c>
      <c r="I290" t="s">
        <v>139</v>
      </c>
      <c r="J290" t="s">
        <v>36</v>
      </c>
      <c r="K290" t="s">
        <v>37</v>
      </c>
      <c r="L290" t="s">
        <v>142</v>
      </c>
      <c r="M290" t="s">
        <v>143</v>
      </c>
      <c r="N290" t="s">
        <v>27</v>
      </c>
      <c r="O290" t="s">
        <v>149</v>
      </c>
      <c r="P290" t="s">
        <v>960</v>
      </c>
      <c r="Q290" t="s">
        <v>43</v>
      </c>
      <c r="R290">
        <v>2</v>
      </c>
      <c r="S290" s="15">
        <v>4359.8999999999996</v>
      </c>
      <c r="T290" s="4">
        <v>0.15</v>
      </c>
      <c r="U290" s="3" t="str">
        <f>IF(T290&lt;0, "negative_discount", IF(AND(T290&gt;0.5, T290&lt;=1), "high_discount", ""))</f>
        <v/>
      </c>
      <c r="V290" s="11">
        <v>7411.83</v>
      </c>
      <c r="W290" s="12">
        <v>7411.83</v>
      </c>
      <c r="X290" s="11">
        <v>4904.63</v>
      </c>
      <c r="Y290" s="11">
        <v>2507.1999999999998</v>
      </c>
      <c r="Z290" s="11">
        <f>ROUND(W290-X290,2)</f>
        <v>2507.1999999999998</v>
      </c>
      <c r="AA290" s="4">
        <f>IF(W290=0,0,Z290/W290)</f>
        <v>0.33827003587508075</v>
      </c>
      <c r="AB290" t="s">
        <v>31</v>
      </c>
      <c r="AC290" t="s">
        <v>32</v>
      </c>
      <c r="AD290" t="str">
        <f>IF(AND(E290="", T290&gt;=0, T290&lt;=0.5, K290&lt;&gt;"Unknown", Q290&lt;&gt;"Unknown"), "CLEAN", _xlfn.CONCAT("WARNING: ", IF(E290&lt;&gt;"","invalid_date",""), IF(T290&lt;0,"negative_discount",""), IF(AND(T290&gt;0.5,T290&lt;=1),"high_discount",""), IF(K290="Unknown","missing_region",""), IF(Q290="Unknown","missing_ship_mode","")))</f>
        <v>CLEAN</v>
      </c>
      <c r="AE290" t="str">
        <f>IF(COUNTIF($AF$2:$AF$926,AF290)&gt;1,"DUPLICATE","UNIQUE")</f>
        <v>UNIQUE</v>
      </c>
      <c r="AF290" t="str">
        <f>A290&amp;"|"&amp;B290&amp;"|"&amp;H290&amp;"|"&amp;I290&amp;"|"&amp;R290&amp;"|"&amp;S290&amp;"|"&amp;V290</f>
        <v>ORD-2024-10289|2024-06-24|CUST-4805|Rohan Mehta|2|4359.9|7411.83</v>
      </c>
      <c r="AG290" t="str">
        <f>IF(COUNTIF($A$2:$A$913,A290)&gt;1,"TRUE","FALSE")</f>
        <v>FALSE</v>
      </c>
    </row>
    <row r="291" spans="1:33">
      <c r="A291" t="s">
        <v>3100</v>
      </c>
      <c r="B291" t="s">
        <v>1016</v>
      </c>
      <c r="C291" t="s">
        <v>1091</v>
      </c>
      <c r="D291">
        <f>IF(OR(B291="", C291=""), "", (C291 - B291))</f>
        <v>8</v>
      </c>
      <c r="E291" t="str">
        <f>IF(C291&lt;B291, "INVALID: Ship date before order date", "")</f>
        <v/>
      </c>
      <c r="F291" t="str">
        <f>IF(B291="", "", TEXT(B291, "mmmm"))</f>
        <v>June</v>
      </c>
      <c r="G291">
        <f>IF(B291="", "", YEAR(B291))</f>
        <v>2025</v>
      </c>
      <c r="H291" t="s">
        <v>961</v>
      </c>
      <c r="I291" t="s">
        <v>22</v>
      </c>
      <c r="J291" t="s">
        <v>93</v>
      </c>
      <c r="K291" t="s">
        <v>53</v>
      </c>
      <c r="L291" t="s">
        <v>246</v>
      </c>
      <c r="M291" t="s">
        <v>247</v>
      </c>
      <c r="N291" t="s">
        <v>40</v>
      </c>
      <c r="O291" t="s">
        <v>153</v>
      </c>
      <c r="P291" t="s">
        <v>962</v>
      </c>
      <c r="Q291" t="s">
        <v>49</v>
      </c>
      <c r="R291">
        <v>2</v>
      </c>
      <c r="S291" s="15">
        <v>4346.6899999999996</v>
      </c>
      <c r="T291" s="4">
        <v>0.05</v>
      </c>
      <c r="U291" s="3" t="str">
        <f>IF(T291&lt;0, "negative_discount", IF(AND(T291&gt;0.5, T291&lt;=1), "high_discount", ""))</f>
        <v/>
      </c>
      <c r="V291" s="11">
        <v>8258.7099999999991</v>
      </c>
      <c r="W291" s="12">
        <v>8258.7099999999991</v>
      </c>
      <c r="X291" s="11">
        <v>7018.97</v>
      </c>
      <c r="Y291" s="11">
        <v>1239.74</v>
      </c>
      <c r="Z291" s="11">
        <f>ROUND(W291-X291,2)</f>
        <v>1239.74</v>
      </c>
      <c r="AA291" s="4">
        <f>IF(W291=0,0,Z291/W291)</f>
        <v>0.15011303218057059</v>
      </c>
      <c r="AB291" t="s">
        <v>31</v>
      </c>
      <c r="AC291" t="s">
        <v>32</v>
      </c>
      <c r="AD291" t="str">
        <f>IF(AND(E291="", T291&gt;=0, T291&lt;=0.5, K291&lt;&gt;"Unknown", Q291&lt;&gt;"Unknown"), "CLEAN", _xlfn.CONCAT("WARNING: ", IF(E291&lt;&gt;"","invalid_date",""), IF(T291&lt;0,"negative_discount",""), IF(AND(T291&gt;0.5,T291&lt;=1),"high_discount",""), IF(K291="Unknown","missing_region",""), IF(Q291="Unknown","missing_ship_mode","")))</f>
        <v>CLEAN</v>
      </c>
      <c r="AE291" t="str">
        <f>IF(COUNTIF($AF$2:$AF$926,AF291)&gt;1,"DUPLICATE","UNIQUE")</f>
        <v>UNIQUE</v>
      </c>
      <c r="AF291" t="str">
        <f>A291&amp;"|"&amp;B291&amp;"|"&amp;H291&amp;"|"&amp;I291&amp;"|"&amp;R291&amp;"|"&amp;S291&amp;"|"&amp;V291</f>
        <v>ORD-2025-10290|2025-06-19|CUST-9114|Karan Malhotra|2|4346.69|8258.71</v>
      </c>
      <c r="AG291" t="str">
        <f>IF(COUNTIF($A$2:$A$913,A291)&gt;1,"TRUE","FALSE")</f>
        <v>FALSE</v>
      </c>
    </row>
    <row r="292" spans="1:33">
      <c r="A292" t="s">
        <v>3101</v>
      </c>
      <c r="B292" t="s">
        <v>321</v>
      </c>
      <c r="C292" t="s">
        <v>963</v>
      </c>
      <c r="D292">
        <f>IF(OR(B292="", C292=""), "", (C292 - B292))</f>
        <v>4</v>
      </c>
      <c r="E292" t="str">
        <f>IF(C292&lt;B292, "INVALID: Ship date before order date", "")</f>
        <v/>
      </c>
      <c r="F292" t="str">
        <f>IF(B292="", "", TEXT(B292, "mmmm"))</f>
        <v>August</v>
      </c>
      <c r="G292">
        <f>IF(B292="", "", YEAR(B292))</f>
        <v>2025</v>
      </c>
      <c r="H292" t="s">
        <v>964</v>
      </c>
      <c r="I292" t="s">
        <v>158</v>
      </c>
      <c r="J292" t="s">
        <v>93</v>
      </c>
      <c r="K292" t="s">
        <v>37</v>
      </c>
      <c r="L292" t="s">
        <v>226</v>
      </c>
      <c r="M292" t="s">
        <v>227</v>
      </c>
      <c r="N292" t="s">
        <v>40</v>
      </c>
      <c r="O292" t="s">
        <v>41</v>
      </c>
      <c r="P292" t="s">
        <v>965</v>
      </c>
      <c r="Q292" t="s">
        <v>58</v>
      </c>
      <c r="R292">
        <v>1</v>
      </c>
      <c r="S292" s="15">
        <v>1842.63</v>
      </c>
      <c r="T292" s="4">
        <v>0.1</v>
      </c>
      <c r="U292" s="3" t="str">
        <f>IF(T292&lt;0, "negative_discount", IF(AND(T292&gt;0.5, T292&lt;=1), "high_discount", ""))</f>
        <v/>
      </c>
      <c r="V292" s="11">
        <v>1658.37</v>
      </c>
      <c r="W292" s="12">
        <v>1658.37</v>
      </c>
      <c r="X292" s="11">
        <v>971.12</v>
      </c>
      <c r="Y292" s="11">
        <v>687.25</v>
      </c>
      <c r="Z292" s="11">
        <f>ROUND(W292-X292,2)</f>
        <v>687.25</v>
      </c>
      <c r="AA292" s="4">
        <f>IF(W292=0,0,Z292/W292)</f>
        <v>0.41441294765341874</v>
      </c>
      <c r="AB292" t="s">
        <v>31</v>
      </c>
      <c r="AC292" t="s">
        <v>32</v>
      </c>
      <c r="AD292" t="str">
        <f>IF(AND(E292="", T292&gt;=0, T292&lt;=0.5, K292&lt;&gt;"Unknown", Q292&lt;&gt;"Unknown"), "CLEAN", _xlfn.CONCAT("WARNING: ", IF(E292&lt;&gt;"","invalid_date",""), IF(T292&lt;0,"negative_discount",""), IF(AND(T292&gt;0.5,T292&lt;=1),"high_discount",""), IF(K292="Unknown","missing_region",""), IF(Q292="Unknown","missing_ship_mode","")))</f>
        <v>CLEAN</v>
      </c>
      <c r="AE292" t="str">
        <f>IF(COUNTIF($AF$2:$AF$926,AF292)&gt;1,"DUPLICATE","UNIQUE")</f>
        <v>UNIQUE</v>
      </c>
      <c r="AF292" t="str">
        <f>A292&amp;"|"&amp;B292&amp;"|"&amp;H292&amp;"|"&amp;I292&amp;"|"&amp;R292&amp;"|"&amp;S292&amp;"|"&amp;V292</f>
        <v>ORD-2025-10291|2025-08-22|CUST-8557|Diya Patel|1|1842.63|1658.37</v>
      </c>
      <c r="AG292" t="str">
        <f>IF(COUNTIF($A$2:$A$913,A292)&gt;1,"TRUE","FALSE")</f>
        <v>FALSE</v>
      </c>
    </row>
    <row r="293" spans="1:33">
      <c r="A293" t="s">
        <v>966</v>
      </c>
      <c r="B293" t="s">
        <v>2765</v>
      </c>
      <c r="C293" t="s">
        <v>967</v>
      </c>
      <c r="D293">
        <f>IF(OR(B293="", C293=""), "", (C293 - B293))</f>
        <v>5</v>
      </c>
      <c r="E293" t="str">
        <f>IF(C293&lt;B293, "INVALID: Ship date before order date", "")</f>
        <v/>
      </c>
      <c r="F293" t="str">
        <f>IF(B293="", "", TEXT(B293, "mmmm"))</f>
        <v>April</v>
      </c>
      <c r="G293">
        <f>IF(B293="", "", YEAR(B293))</f>
        <v>2024</v>
      </c>
      <c r="H293" t="s">
        <v>968</v>
      </c>
      <c r="I293" t="s">
        <v>112</v>
      </c>
      <c r="J293" t="s">
        <v>93</v>
      </c>
      <c r="K293" t="s">
        <v>24</v>
      </c>
      <c r="L293" t="s">
        <v>25</v>
      </c>
      <c r="M293" t="s">
        <v>26</v>
      </c>
      <c r="N293" t="s">
        <v>27</v>
      </c>
      <c r="O293" t="s">
        <v>149</v>
      </c>
      <c r="P293" t="s">
        <v>969</v>
      </c>
      <c r="Q293" t="s">
        <v>58</v>
      </c>
      <c r="R293">
        <v>4</v>
      </c>
      <c r="S293" s="15">
        <v>3228.66</v>
      </c>
      <c r="T293" s="4">
        <v>0</v>
      </c>
      <c r="U293" s="3" t="str">
        <f>IF(T293&lt;0, "negative_discount", IF(AND(T293&gt;0.5, T293&lt;=1), "high_discount", ""))</f>
        <v/>
      </c>
      <c r="V293" s="11">
        <v>9685.98</v>
      </c>
      <c r="W293" s="12">
        <v>12914.64</v>
      </c>
      <c r="X293" s="11">
        <v>7730.04</v>
      </c>
      <c r="Y293" s="11">
        <v>1955.94</v>
      </c>
      <c r="Z293" s="11">
        <f>ROUND(W293-X293,2)</f>
        <v>5184.6000000000004</v>
      </c>
      <c r="AA293" s="4">
        <f>IF(W293=0,0,Z293/W293)</f>
        <v>0.40145137611269077</v>
      </c>
      <c r="AB293" t="s">
        <v>31</v>
      </c>
      <c r="AC293" t="s">
        <v>32</v>
      </c>
      <c r="AD293" t="str">
        <f>IF(AND(E293="", T293&gt;=0, T293&lt;=0.5, K293&lt;&gt;"Unknown", Q293&lt;&gt;"Unknown"), "CLEAN", _xlfn.CONCAT("WARNING: ", IF(E293&lt;&gt;"","invalid_date",""), IF(T293&lt;0,"negative_discount",""), IF(AND(T293&gt;0.5,T293&lt;=1),"high_discount",""), IF(K293="Unknown","missing_region",""), IF(Q293="Unknown","missing_ship_mode","")))</f>
        <v>CLEAN</v>
      </c>
      <c r="AE293" t="str">
        <f>IF(COUNTIF($AF$2:$AF$926,AF293)&gt;1,"DUPLICATE","UNIQUE")</f>
        <v>UNIQUE</v>
      </c>
      <c r="AF293" t="str">
        <f>A293&amp;"|"&amp;B293&amp;"|"&amp;H293&amp;"|"&amp;I293&amp;"|"&amp;R293&amp;"|"&amp;S293&amp;"|"&amp;V293</f>
        <v>ORD-2024-10292|2024-04-05|CUST-2860|Priya Menon|4|3228.66|9685.98</v>
      </c>
      <c r="AG293" t="str">
        <f>IF(COUNTIF($A$2:$A$913,A293)&gt;1,"TRUE","FALSE")</f>
        <v>FALSE</v>
      </c>
    </row>
    <row r="294" spans="1:33">
      <c r="A294" t="s">
        <v>3102</v>
      </c>
      <c r="B294" t="s">
        <v>2766</v>
      </c>
      <c r="C294" t="s">
        <v>1608</v>
      </c>
      <c r="D294">
        <f>IF(OR(B294="", C294=""), "", (C294 - B294))</f>
        <v>3</v>
      </c>
      <c r="E294" t="str">
        <f>IF(C294&lt;B294, "INVALID: Ship date before order date", "")</f>
        <v/>
      </c>
      <c r="F294" t="str">
        <f>IF(B294="", "", TEXT(B294, "mmmm"))</f>
        <v>February</v>
      </c>
      <c r="G294">
        <f>IF(B294="", "", YEAR(B294))</f>
        <v>2025</v>
      </c>
      <c r="H294" t="s">
        <v>970</v>
      </c>
      <c r="I294" t="s">
        <v>263</v>
      </c>
      <c r="J294" t="s">
        <v>93</v>
      </c>
      <c r="K294" t="s">
        <v>24</v>
      </c>
      <c r="L294" t="s">
        <v>234</v>
      </c>
      <c r="M294" t="s">
        <v>235</v>
      </c>
      <c r="N294" t="s">
        <v>27</v>
      </c>
      <c r="O294" t="s">
        <v>47</v>
      </c>
      <c r="P294" t="s">
        <v>971</v>
      </c>
      <c r="Q294" t="s">
        <v>43</v>
      </c>
      <c r="R294">
        <v>9</v>
      </c>
      <c r="S294" s="15">
        <v>3748.95</v>
      </c>
      <c r="T294" s="4">
        <v>0</v>
      </c>
      <c r="U294" s="3" t="str">
        <f>IF(T294&lt;0, "negative_discount", IF(AND(T294&gt;0.5, T294&lt;=1), "high_discount", ""))</f>
        <v/>
      </c>
      <c r="V294" s="11">
        <v>33740.550000000003</v>
      </c>
      <c r="W294" s="12">
        <v>33740.550000000003</v>
      </c>
      <c r="X294" s="11">
        <v>24621.89</v>
      </c>
      <c r="Y294" s="11">
        <v>9118.66</v>
      </c>
      <c r="Z294" s="11">
        <f>ROUND(W294-X294,2)</f>
        <v>9118.66</v>
      </c>
      <c r="AA294" s="4">
        <f>IF(W294=0,0,Z294/W294)</f>
        <v>0.27025819081194585</v>
      </c>
      <c r="AB294" t="s">
        <v>109</v>
      </c>
      <c r="AC294" t="s">
        <v>67</v>
      </c>
      <c r="AD294" t="str">
        <f>IF(AND(E294="", T294&gt;=0, T294&lt;=0.5, K294&lt;&gt;"Unknown", Q294&lt;&gt;"Unknown"), "CLEAN", _xlfn.CONCAT("WARNING: ", IF(E294&lt;&gt;"","invalid_date",""), IF(T294&lt;0,"negative_discount",""), IF(AND(T294&gt;0.5,T294&lt;=1),"high_discount",""), IF(K294="Unknown","missing_region",""), IF(Q294="Unknown","missing_ship_mode","")))</f>
        <v>CLEAN</v>
      </c>
      <c r="AE294" t="str">
        <f>IF(COUNTIF($AF$2:$AF$926,AF294)&gt;1,"DUPLICATE","UNIQUE")</f>
        <v>UNIQUE</v>
      </c>
      <c r="AF294" t="str">
        <f>A294&amp;"|"&amp;B294&amp;"|"&amp;H294&amp;"|"&amp;I294&amp;"|"&amp;R294&amp;"|"&amp;S294&amp;"|"&amp;V294</f>
        <v>ORD-2025-10293|2025-02-28|CUST-7837|Kabir Singh|9|3748.95|33740.55</v>
      </c>
      <c r="AG294" t="str">
        <f>IF(COUNTIF($A$2:$A$913,A294)&gt;1,"TRUE","FALSE")</f>
        <v>FALSE</v>
      </c>
    </row>
    <row r="295" spans="1:33">
      <c r="A295" t="s">
        <v>972</v>
      </c>
      <c r="B295" t="s">
        <v>2412</v>
      </c>
      <c r="C295" t="s">
        <v>2699</v>
      </c>
      <c r="D295">
        <f>IF(OR(B295="", C295=""), "", (C295 - B295))</f>
        <v>241</v>
      </c>
      <c r="E295" t="str">
        <f>IF(C295&lt;B295, "INVALID: Ship date before order date", "")</f>
        <v/>
      </c>
      <c r="F295" t="str">
        <f>IF(B295="", "", TEXT(B295, "mmmm"))</f>
        <v>March</v>
      </c>
      <c r="G295">
        <f>IF(B295="", "", YEAR(B295))</f>
        <v>2024</v>
      </c>
      <c r="H295" t="s">
        <v>973</v>
      </c>
      <c r="I295" t="s">
        <v>52</v>
      </c>
      <c r="J295" t="s">
        <v>93</v>
      </c>
      <c r="K295" t="s">
        <v>53</v>
      </c>
      <c r="L295" t="s">
        <v>54</v>
      </c>
      <c r="M295" t="s">
        <v>55</v>
      </c>
      <c r="N295" t="s">
        <v>74</v>
      </c>
      <c r="O295" t="s">
        <v>168</v>
      </c>
      <c r="P295" t="s">
        <v>974</v>
      </c>
      <c r="Q295" t="s">
        <v>49</v>
      </c>
      <c r="R295">
        <v>2</v>
      </c>
      <c r="S295" s="15">
        <v>4401.51</v>
      </c>
      <c r="T295" s="4">
        <v>0.65</v>
      </c>
      <c r="U295" s="3" t="str">
        <f>IF(T295&lt;0, "negative_discount", IF(AND(T295&gt;0.5, T295&lt;=1), "high_discount", ""))</f>
        <v>high_discount</v>
      </c>
      <c r="V295" s="11">
        <v>8362.8700000000008</v>
      </c>
      <c r="W295" s="12">
        <v>3081.06</v>
      </c>
      <c r="X295" s="11">
        <v>6541.04</v>
      </c>
      <c r="Y295" s="11">
        <v>1821.83</v>
      </c>
      <c r="Z295" s="11">
        <f>ROUND(W295-X295,2)</f>
        <v>-3459.98</v>
      </c>
      <c r="AA295" s="4">
        <f>IF(W295=0,0,Z295/W295)</f>
        <v>-1.1229836484846125</v>
      </c>
      <c r="AB295" t="s">
        <v>31</v>
      </c>
      <c r="AC295" t="s">
        <v>32</v>
      </c>
      <c r="AD295" t="str">
        <f>IF(AND(E295="", T295&gt;=0, T295&lt;=0.5, K295&lt;&gt;"Unknown", Q295&lt;&gt;"Unknown"), "CLEAN", _xlfn.CONCAT("WARNING: ", IF(E295&lt;&gt;"","invalid_date",""), IF(T295&lt;0,"negative_discount",""), IF(AND(T295&gt;0.5,T295&lt;=1),"high_discount",""), IF(K295="Unknown","missing_region",""), IF(Q295="Unknown","missing_ship_mode","")))</f>
        <v>WARNING: high_discount</v>
      </c>
      <c r="AE295" t="str">
        <f>IF(COUNTIF($AF$2:$AF$926,AF295)&gt;1,"DUPLICATE","UNIQUE")</f>
        <v>UNIQUE</v>
      </c>
      <c r="AF295" t="str">
        <f>A295&amp;"|"&amp;B295&amp;"|"&amp;H295&amp;"|"&amp;I295&amp;"|"&amp;R295&amp;"|"&amp;S295&amp;"|"&amp;V295</f>
        <v>ORD-2024-10294|2024-03-07|CUST-7010|Arjun Bose|2|4401.51|8362.87</v>
      </c>
      <c r="AG295" t="str">
        <f>IF(COUNTIF($A$2:$A$913,A295)&gt;1,"TRUE","FALSE")</f>
        <v>FALSE</v>
      </c>
    </row>
    <row r="296" spans="1:33">
      <c r="A296" t="s">
        <v>3103</v>
      </c>
      <c r="B296" t="s">
        <v>417</v>
      </c>
      <c r="C296" t="s">
        <v>1068</v>
      </c>
      <c r="D296">
        <f>IF(OR(B296="", C296=""), "", (C296 - B296))</f>
        <v>6</v>
      </c>
      <c r="E296" t="str">
        <f>IF(C296&lt;B296, "INVALID: Ship date before order date", "")</f>
        <v/>
      </c>
      <c r="F296" t="str">
        <f>IF(B296="", "", TEXT(B296, "mmmm"))</f>
        <v>July</v>
      </c>
      <c r="G296">
        <f>IF(B296="", "", YEAR(B296))</f>
        <v>2025</v>
      </c>
      <c r="H296" t="s">
        <v>975</v>
      </c>
      <c r="I296" t="s">
        <v>112</v>
      </c>
      <c r="J296" t="s">
        <v>23</v>
      </c>
      <c r="K296" t="s">
        <v>37</v>
      </c>
      <c r="L296" t="s">
        <v>38</v>
      </c>
      <c r="M296" t="s">
        <v>39</v>
      </c>
      <c r="N296" t="s">
        <v>74</v>
      </c>
      <c r="O296" t="s">
        <v>168</v>
      </c>
      <c r="P296" t="s">
        <v>976</v>
      </c>
      <c r="Q296" t="s">
        <v>30</v>
      </c>
      <c r="R296">
        <v>6</v>
      </c>
      <c r="S296" s="15">
        <v>4159.33</v>
      </c>
      <c r="T296" s="4">
        <v>0.25</v>
      </c>
      <c r="U296" s="3" t="str">
        <f>IF(T296&lt;0, "negative_discount", IF(AND(T296&gt;0.5, T296&lt;=1), "high_discount", ""))</f>
        <v/>
      </c>
      <c r="V296" s="11">
        <v>18716.990000000002</v>
      </c>
      <c r="W296" s="12">
        <v>18716.990000000002</v>
      </c>
      <c r="X296" s="11">
        <v>12282.43</v>
      </c>
      <c r="Y296" s="11">
        <v>6434.56</v>
      </c>
      <c r="Z296" s="11">
        <f>ROUND(W296-X296,2)</f>
        <v>6434.56</v>
      </c>
      <c r="AA296" s="4">
        <f>IF(W296=0,0,Z296/W296)</f>
        <v>0.34378177260339404</v>
      </c>
      <c r="AB296" t="s">
        <v>31</v>
      </c>
      <c r="AC296" t="s">
        <v>100</v>
      </c>
      <c r="AD296" t="str">
        <f>IF(AND(E296="", T296&gt;=0, T296&lt;=0.5, K296&lt;&gt;"Unknown", Q296&lt;&gt;"Unknown"), "CLEAN", _xlfn.CONCAT("WARNING: ", IF(E296&lt;&gt;"","invalid_date",""), IF(T296&lt;0,"negative_discount",""), IF(AND(T296&gt;0.5,T296&lt;=1),"high_discount",""), IF(K296="Unknown","missing_region",""), IF(Q296="Unknown","missing_ship_mode","")))</f>
        <v>CLEAN</v>
      </c>
      <c r="AE296" t="str">
        <f>IF(COUNTIF($AF$2:$AF$926,AF296)&gt;1,"DUPLICATE","UNIQUE")</f>
        <v>UNIQUE</v>
      </c>
      <c r="AF296" t="str">
        <f>A296&amp;"|"&amp;B296&amp;"|"&amp;H296&amp;"|"&amp;I296&amp;"|"&amp;R296&amp;"|"&amp;S296&amp;"|"&amp;V296</f>
        <v>ORD-2025-10295|2025-07-16|CUST-4755|Priya Menon|6|4159.33|18716.99</v>
      </c>
      <c r="AG296" t="str">
        <f>IF(COUNTIF($A$2:$A$913,A296)&gt;1,"TRUE","FALSE")</f>
        <v>FALSE</v>
      </c>
    </row>
    <row r="297" spans="1:33">
      <c r="A297" t="s">
        <v>3104</v>
      </c>
      <c r="B297" t="s">
        <v>1823</v>
      </c>
      <c r="C297" t="s">
        <v>785</v>
      </c>
      <c r="D297">
        <f>IF(OR(B297="", C297=""), "", (C297 - B297))</f>
        <v>3</v>
      </c>
      <c r="E297" t="str">
        <f>IF(C297&lt;B297, "INVALID: Ship date before order date", "")</f>
        <v/>
      </c>
      <c r="F297" t="str">
        <f>IF(B297="", "", TEXT(B297, "mmmm"))</f>
        <v>June</v>
      </c>
      <c r="G297">
        <f>IF(B297="", "", YEAR(B297))</f>
        <v>2025</v>
      </c>
      <c r="H297" t="s">
        <v>977</v>
      </c>
      <c r="I297" t="s">
        <v>88</v>
      </c>
      <c r="J297" t="s">
        <v>36</v>
      </c>
      <c r="K297" t="s">
        <v>37</v>
      </c>
      <c r="L297" t="s">
        <v>163</v>
      </c>
      <c r="M297" t="s">
        <v>164</v>
      </c>
      <c r="N297" t="s">
        <v>27</v>
      </c>
      <c r="O297" t="s">
        <v>149</v>
      </c>
      <c r="P297" t="s">
        <v>978</v>
      </c>
      <c r="Q297" t="s">
        <v>58</v>
      </c>
      <c r="R297">
        <v>3</v>
      </c>
      <c r="S297" s="15">
        <v>3476.05</v>
      </c>
      <c r="T297" s="4">
        <v>0.1</v>
      </c>
      <c r="U297" s="3" t="str">
        <f>IF(T297&lt;0, "negative_discount", IF(AND(T297&gt;0.5, T297&lt;=1), "high_discount", ""))</f>
        <v/>
      </c>
      <c r="V297" s="11">
        <v>9385.34</v>
      </c>
      <c r="W297" s="12">
        <v>9385.34</v>
      </c>
      <c r="X297" s="11">
        <v>5828.54</v>
      </c>
      <c r="Y297" s="11">
        <v>3556.8</v>
      </c>
      <c r="Z297" s="11">
        <f>ROUND(W297-X297,2)</f>
        <v>3556.8</v>
      </c>
      <c r="AA297" s="4">
        <f>IF(W297=0,0,Z297/W297)</f>
        <v>0.37897401692426702</v>
      </c>
      <c r="AB297" t="s">
        <v>31</v>
      </c>
      <c r="AC297" t="s">
        <v>32</v>
      </c>
      <c r="AD297" t="str">
        <f>IF(AND(E297="", T297&gt;=0, T297&lt;=0.5, K297&lt;&gt;"Unknown", Q297&lt;&gt;"Unknown"), "CLEAN", _xlfn.CONCAT("WARNING: ", IF(E297&lt;&gt;"","invalid_date",""), IF(T297&lt;0,"negative_discount",""), IF(AND(T297&gt;0.5,T297&lt;=1),"high_discount",""), IF(K297="Unknown","missing_region",""), IF(Q297="Unknown","missing_ship_mode","")))</f>
        <v>CLEAN</v>
      </c>
      <c r="AE297" t="str">
        <f>IF(COUNTIF($AF$2:$AF$926,AF297)&gt;1,"DUPLICATE","UNIQUE")</f>
        <v>UNIQUE</v>
      </c>
      <c r="AF297" t="str">
        <f>A297&amp;"|"&amp;B297&amp;"|"&amp;H297&amp;"|"&amp;I297&amp;"|"&amp;R297&amp;"|"&amp;S297&amp;"|"&amp;V297</f>
        <v>ORD-2025-10296|2025-06-25|CUST-6778|Aditi Sen|3|3476.05|9385.34</v>
      </c>
      <c r="AG297" t="str">
        <f>IF(COUNTIF($A$2:$A$913,A297)&gt;1,"TRUE","FALSE")</f>
        <v>FALSE</v>
      </c>
    </row>
    <row r="298" spans="1:33">
      <c r="A298" t="s">
        <v>3105</v>
      </c>
      <c r="B298" t="s">
        <v>2767</v>
      </c>
      <c r="C298" t="s">
        <v>886</v>
      </c>
      <c r="D298">
        <f>IF(OR(B298="", C298=""), "", (C298 - B298))</f>
        <v>2</v>
      </c>
      <c r="E298" t="str">
        <f>IF(C298&lt;B298, "INVALID: Ship date before order date", "")</f>
        <v/>
      </c>
      <c r="F298" t="str">
        <f>IF(B298="", "", TEXT(B298, "mmmm"))</f>
        <v>May</v>
      </c>
      <c r="G298">
        <f>IF(B298="", "", YEAR(B298))</f>
        <v>2025</v>
      </c>
      <c r="H298" t="s">
        <v>979</v>
      </c>
      <c r="I298" t="s">
        <v>88</v>
      </c>
      <c r="J298" t="s">
        <v>93</v>
      </c>
      <c r="K298" t="s">
        <v>24</v>
      </c>
      <c r="L298" t="s">
        <v>234</v>
      </c>
      <c r="M298" t="s">
        <v>235</v>
      </c>
      <c r="N298" t="s">
        <v>40</v>
      </c>
      <c r="O298" t="s">
        <v>56</v>
      </c>
      <c r="P298" t="s">
        <v>980</v>
      </c>
      <c r="Q298" t="s">
        <v>43</v>
      </c>
      <c r="R298">
        <v>6</v>
      </c>
      <c r="S298" s="15">
        <v>3495.41</v>
      </c>
      <c r="T298" s="4">
        <v>0.15</v>
      </c>
      <c r="U298" s="3" t="str">
        <f>IF(T298&lt;0, "negative_discount", IF(AND(T298&gt;0.5, T298&lt;=1), "high_discount", ""))</f>
        <v/>
      </c>
      <c r="V298" s="11">
        <v>17826.59</v>
      </c>
      <c r="W298" s="12">
        <v>17826.59</v>
      </c>
      <c r="X298" s="11">
        <v>10855.35</v>
      </c>
      <c r="Y298" s="11">
        <v>6971.24</v>
      </c>
      <c r="Z298" s="11">
        <f>ROUND(W298-X298,2)</f>
        <v>6971.24</v>
      </c>
      <c r="AA298" s="4">
        <f>IF(W298=0,0,Z298/W298)</f>
        <v>0.39105852549478054</v>
      </c>
      <c r="AB298" t="s">
        <v>31</v>
      </c>
      <c r="AC298" t="s">
        <v>32</v>
      </c>
      <c r="AD298" t="str">
        <f>IF(AND(E298="", T298&gt;=0, T298&lt;=0.5, K298&lt;&gt;"Unknown", Q298&lt;&gt;"Unknown"), "CLEAN", _xlfn.CONCAT("WARNING: ", IF(E298&lt;&gt;"","invalid_date",""), IF(T298&lt;0,"negative_discount",""), IF(AND(T298&gt;0.5,T298&lt;=1),"high_discount",""), IF(K298="Unknown","missing_region",""), IF(Q298="Unknown","missing_ship_mode","")))</f>
        <v>CLEAN</v>
      </c>
      <c r="AE298" t="str">
        <f>IF(COUNTIF($AF$2:$AF$926,AF298)&gt;1,"DUPLICATE","UNIQUE")</f>
        <v>UNIQUE</v>
      </c>
      <c r="AF298" t="str">
        <f>A298&amp;"|"&amp;B298&amp;"|"&amp;H298&amp;"|"&amp;I298&amp;"|"&amp;R298&amp;"|"&amp;S298&amp;"|"&amp;V298</f>
        <v>ORD-2025-10297|2025-05-24|CUST-7629|Aditi Sen|6|3495.41|17826.59</v>
      </c>
      <c r="AG298" t="str">
        <f>IF(COUNTIF($A$2:$A$913,A298)&gt;1,"TRUE","FALSE")</f>
        <v>FALSE</v>
      </c>
    </row>
    <row r="299" spans="1:33">
      <c r="A299" t="s">
        <v>981</v>
      </c>
      <c r="B299" t="s">
        <v>982</v>
      </c>
      <c r="C299" t="s">
        <v>2132</v>
      </c>
      <c r="D299">
        <f>IF(OR(B299="", C299=""), "", (C299 - B299))</f>
        <v>-140</v>
      </c>
      <c r="E299" t="str">
        <f>IF(C299&lt;B299, "INVALID: Ship date before order date", "")</f>
        <v>INVALID: Ship date before order date</v>
      </c>
      <c r="F299" t="str">
        <f>IF(B299="", "", TEXT(B299, "mmmm"))</f>
        <v>October</v>
      </c>
      <c r="G299">
        <f>IF(B299="", "", YEAR(B299))</f>
        <v>2024</v>
      </c>
      <c r="H299" t="s">
        <v>983</v>
      </c>
      <c r="I299" t="s">
        <v>131</v>
      </c>
      <c r="J299" t="s">
        <v>89</v>
      </c>
      <c r="K299" t="s">
        <v>53</v>
      </c>
      <c r="L299" t="s">
        <v>246</v>
      </c>
      <c r="M299" t="s">
        <v>247</v>
      </c>
      <c r="N299" t="s">
        <v>74</v>
      </c>
      <c r="O299" t="s">
        <v>79</v>
      </c>
      <c r="P299" t="s">
        <v>984</v>
      </c>
      <c r="Q299" t="s">
        <v>43</v>
      </c>
      <c r="R299">
        <v>6</v>
      </c>
      <c r="S299" s="15">
        <v>1169.92</v>
      </c>
      <c r="T299" s="4">
        <v>0.15</v>
      </c>
      <c r="U299" s="3" t="str">
        <f>IF(T299&lt;0, "negative_discount", IF(AND(T299&gt;0.5, T299&lt;=1), "high_discount", ""))</f>
        <v/>
      </c>
      <c r="V299" s="11">
        <v>5966.59</v>
      </c>
      <c r="W299" s="12">
        <v>5966.59</v>
      </c>
      <c r="X299" s="11">
        <v>3994.72</v>
      </c>
      <c r="Y299" s="11">
        <v>1971.87</v>
      </c>
      <c r="Z299" s="11">
        <f>ROUND(W299-X299,2)</f>
        <v>1971.87</v>
      </c>
      <c r="AA299" s="4">
        <f>IF(W299=0,0,Z299/W299)</f>
        <v>0.33048525204513796</v>
      </c>
      <c r="AB299" t="s">
        <v>31</v>
      </c>
      <c r="AC299" t="s">
        <v>32</v>
      </c>
      <c r="AD299" t="str">
        <f>IF(AND(E299="", T299&gt;=0, T299&lt;=0.5, K299&lt;&gt;"Unknown", Q299&lt;&gt;"Unknown"), "CLEAN", _xlfn.CONCAT("WARNING: ", IF(E299&lt;&gt;"","invalid_date",""), IF(T299&lt;0,"negative_discount",""), IF(AND(T299&gt;0.5,T299&lt;=1),"high_discount",""), IF(K299="Unknown","missing_region",""), IF(Q299="Unknown","missing_ship_mode","")))</f>
        <v>WARNING: invalid_date</v>
      </c>
      <c r="AE299" t="str">
        <f>IF(COUNTIF($AF$2:$AF$926,AF299)&gt;1,"DUPLICATE","UNIQUE")</f>
        <v>UNIQUE</v>
      </c>
      <c r="AF299" t="str">
        <f>A299&amp;"|"&amp;B299&amp;"|"&amp;H299&amp;"|"&amp;I299&amp;"|"&amp;R299&amp;"|"&amp;S299&amp;"|"&amp;V299</f>
        <v>ORD-2024-10298|2024-10-29|CUST-6724|Sneha Kapoor|6|1169.92|5966.59</v>
      </c>
      <c r="AG299" t="str">
        <f>IF(COUNTIF($A$2:$A$913,A299)&gt;1,"TRUE","FALSE")</f>
        <v>FALSE</v>
      </c>
    </row>
    <row r="300" spans="1:33">
      <c r="A300" t="s">
        <v>3106</v>
      </c>
      <c r="B300" t="s">
        <v>2701</v>
      </c>
      <c r="C300" t="s">
        <v>985</v>
      </c>
      <c r="D300">
        <f>IF(OR(B300="", C300=""), "", (C300 - B300))</f>
        <v>3</v>
      </c>
      <c r="E300" t="str">
        <f>IF(C300&lt;B300, "INVALID: Ship date before order date", "")</f>
        <v/>
      </c>
      <c r="F300" t="str">
        <f>IF(B300="", "", TEXT(B300, "mmmm"))</f>
        <v>January</v>
      </c>
      <c r="G300">
        <f>IF(B300="", "", YEAR(B300))</f>
        <v>2025</v>
      </c>
      <c r="H300" t="s">
        <v>986</v>
      </c>
      <c r="I300" t="s">
        <v>46</v>
      </c>
      <c r="J300" t="s">
        <v>23</v>
      </c>
      <c r="K300" t="s">
        <v>53</v>
      </c>
      <c r="L300" t="s">
        <v>180</v>
      </c>
      <c r="M300" t="s">
        <v>181</v>
      </c>
      <c r="N300" t="s">
        <v>74</v>
      </c>
      <c r="O300" t="s">
        <v>79</v>
      </c>
      <c r="P300" t="s">
        <v>987</v>
      </c>
      <c r="Q300" t="s">
        <v>49</v>
      </c>
      <c r="R300">
        <v>7</v>
      </c>
      <c r="S300" s="15">
        <v>348.49</v>
      </c>
      <c r="T300" s="4">
        <v>0.2</v>
      </c>
      <c r="U300" s="3" t="str">
        <f>IF(T300&lt;0, "negative_discount", IF(AND(T300&gt;0.5, T300&lt;=1), "high_discount", ""))</f>
        <v/>
      </c>
      <c r="V300" s="11">
        <v>1951.54</v>
      </c>
      <c r="W300" s="12">
        <v>1951.54</v>
      </c>
      <c r="X300" s="11">
        <v>1609.95</v>
      </c>
      <c r="Y300" s="11">
        <v>341.59</v>
      </c>
      <c r="Z300" s="11">
        <f>ROUND(W300-X300,2)</f>
        <v>341.59</v>
      </c>
      <c r="AA300" s="4">
        <f>IF(W300=0,0,Z300/W300)</f>
        <v>0.17503612531641677</v>
      </c>
      <c r="AB300" t="s">
        <v>151</v>
      </c>
      <c r="AC300" t="s">
        <v>100</v>
      </c>
      <c r="AD300" t="str">
        <f>IF(AND(E300="", T300&gt;=0, T300&lt;=0.5, K300&lt;&gt;"Unknown", Q300&lt;&gt;"Unknown"), "CLEAN", _xlfn.CONCAT("WARNING: ", IF(E300&lt;&gt;"","invalid_date",""), IF(T300&lt;0,"negative_discount",""), IF(AND(T300&gt;0.5,T300&lt;=1),"high_discount",""), IF(K300="Unknown","missing_region",""), IF(Q300="Unknown","missing_ship_mode","")))</f>
        <v>CLEAN</v>
      </c>
      <c r="AE300" t="str">
        <f>IF(COUNTIF($AF$2:$AF$926,AF300)&gt;1,"DUPLICATE","UNIQUE")</f>
        <v>UNIQUE</v>
      </c>
      <c r="AF300" t="str">
        <f>A300&amp;"|"&amp;B300&amp;"|"&amp;H300&amp;"|"&amp;I300&amp;"|"&amp;R300&amp;"|"&amp;S300&amp;"|"&amp;V300</f>
        <v>ORD-2025-10299|2025-01-23|CUST-2141|Isha Nair|7|348.49|1951.54</v>
      </c>
      <c r="AG300" t="str">
        <f>IF(COUNTIF($A$2:$A$913,A300)&gt;1,"TRUE","FALSE")</f>
        <v>FALSE</v>
      </c>
    </row>
    <row r="301" spans="1:33">
      <c r="A301" t="s">
        <v>988</v>
      </c>
      <c r="B301" t="s">
        <v>2132</v>
      </c>
      <c r="C301" t="s">
        <v>989</v>
      </c>
      <c r="D301">
        <f>IF(OR(B301="", C301=""), "", (C301 - B301))</f>
        <v>154</v>
      </c>
      <c r="E301" t="str">
        <f>IF(C301&lt;B301, "INVALID: Ship date before order date", "")</f>
        <v/>
      </c>
      <c r="F301" t="str">
        <f>IF(B301="", "", TEXT(B301, "mmmm"))</f>
        <v>June</v>
      </c>
      <c r="G301">
        <f>IF(B301="", "", YEAR(B301))</f>
        <v>2024</v>
      </c>
      <c r="H301" t="s">
        <v>990</v>
      </c>
      <c r="I301" t="s">
        <v>116</v>
      </c>
      <c r="J301" t="s">
        <v>36</v>
      </c>
      <c r="K301" t="s">
        <v>62</v>
      </c>
      <c r="L301" t="s">
        <v>176</v>
      </c>
      <c r="M301" t="s">
        <v>177</v>
      </c>
      <c r="N301" t="s">
        <v>74</v>
      </c>
      <c r="O301" t="s">
        <v>75</v>
      </c>
      <c r="P301" t="s">
        <v>991</v>
      </c>
      <c r="Q301" t="s">
        <v>58</v>
      </c>
      <c r="R301">
        <v>7</v>
      </c>
      <c r="S301" s="15">
        <v>1719.05</v>
      </c>
      <c r="T301" s="4">
        <v>0.1</v>
      </c>
      <c r="U301" s="3" t="str">
        <f>IF(T301&lt;0, "negative_discount", IF(AND(T301&gt;0.5, T301&lt;=1), "high_discount", ""))</f>
        <v/>
      </c>
      <c r="V301" s="11">
        <v>10830.02</v>
      </c>
      <c r="W301" s="12">
        <v>10830.02</v>
      </c>
      <c r="X301" s="11">
        <v>7055.31</v>
      </c>
      <c r="Y301" s="11">
        <v>3774.71</v>
      </c>
      <c r="Z301" s="11">
        <f>ROUND(W301-X301,2)</f>
        <v>3774.71</v>
      </c>
      <c r="AA301" s="4">
        <f>IF(W301=0,0,Z301/W301)</f>
        <v>0.3485413692680161</v>
      </c>
      <c r="AB301" t="s">
        <v>31</v>
      </c>
      <c r="AC301" t="s">
        <v>32</v>
      </c>
      <c r="AD301" t="str">
        <f>IF(AND(E301="", T301&gt;=0, T301&lt;=0.5, K301&lt;&gt;"Unknown", Q301&lt;&gt;"Unknown"), "CLEAN", _xlfn.CONCAT("WARNING: ", IF(E301&lt;&gt;"","invalid_date",""), IF(T301&lt;0,"negative_discount",""), IF(AND(T301&gt;0.5,T301&lt;=1),"high_discount",""), IF(K301="Unknown","missing_region",""), IF(Q301="Unknown","missing_ship_mode","")))</f>
        <v>CLEAN</v>
      </c>
      <c r="AE301" t="str">
        <f>IF(COUNTIF($AF$2:$AF$926,AF301)&gt;1,"DUPLICATE","UNIQUE")</f>
        <v>UNIQUE</v>
      </c>
      <c r="AF301" t="str">
        <f>A301&amp;"|"&amp;B301&amp;"|"&amp;H301&amp;"|"&amp;I301&amp;"|"&amp;R301&amp;"|"&amp;S301&amp;"|"&amp;V301</f>
        <v>ORD-2024-10300|2024-06-11|CUST-7264|Rahul Verma|7|1719.05|10830.02</v>
      </c>
      <c r="AG301" t="str">
        <f>IF(COUNTIF($A$2:$A$913,A301)&gt;1,"TRUE","FALSE")</f>
        <v>FALSE</v>
      </c>
    </row>
    <row r="302" spans="1:33">
      <c r="A302" t="s">
        <v>992</v>
      </c>
      <c r="B302" t="s">
        <v>2768</v>
      </c>
      <c r="C302" t="s">
        <v>2928</v>
      </c>
      <c r="D302">
        <f>IF(OR(B302="", C302=""), "", (C302 - B302))</f>
        <v>8</v>
      </c>
      <c r="E302" t="str">
        <f>IF(C302&lt;B302, "INVALID: Ship date before order date", "")</f>
        <v/>
      </c>
      <c r="F302" t="str">
        <f>IF(B302="", "", TEXT(B302, "mmmm"))</f>
        <v>April</v>
      </c>
      <c r="G302">
        <f>IF(B302="", "", YEAR(B302))</f>
        <v>2024</v>
      </c>
      <c r="H302" t="s">
        <v>993</v>
      </c>
      <c r="I302" t="s">
        <v>158</v>
      </c>
      <c r="J302" t="s">
        <v>36</v>
      </c>
      <c r="K302" t="s">
        <v>24</v>
      </c>
      <c r="L302" t="s">
        <v>120</v>
      </c>
      <c r="M302" t="s">
        <v>121</v>
      </c>
      <c r="N302" t="s">
        <v>74</v>
      </c>
      <c r="O302" t="s">
        <v>75</v>
      </c>
      <c r="P302" t="s">
        <v>994</v>
      </c>
      <c r="Q302" t="s">
        <v>30</v>
      </c>
      <c r="R302">
        <v>9</v>
      </c>
      <c r="S302" s="15">
        <v>3893.74</v>
      </c>
      <c r="T302" s="4">
        <v>0.1</v>
      </c>
      <c r="U302" s="3" t="str">
        <f>IF(T302&lt;0, "negative_discount", IF(AND(T302&gt;0.5, T302&lt;=1), "high_discount", ""))</f>
        <v/>
      </c>
      <c r="V302" s="11">
        <v>31539.29</v>
      </c>
      <c r="W302" s="12">
        <v>31539.29</v>
      </c>
      <c r="X302" s="11">
        <v>22100.14</v>
      </c>
      <c r="Y302" s="11">
        <v>9439.15</v>
      </c>
      <c r="Z302" s="11">
        <f>ROUND(W302-X302,2)</f>
        <v>9439.15</v>
      </c>
      <c r="AA302" s="4">
        <f>IF(W302=0,0,Z302/W302)</f>
        <v>0.29928226031721067</v>
      </c>
      <c r="AB302" t="s">
        <v>31</v>
      </c>
      <c r="AC302" t="s">
        <v>32</v>
      </c>
      <c r="AD302" t="str">
        <f>IF(AND(E302="", T302&gt;=0, T302&lt;=0.5, K302&lt;&gt;"Unknown", Q302&lt;&gt;"Unknown"), "CLEAN", _xlfn.CONCAT("WARNING: ", IF(E302&lt;&gt;"","invalid_date",""), IF(T302&lt;0,"negative_discount",""), IF(AND(T302&gt;0.5,T302&lt;=1),"high_discount",""), IF(K302="Unknown","missing_region",""), IF(Q302="Unknown","missing_ship_mode","")))</f>
        <v>CLEAN</v>
      </c>
      <c r="AE302" t="str">
        <f>IF(COUNTIF($AF$2:$AF$926,AF302)&gt;1,"DUPLICATE","UNIQUE")</f>
        <v>UNIQUE</v>
      </c>
      <c r="AF302" t="str">
        <f>A302&amp;"|"&amp;B302&amp;"|"&amp;H302&amp;"|"&amp;I302&amp;"|"&amp;R302&amp;"|"&amp;S302&amp;"|"&amp;V302</f>
        <v>ORD-2024-10301|2024-04-15|CUST-2668|Diya Patel|9|3893.74|31539.29</v>
      </c>
      <c r="AG302" t="str">
        <f>IF(COUNTIF($A$2:$A$913,A302)&gt;1,"TRUE","FALSE")</f>
        <v>FALSE</v>
      </c>
    </row>
    <row r="303" spans="1:33">
      <c r="A303" t="s">
        <v>3107</v>
      </c>
      <c r="B303" t="s">
        <v>1088</v>
      </c>
      <c r="C303" t="s">
        <v>2473</v>
      </c>
      <c r="D303">
        <f>IF(OR(B303="", C303=""), "", (C303 - B303))</f>
        <v>-142</v>
      </c>
      <c r="E303" t="str">
        <f>IF(C303&lt;B303, "INVALID: Ship date before order date", "")</f>
        <v>INVALID: Ship date before order date</v>
      </c>
      <c r="F303" t="str">
        <f>IF(B303="", "", TEXT(B303, "mmmm"))</f>
        <v>May</v>
      </c>
      <c r="G303">
        <f>IF(B303="", "", YEAR(B303))</f>
        <v>2025</v>
      </c>
      <c r="H303" t="s">
        <v>995</v>
      </c>
      <c r="I303" t="s">
        <v>46</v>
      </c>
      <c r="J303" t="s">
        <v>93</v>
      </c>
      <c r="K303" t="s">
        <v>37</v>
      </c>
      <c r="L303" t="s">
        <v>142</v>
      </c>
      <c r="M303" t="s">
        <v>143</v>
      </c>
      <c r="N303" t="s">
        <v>74</v>
      </c>
      <c r="O303" t="s">
        <v>168</v>
      </c>
      <c r="P303" t="s">
        <v>996</v>
      </c>
      <c r="Q303" t="s">
        <v>43</v>
      </c>
      <c r="R303">
        <v>4</v>
      </c>
      <c r="S303" s="15">
        <v>1654.11</v>
      </c>
      <c r="T303" s="4">
        <v>0.05</v>
      </c>
      <c r="U303" s="3" t="str">
        <f>IF(T303&lt;0, "negative_discount", IF(AND(T303&gt;0.5, T303&lt;=1), "high_discount", ""))</f>
        <v/>
      </c>
      <c r="V303" s="11">
        <v>6285.62</v>
      </c>
      <c r="W303" s="12">
        <v>6285.62</v>
      </c>
      <c r="X303" s="11">
        <v>3705.38</v>
      </c>
      <c r="Y303" s="11">
        <v>2580.2399999999998</v>
      </c>
      <c r="Z303" s="11">
        <f>ROUND(W303-X303,2)</f>
        <v>2580.2399999999998</v>
      </c>
      <c r="AA303" s="4">
        <f>IF(W303=0,0,Z303/W303)</f>
        <v>0.41049888475599861</v>
      </c>
      <c r="AB303" t="s">
        <v>31</v>
      </c>
      <c r="AC303" t="s">
        <v>32</v>
      </c>
      <c r="AD303" t="str">
        <f>IF(AND(E303="", T303&gt;=0, T303&lt;=0.5, K303&lt;&gt;"Unknown", Q303&lt;&gt;"Unknown"), "CLEAN", _xlfn.CONCAT("WARNING: ", IF(E303&lt;&gt;"","invalid_date",""), IF(T303&lt;0,"negative_discount",""), IF(AND(T303&gt;0.5,T303&lt;=1),"high_discount",""), IF(K303="Unknown","missing_region",""), IF(Q303="Unknown","missing_ship_mode","")))</f>
        <v>WARNING: invalid_date</v>
      </c>
      <c r="AE303" t="str">
        <f>IF(COUNTIF($AF$2:$AF$926,AF303)&gt;1,"DUPLICATE","UNIQUE")</f>
        <v>UNIQUE</v>
      </c>
      <c r="AF303" t="str">
        <f>A303&amp;"|"&amp;B303&amp;"|"&amp;H303&amp;"|"&amp;I303&amp;"|"&amp;R303&amp;"|"&amp;S303&amp;"|"&amp;V303</f>
        <v>ORD-2025-10302|2025-05-28|CUST-5599|Isha Nair|4|1654.11|6285.62</v>
      </c>
      <c r="AG303" t="str">
        <f>IF(COUNTIF($A$2:$A$913,A303)&gt;1,"TRUE","FALSE")</f>
        <v>FALSE</v>
      </c>
    </row>
    <row r="304" spans="1:33">
      <c r="A304" t="s">
        <v>3108</v>
      </c>
      <c r="B304" t="s">
        <v>852</v>
      </c>
      <c r="C304" t="s">
        <v>997</v>
      </c>
      <c r="D304">
        <f>IF(OR(B304="", C304=""), "", (C304 - B304))</f>
        <v>67</v>
      </c>
      <c r="E304" t="str">
        <f>IF(C304&lt;B304, "INVALID: Ship date before order date", "")</f>
        <v/>
      </c>
      <c r="F304" t="str">
        <f>IF(B304="", "", TEXT(B304, "mmmm"))</f>
        <v>April</v>
      </c>
      <c r="G304">
        <f>IF(B304="", "", YEAR(B304))</f>
        <v>2025</v>
      </c>
      <c r="H304" t="s">
        <v>998</v>
      </c>
      <c r="I304" t="s">
        <v>78</v>
      </c>
      <c r="J304" t="s">
        <v>23</v>
      </c>
      <c r="K304" t="s">
        <v>62</v>
      </c>
      <c r="L304" t="s">
        <v>185</v>
      </c>
      <c r="M304" t="s">
        <v>186</v>
      </c>
      <c r="N304" t="s">
        <v>27</v>
      </c>
      <c r="O304" t="s">
        <v>122</v>
      </c>
      <c r="P304" t="s">
        <v>999</v>
      </c>
      <c r="Q304" t="s">
        <v>43</v>
      </c>
      <c r="R304">
        <v>2</v>
      </c>
      <c r="S304" s="15">
        <v>2703.28</v>
      </c>
      <c r="T304" s="4">
        <v>0.25</v>
      </c>
      <c r="U304" s="3" t="str">
        <f>IF(T304&lt;0, "negative_discount", IF(AND(T304&gt;0.5, T304&lt;=1), "high_discount", ""))</f>
        <v/>
      </c>
      <c r="V304" s="11">
        <v>4054.92</v>
      </c>
      <c r="W304" s="12">
        <v>4054.92</v>
      </c>
      <c r="X304" s="11">
        <v>2424.83</v>
      </c>
      <c r="Y304" s="11">
        <v>1630.09</v>
      </c>
      <c r="Z304" s="11">
        <f>ROUND(W304-X304,2)</f>
        <v>1630.09</v>
      </c>
      <c r="AA304" s="4">
        <f>IF(W304=0,0,Z304/W304)</f>
        <v>0.4020029988261174</v>
      </c>
      <c r="AB304" t="s">
        <v>31</v>
      </c>
      <c r="AC304" t="s">
        <v>32</v>
      </c>
      <c r="AD304" t="str">
        <f>IF(AND(E304="", T304&gt;=0, T304&lt;=0.5, K304&lt;&gt;"Unknown", Q304&lt;&gt;"Unknown"), "CLEAN", _xlfn.CONCAT("WARNING: ", IF(E304&lt;&gt;"","invalid_date",""), IF(T304&lt;0,"negative_discount",""), IF(AND(T304&gt;0.5,T304&lt;=1),"high_discount",""), IF(K304="Unknown","missing_region",""), IF(Q304="Unknown","missing_ship_mode","")))</f>
        <v>CLEAN</v>
      </c>
      <c r="AE304" t="str">
        <f>IF(COUNTIF($AF$2:$AF$926,AF304)&gt;1,"DUPLICATE","UNIQUE")</f>
        <v>UNIQUE</v>
      </c>
      <c r="AF304" t="str">
        <f>A304&amp;"|"&amp;B304&amp;"|"&amp;H304&amp;"|"&amp;I304&amp;"|"&amp;R304&amp;"|"&amp;S304&amp;"|"&amp;V304</f>
        <v>ORD-2025-10303|2025-04-06|CUST-1623|Neha Gupta|2|2703.28|4054.92</v>
      </c>
      <c r="AG304" t="str">
        <f>IF(COUNTIF($A$2:$A$913,A304)&gt;1,"TRUE","FALSE")</f>
        <v>FALSE</v>
      </c>
    </row>
    <row r="305" spans="1:33">
      <c r="A305" t="s">
        <v>1000</v>
      </c>
      <c r="B305" t="s">
        <v>688</v>
      </c>
      <c r="C305" t="s">
        <v>2915</v>
      </c>
      <c r="D305">
        <f>IF(OR(B305="", C305=""), "", (C305 - B305))</f>
        <v>5</v>
      </c>
      <c r="E305" t="str">
        <f>IF(C305&lt;B305, "INVALID: Ship date before order date", "")</f>
        <v/>
      </c>
      <c r="F305" t="str">
        <f>IF(B305="", "", TEXT(B305, "mmmm"))</f>
        <v>June</v>
      </c>
      <c r="G305">
        <f>IF(B305="", "", YEAR(B305))</f>
        <v>2024</v>
      </c>
      <c r="H305" t="s">
        <v>1001</v>
      </c>
      <c r="I305" t="s">
        <v>158</v>
      </c>
      <c r="J305" t="s">
        <v>93</v>
      </c>
      <c r="K305" t="s">
        <v>62</v>
      </c>
      <c r="L305" t="s">
        <v>176</v>
      </c>
      <c r="M305" t="s">
        <v>177</v>
      </c>
      <c r="N305" t="s">
        <v>40</v>
      </c>
      <c r="O305" t="s">
        <v>65</v>
      </c>
      <c r="P305" t="s">
        <v>1002</v>
      </c>
      <c r="Q305" t="s">
        <v>58</v>
      </c>
      <c r="R305">
        <v>2</v>
      </c>
      <c r="S305" s="15">
        <v>1313.14</v>
      </c>
      <c r="T305" s="4">
        <v>0.1</v>
      </c>
      <c r="U305" s="3" t="str">
        <f>IF(T305&lt;0, "negative_discount", IF(AND(T305&gt;0.5, T305&lt;=1), "high_discount", ""))</f>
        <v/>
      </c>
      <c r="V305" s="11">
        <v>2363.65</v>
      </c>
      <c r="W305" s="12">
        <v>2363.65</v>
      </c>
      <c r="X305" s="11">
        <v>1876.1</v>
      </c>
      <c r="Y305" s="11">
        <v>487.55</v>
      </c>
      <c r="Z305" s="11">
        <f>ROUND(W305-X305,2)</f>
        <v>487.55</v>
      </c>
      <c r="AA305" s="4">
        <f>IF(W305=0,0,Z305/W305)</f>
        <v>0.20626996382713175</v>
      </c>
      <c r="AB305" t="s">
        <v>109</v>
      </c>
      <c r="AC305" t="s">
        <v>100</v>
      </c>
      <c r="AD305" t="str">
        <f>IF(AND(E305="", T305&gt;=0, T305&lt;=0.5, K305&lt;&gt;"Unknown", Q305&lt;&gt;"Unknown"), "CLEAN", _xlfn.CONCAT("WARNING: ", IF(E305&lt;&gt;"","invalid_date",""), IF(T305&lt;0,"negative_discount",""), IF(AND(T305&gt;0.5,T305&lt;=1),"high_discount",""), IF(K305="Unknown","missing_region",""), IF(Q305="Unknown","missing_ship_mode","")))</f>
        <v>CLEAN</v>
      </c>
      <c r="AE305" t="str">
        <f>IF(COUNTIF($AF$2:$AF$926,AF305)&gt;1,"DUPLICATE","UNIQUE")</f>
        <v>UNIQUE</v>
      </c>
      <c r="AF305" t="str">
        <f>A305&amp;"|"&amp;B305&amp;"|"&amp;H305&amp;"|"&amp;I305&amp;"|"&amp;R305&amp;"|"&amp;S305&amp;"|"&amp;V305</f>
        <v>ORD-2024-10304|2024-06-23|CUST-9035|Diya Patel|2|1313.14|2363.65</v>
      </c>
      <c r="AG305" t="str">
        <f>IF(COUNTIF($A$2:$A$913,A305)&gt;1,"TRUE","FALSE")</f>
        <v>FALSE</v>
      </c>
    </row>
    <row r="306" spans="1:33">
      <c r="A306" t="s">
        <v>1003</v>
      </c>
      <c r="B306" t="s">
        <v>2542</v>
      </c>
      <c r="C306" t="s">
        <v>1004</v>
      </c>
      <c r="D306">
        <f>IF(OR(B306="", C306=""), "", (C306 - B306))</f>
        <v>7</v>
      </c>
      <c r="E306" t="str">
        <f>IF(C306&lt;B306, "INVALID: Ship date before order date", "")</f>
        <v/>
      </c>
      <c r="F306" t="str">
        <f>IF(B306="", "", TEXT(B306, "mmmm"))</f>
        <v>March</v>
      </c>
      <c r="G306">
        <f>IF(B306="", "", YEAR(B306))</f>
        <v>2024</v>
      </c>
      <c r="H306" t="s">
        <v>1005</v>
      </c>
      <c r="I306" t="s">
        <v>22</v>
      </c>
      <c r="J306" t="s">
        <v>23</v>
      </c>
      <c r="K306" t="s">
        <v>24</v>
      </c>
      <c r="L306" t="s">
        <v>120</v>
      </c>
      <c r="M306" t="s">
        <v>121</v>
      </c>
      <c r="N306" t="s">
        <v>40</v>
      </c>
      <c r="O306" t="s">
        <v>56</v>
      </c>
      <c r="P306" t="s">
        <v>1006</v>
      </c>
      <c r="Q306" t="s">
        <v>58</v>
      </c>
      <c r="R306">
        <v>6</v>
      </c>
      <c r="S306" s="15">
        <v>2403.0500000000002</v>
      </c>
      <c r="T306" s="4">
        <v>0.1</v>
      </c>
      <c r="U306" s="3" t="str">
        <f>IF(T306&lt;0, "negative_discount", IF(AND(T306&gt;0.5, T306&lt;=1), "high_discount", ""))</f>
        <v/>
      </c>
      <c r="V306" s="11">
        <v>12976.47</v>
      </c>
      <c r="W306" s="12">
        <v>12976.47</v>
      </c>
      <c r="X306" s="11">
        <v>10019.98</v>
      </c>
      <c r="Y306" s="11">
        <v>2956.49</v>
      </c>
      <c r="Z306" s="11">
        <f>ROUND(W306-X306,2)</f>
        <v>2956.49</v>
      </c>
      <c r="AA306" s="4">
        <f>IF(W306=0,0,Z306/W306)</f>
        <v>0.2278346884784537</v>
      </c>
      <c r="AB306" t="s">
        <v>31</v>
      </c>
      <c r="AC306" t="s">
        <v>32</v>
      </c>
      <c r="AD306" t="str">
        <f>IF(AND(E306="", T306&gt;=0, T306&lt;=0.5, K306&lt;&gt;"Unknown", Q306&lt;&gt;"Unknown"), "CLEAN", _xlfn.CONCAT("WARNING: ", IF(E306&lt;&gt;"","invalid_date",""), IF(T306&lt;0,"negative_discount",""), IF(AND(T306&gt;0.5,T306&lt;=1),"high_discount",""), IF(K306="Unknown","missing_region",""), IF(Q306="Unknown","missing_ship_mode","")))</f>
        <v>CLEAN</v>
      </c>
      <c r="AE306" t="str">
        <f>IF(COUNTIF($AF$2:$AF$926,AF306)&gt;1,"DUPLICATE","UNIQUE")</f>
        <v>UNIQUE</v>
      </c>
      <c r="AF306" t="str">
        <f>A306&amp;"|"&amp;B306&amp;"|"&amp;H306&amp;"|"&amp;I306&amp;"|"&amp;R306&amp;"|"&amp;S306&amp;"|"&amp;V306</f>
        <v>ORD-2024-10305|2024-03-06|CUST-6286|Karan Malhotra|6|2403.05|12976.47</v>
      </c>
      <c r="AG306" t="str">
        <f>IF(COUNTIF($A$2:$A$913,A306)&gt;1,"TRUE","FALSE")</f>
        <v>FALSE</v>
      </c>
    </row>
    <row r="307" spans="1:33">
      <c r="A307" t="s">
        <v>1007</v>
      </c>
      <c r="B307" t="s">
        <v>2261</v>
      </c>
      <c r="C307" t="s">
        <v>792</v>
      </c>
      <c r="D307">
        <f>IF(OR(B307="", C307=""), "", (C307 - B307))</f>
        <v>1</v>
      </c>
      <c r="E307" t="str">
        <f>IF(C307&lt;B307, "INVALID: Ship date before order date", "")</f>
        <v/>
      </c>
      <c r="F307" t="str">
        <f>IF(B307="", "", TEXT(B307, "mmmm"))</f>
        <v>May</v>
      </c>
      <c r="G307">
        <f>IF(B307="", "", YEAR(B307))</f>
        <v>2024</v>
      </c>
      <c r="H307" t="s">
        <v>1008</v>
      </c>
      <c r="I307" t="s">
        <v>61</v>
      </c>
      <c r="J307" t="s">
        <v>23</v>
      </c>
      <c r="K307" t="s">
        <v>37</v>
      </c>
      <c r="L307" t="s">
        <v>163</v>
      </c>
      <c r="M307" t="s">
        <v>164</v>
      </c>
      <c r="N307" t="s">
        <v>40</v>
      </c>
      <c r="O307" t="s">
        <v>65</v>
      </c>
      <c r="P307" t="s">
        <v>1009</v>
      </c>
      <c r="Q307" t="s">
        <v>49</v>
      </c>
      <c r="R307">
        <v>4</v>
      </c>
      <c r="S307" s="15">
        <v>4156.0600000000004</v>
      </c>
      <c r="T307" s="4">
        <v>0.55000000000000004</v>
      </c>
      <c r="U307" s="3" t="str">
        <f>IF(T307&lt;0, "negative_discount", IF(AND(T307&gt;0.5, T307&lt;=1), "high_discount", ""))</f>
        <v>high_discount</v>
      </c>
      <c r="V307" s="11">
        <v>13299.39</v>
      </c>
      <c r="W307" s="12">
        <v>7480.91</v>
      </c>
      <c r="X307" s="11">
        <v>9851.91</v>
      </c>
      <c r="Y307" s="11">
        <v>3447.48</v>
      </c>
      <c r="Z307" s="11">
        <f>ROUND(W307-X307,2)</f>
        <v>-2371</v>
      </c>
      <c r="AA307" s="4">
        <f>IF(W307=0,0,Z307/W307)</f>
        <v>-0.31694005141085779</v>
      </c>
      <c r="AB307" t="s">
        <v>31</v>
      </c>
      <c r="AC307" t="s">
        <v>67</v>
      </c>
      <c r="AD307" t="str">
        <f>IF(AND(E307="", T307&gt;=0, T307&lt;=0.5, K307&lt;&gt;"Unknown", Q307&lt;&gt;"Unknown"), "CLEAN", _xlfn.CONCAT("WARNING: ", IF(E307&lt;&gt;"","invalid_date",""), IF(T307&lt;0,"negative_discount",""), IF(AND(T307&gt;0.5,T307&lt;=1),"high_discount",""), IF(K307="Unknown","missing_region",""), IF(Q307="Unknown","missing_ship_mode","")))</f>
        <v>WARNING: high_discount</v>
      </c>
      <c r="AE307" t="str">
        <f>IF(COUNTIF($AF$2:$AF$926,AF307)&gt;1,"DUPLICATE","UNIQUE")</f>
        <v>UNIQUE</v>
      </c>
      <c r="AF307" t="str">
        <f>A307&amp;"|"&amp;B307&amp;"|"&amp;H307&amp;"|"&amp;I307&amp;"|"&amp;R307&amp;"|"&amp;S307&amp;"|"&amp;V307</f>
        <v>ORD-2024-10306|2024-05-01|CUST-7246|Ananya Rao|4|4156.06|13299.39</v>
      </c>
      <c r="AG307" t="str">
        <f>IF(COUNTIF($A$2:$A$913,A307)&gt;1,"TRUE","FALSE")</f>
        <v>FALSE</v>
      </c>
    </row>
    <row r="308" spans="1:33">
      <c r="A308" t="s">
        <v>3109</v>
      </c>
      <c r="B308" t="s">
        <v>2726</v>
      </c>
      <c r="C308" t="s">
        <v>81</v>
      </c>
      <c r="D308">
        <f>IF(OR(B308="", C308=""), "", (C308 - B308))</f>
        <v>3</v>
      </c>
      <c r="E308" t="str">
        <f>IF(C308&lt;B308, "INVALID: Ship date before order date", "")</f>
        <v/>
      </c>
      <c r="F308" t="str">
        <f>IF(B308="", "", TEXT(B308, "mmmm"))</f>
        <v>February</v>
      </c>
      <c r="G308">
        <f>IF(B308="", "", YEAR(B308))</f>
        <v>2025</v>
      </c>
      <c r="H308" t="s">
        <v>1010</v>
      </c>
      <c r="I308" t="s">
        <v>126</v>
      </c>
      <c r="J308" t="s">
        <v>23</v>
      </c>
      <c r="K308" t="s">
        <v>24</v>
      </c>
      <c r="L308" t="s">
        <v>25</v>
      </c>
      <c r="M308" t="s">
        <v>26</v>
      </c>
      <c r="N308" t="s">
        <v>74</v>
      </c>
      <c r="O308" t="s">
        <v>168</v>
      </c>
      <c r="P308" t="s">
        <v>1011</v>
      </c>
      <c r="Q308" t="s">
        <v>30</v>
      </c>
      <c r="R308">
        <v>4</v>
      </c>
      <c r="S308" s="15">
        <v>3673.11</v>
      </c>
      <c r="T308" s="4">
        <v>0</v>
      </c>
      <c r="U308" s="3" t="str">
        <f>IF(T308&lt;0, "negative_discount", IF(AND(T308&gt;0.5, T308&lt;=1), "high_discount", ""))</f>
        <v/>
      </c>
      <c r="V308" s="11">
        <v>14692.44</v>
      </c>
      <c r="W308" s="12">
        <v>14692.44</v>
      </c>
      <c r="X308" s="11">
        <v>10082.19</v>
      </c>
      <c r="Y308" s="11">
        <v>4610.25</v>
      </c>
      <c r="Z308" s="11">
        <f>ROUND(W308-X308,2)</f>
        <v>4610.25</v>
      </c>
      <c r="AA308" s="4">
        <f>IF(W308=0,0,Z308/W308)</f>
        <v>0.31378382351740075</v>
      </c>
      <c r="AB308" t="s">
        <v>31</v>
      </c>
      <c r="AC308" t="s">
        <v>32</v>
      </c>
      <c r="AD308" t="str">
        <f>IF(AND(E308="", T308&gt;=0, T308&lt;=0.5, K308&lt;&gt;"Unknown", Q308&lt;&gt;"Unknown"), "CLEAN", _xlfn.CONCAT("WARNING: ", IF(E308&lt;&gt;"","invalid_date",""), IF(T308&lt;0,"negative_discount",""), IF(AND(T308&gt;0.5,T308&lt;=1),"high_discount",""), IF(K308="Unknown","missing_region",""), IF(Q308="Unknown","missing_ship_mode","")))</f>
        <v>CLEAN</v>
      </c>
      <c r="AE308" t="str">
        <f>IF(COUNTIF($AF$2:$AF$926,AF308)&gt;1,"DUPLICATE","UNIQUE")</f>
        <v>UNIQUE</v>
      </c>
      <c r="AF308" t="str">
        <f>A308&amp;"|"&amp;B308&amp;"|"&amp;H308&amp;"|"&amp;I308&amp;"|"&amp;R308&amp;"|"&amp;S308&amp;"|"&amp;V308</f>
        <v>ORD-2025-10307|2025-02-20|CUST-2589|Aarav Sharma|4|3673.11|14692.44</v>
      </c>
      <c r="AG308" t="str">
        <f>IF(COUNTIF($A$2:$A$913,A308)&gt;1,"TRUE","FALSE")</f>
        <v>FALSE</v>
      </c>
    </row>
    <row r="309" spans="1:33">
      <c r="A309" t="s">
        <v>3110</v>
      </c>
      <c r="B309" t="s">
        <v>1012</v>
      </c>
      <c r="C309" t="s">
        <v>2929</v>
      </c>
      <c r="D309">
        <f>IF(OR(B309="", C309=""), "", (C309 - B309))</f>
        <v>7</v>
      </c>
      <c r="E309" t="str">
        <f>IF(C309&lt;B309, "INVALID: Ship date before order date", "")</f>
        <v/>
      </c>
      <c r="F309" t="str">
        <f>IF(B309="", "", TEXT(B309, "mmmm"))</f>
        <v>July</v>
      </c>
      <c r="G309">
        <f>IF(B309="", "", YEAR(B309))</f>
        <v>2025</v>
      </c>
      <c r="H309" t="s">
        <v>1013</v>
      </c>
      <c r="I309" t="s">
        <v>61</v>
      </c>
      <c r="J309" t="s">
        <v>89</v>
      </c>
      <c r="K309" t="s">
        <v>24</v>
      </c>
      <c r="L309" t="s">
        <v>134</v>
      </c>
      <c r="M309" t="s">
        <v>135</v>
      </c>
      <c r="N309" t="s">
        <v>40</v>
      </c>
      <c r="O309" t="s">
        <v>41</v>
      </c>
      <c r="P309" t="s">
        <v>1014</v>
      </c>
      <c r="Q309" t="s">
        <v>49</v>
      </c>
      <c r="R309">
        <v>9</v>
      </c>
      <c r="S309" s="15">
        <v>4093.04</v>
      </c>
      <c r="T309" s="4">
        <v>0.2</v>
      </c>
      <c r="U309" s="3" t="str">
        <f>IF(T309&lt;0, "negative_discount", IF(AND(T309&gt;0.5, T309&lt;=1), "high_discount", ""))</f>
        <v/>
      </c>
      <c r="V309" s="11">
        <v>29469.89</v>
      </c>
      <c r="W309" s="12">
        <v>29469.89</v>
      </c>
      <c r="X309" s="11">
        <v>18935.509999999998</v>
      </c>
      <c r="Y309" s="11">
        <v>10534.38</v>
      </c>
      <c r="Z309" s="11">
        <f>ROUND(W309-X309,2)</f>
        <v>10534.38</v>
      </c>
      <c r="AA309" s="4">
        <f>IF(W309=0,0,Z309/W309)</f>
        <v>0.35746248119690976</v>
      </c>
      <c r="AB309" t="s">
        <v>109</v>
      </c>
      <c r="AC309" t="s">
        <v>67</v>
      </c>
      <c r="AD309" t="str">
        <f>IF(AND(E309="", T309&gt;=0, T309&lt;=0.5, K309&lt;&gt;"Unknown", Q309&lt;&gt;"Unknown"), "CLEAN", _xlfn.CONCAT("WARNING: ", IF(E309&lt;&gt;"","invalid_date",""), IF(T309&lt;0,"negative_discount",""), IF(AND(T309&gt;0.5,T309&lt;=1),"high_discount",""), IF(K309="Unknown","missing_region",""), IF(Q309="Unknown","missing_ship_mode","")))</f>
        <v>CLEAN</v>
      </c>
      <c r="AE309" t="str">
        <f>IF(COUNTIF($AF$2:$AF$926,AF309)&gt;1,"DUPLICATE","UNIQUE")</f>
        <v>UNIQUE</v>
      </c>
      <c r="AF309" t="str">
        <f>A309&amp;"|"&amp;B309&amp;"|"&amp;H309&amp;"|"&amp;I309&amp;"|"&amp;R309&amp;"|"&amp;S309&amp;"|"&amp;V309</f>
        <v>ORD-2025-10308|2025-07-12|CUST-4153|Ananya Rao|9|4093.04|29469.89</v>
      </c>
      <c r="AG309" t="str">
        <f>IF(COUNTIF($A$2:$A$913,A309)&gt;1,"TRUE","FALSE")</f>
        <v>FALSE</v>
      </c>
    </row>
    <row r="310" spans="1:33">
      <c r="A310" t="s">
        <v>3111</v>
      </c>
      <c r="B310" t="s">
        <v>1015</v>
      </c>
      <c r="C310" t="s">
        <v>1016</v>
      </c>
      <c r="D310">
        <f>IF(OR(B310="", C310=""), "", (C310 - B310))</f>
        <v>6</v>
      </c>
      <c r="E310" t="str">
        <f>IF(C310&lt;B310, "INVALID: Ship date before order date", "")</f>
        <v/>
      </c>
      <c r="F310" t="str">
        <f>IF(B310="", "", TEXT(B310, "mmmm"))</f>
        <v>June</v>
      </c>
      <c r="G310">
        <f>IF(B310="", "", YEAR(B310))</f>
        <v>2025</v>
      </c>
      <c r="H310" t="s">
        <v>1017</v>
      </c>
      <c r="I310" t="s">
        <v>139</v>
      </c>
      <c r="J310" t="s">
        <v>23</v>
      </c>
      <c r="K310" t="s">
        <v>24</v>
      </c>
      <c r="L310" t="s">
        <v>25</v>
      </c>
      <c r="M310" t="s">
        <v>26</v>
      </c>
      <c r="N310" t="s">
        <v>40</v>
      </c>
      <c r="O310" t="s">
        <v>41</v>
      </c>
      <c r="P310" t="s">
        <v>1018</v>
      </c>
      <c r="Q310" t="s">
        <v>49</v>
      </c>
      <c r="R310">
        <v>4</v>
      </c>
      <c r="S310" s="15">
        <v>731.57</v>
      </c>
      <c r="T310" s="4">
        <v>0.2</v>
      </c>
      <c r="U310" s="3" t="str">
        <f>IF(T310&lt;0, "negative_discount", IF(AND(T310&gt;0.5, T310&lt;=1), "high_discount", ""))</f>
        <v/>
      </c>
      <c r="V310" s="11">
        <v>2341.02</v>
      </c>
      <c r="W310" s="12">
        <v>2341.02</v>
      </c>
      <c r="X310" s="11">
        <v>1565.49</v>
      </c>
      <c r="Y310" s="11">
        <v>775.53</v>
      </c>
      <c r="Z310" s="11">
        <f>ROUND(W310-X310,2)</f>
        <v>775.53</v>
      </c>
      <c r="AA310" s="4">
        <f>IF(W310=0,0,Z310/W310)</f>
        <v>0.33127867339877487</v>
      </c>
      <c r="AB310" t="s">
        <v>31</v>
      </c>
      <c r="AC310" t="s">
        <v>32</v>
      </c>
      <c r="AD310" t="str">
        <f>IF(AND(E310="", T310&gt;=0, T310&lt;=0.5, K310&lt;&gt;"Unknown", Q310&lt;&gt;"Unknown"), "CLEAN", _xlfn.CONCAT("WARNING: ", IF(E310&lt;&gt;"","invalid_date",""), IF(T310&lt;0,"negative_discount",""), IF(AND(T310&gt;0.5,T310&lt;=1),"high_discount",""), IF(K310="Unknown","missing_region",""), IF(Q310="Unknown","missing_ship_mode","")))</f>
        <v>CLEAN</v>
      </c>
      <c r="AE310" t="str">
        <f>IF(COUNTIF($AF$2:$AF$926,AF310)&gt;1,"DUPLICATE","UNIQUE")</f>
        <v>UNIQUE</v>
      </c>
      <c r="AF310" t="str">
        <f>A310&amp;"|"&amp;B310&amp;"|"&amp;H310&amp;"|"&amp;I310&amp;"|"&amp;R310&amp;"|"&amp;S310&amp;"|"&amp;V310</f>
        <v>ORD-2025-10309|2025-06-13|CUST-6727|Rohan Mehta|4|731.57|2341.02</v>
      </c>
      <c r="AG310" t="str">
        <f>IF(COUNTIF($A$2:$A$913,A310)&gt;1,"TRUE","FALSE")</f>
        <v>FALSE</v>
      </c>
    </row>
    <row r="311" spans="1:33">
      <c r="A311" t="s">
        <v>1019</v>
      </c>
      <c r="B311" t="s">
        <v>2693</v>
      </c>
      <c r="C311" t="s">
        <v>102</v>
      </c>
      <c r="D311">
        <f>IF(OR(B311="", C311=""), "", (C311 - B311))</f>
        <v>2</v>
      </c>
      <c r="E311" t="str">
        <f>IF(C311&lt;B311, "INVALID: Ship date before order date", "")</f>
        <v/>
      </c>
      <c r="F311" t="str">
        <f>IF(B311="", "", TEXT(B311, "mmmm"))</f>
        <v>July</v>
      </c>
      <c r="G311">
        <f>IF(B311="", "", YEAR(B311))</f>
        <v>2024</v>
      </c>
      <c r="H311" t="s">
        <v>1020</v>
      </c>
      <c r="I311" t="s">
        <v>61</v>
      </c>
      <c r="J311" t="s">
        <v>23</v>
      </c>
      <c r="K311" t="s">
        <v>53</v>
      </c>
      <c r="L311" t="s">
        <v>246</v>
      </c>
      <c r="M311" t="s">
        <v>247</v>
      </c>
      <c r="N311" t="s">
        <v>40</v>
      </c>
      <c r="O311" t="s">
        <v>41</v>
      </c>
      <c r="P311" t="s">
        <v>1021</v>
      </c>
      <c r="Q311" t="s">
        <v>49</v>
      </c>
      <c r="R311">
        <v>7</v>
      </c>
      <c r="S311" s="15">
        <v>2060.73</v>
      </c>
      <c r="T311" s="4">
        <v>0.1</v>
      </c>
      <c r="U311" s="3" t="str">
        <f>IF(T311&lt;0, "negative_discount", IF(AND(T311&gt;0.5, T311&lt;=1), "high_discount", ""))</f>
        <v/>
      </c>
      <c r="V311" s="11">
        <v>12982.6</v>
      </c>
      <c r="W311" s="12">
        <v>12982.6</v>
      </c>
      <c r="X311" s="11">
        <v>7246.36</v>
      </c>
      <c r="Y311" s="11">
        <v>5736.24</v>
      </c>
      <c r="Z311" s="11">
        <f>ROUND(W311-X311,2)</f>
        <v>5736.24</v>
      </c>
      <c r="AA311" s="4">
        <f>IF(W311=0,0,Z311/W311)</f>
        <v>0.44184061744180669</v>
      </c>
      <c r="AB311" t="s">
        <v>31</v>
      </c>
      <c r="AC311" t="s">
        <v>67</v>
      </c>
      <c r="AD311" t="str">
        <f>IF(AND(E311="", T311&gt;=0, T311&lt;=0.5, K311&lt;&gt;"Unknown", Q311&lt;&gt;"Unknown"), "CLEAN", _xlfn.CONCAT("WARNING: ", IF(E311&lt;&gt;"","invalid_date",""), IF(T311&lt;0,"negative_discount",""), IF(AND(T311&gt;0.5,T311&lt;=1),"high_discount",""), IF(K311="Unknown","missing_region",""), IF(Q311="Unknown","missing_ship_mode","")))</f>
        <v>CLEAN</v>
      </c>
      <c r="AE311" t="str">
        <f>IF(COUNTIF($AF$2:$AF$926,AF311)&gt;1,"DUPLICATE","UNIQUE")</f>
        <v>UNIQUE</v>
      </c>
      <c r="AF311" t="str">
        <f>A311&amp;"|"&amp;B311&amp;"|"&amp;H311&amp;"|"&amp;I311&amp;"|"&amp;R311&amp;"|"&amp;S311&amp;"|"&amp;V311</f>
        <v>ORD-2024-10310|2024-07-20|CUST-8860|Ananya Rao|7|2060.73|12982.6</v>
      </c>
      <c r="AG311" t="str">
        <f>IF(COUNTIF($A$2:$A$913,A311)&gt;1,"TRUE","FALSE")</f>
        <v>FALSE</v>
      </c>
    </row>
    <row r="312" spans="1:33">
      <c r="A312" t="s">
        <v>1022</v>
      </c>
      <c r="B312" t="s">
        <v>2769</v>
      </c>
      <c r="C312" t="s">
        <v>2930</v>
      </c>
      <c r="D312">
        <f>IF(OR(B312="", C312=""), "", (C312 - B312))</f>
        <v>122</v>
      </c>
      <c r="E312" t="str">
        <f>IF(C312&lt;B312, "INVALID: Ship date before order date", "")</f>
        <v/>
      </c>
      <c r="F312" t="str">
        <f>IF(B312="", "", TEXT(B312, "mmmm"))</f>
        <v>April</v>
      </c>
      <c r="G312">
        <f>IF(B312="", "", YEAR(B312))</f>
        <v>2024</v>
      </c>
      <c r="H312" t="s">
        <v>1023</v>
      </c>
      <c r="I312" t="s">
        <v>139</v>
      </c>
      <c r="J312" t="s">
        <v>36</v>
      </c>
      <c r="K312" t="s">
        <v>53</v>
      </c>
      <c r="L312" t="s">
        <v>246</v>
      </c>
      <c r="M312" t="s">
        <v>247</v>
      </c>
      <c r="N312" t="s">
        <v>74</v>
      </c>
      <c r="O312" t="s">
        <v>272</v>
      </c>
      <c r="P312" t="s">
        <v>1024</v>
      </c>
      <c r="Q312" t="s">
        <v>49</v>
      </c>
      <c r="R312">
        <v>8</v>
      </c>
      <c r="S312" s="15">
        <v>2034.25</v>
      </c>
      <c r="T312" s="4">
        <v>0</v>
      </c>
      <c r="U312" s="3" t="str">
        <f>IF(T312&lt;0, "negative_discount", IF(AND(T312&gt;0.5, T312&lt;=1), "high_discount", ""))</f>
        <v/>
      </c>
      <c r="V312" s="11">
        <v>16274</v>
      </c>
      <c r="W312" s="12">
        <v>16274</v>
      </c>
      <c r="X312" s="11">
        <v>9424.25</v>
      </c>
      <c r="Y312" s="11">
        <v>6849.75</v>
      </c>
      <c r="Z312" s="11">
        <f>ROUND(W312-X312,2)</f>
        <v>6849.75</v>
      </c>
      <c r="AA312" s="4">
        <f>IF(W312=0,0,Z312/W312)</f>
        <v>0.42090143787636719</v>
      </c>
      <c r="AB312" t="s">
        <v>31</v>
      </c>
      <c r="AC312" t="s">
        <v>32</v>
      </c>
      <c r="AD312" t="str">
        <f>IF(AND(E312="", T312&gt;=0, T312&lt;=0.5, K312&lt;&gt;"Unknown", Q312&lt;&gt;"Unknown"), "CLEAN", _xlfn.CONCAT("WARNING: ", IF(E312&lt;&gt;"","invalid_date",""), IF(T312&lt;0,"negative_discount",""), IF(AND(T312&gt;0.5,T312&lt;=1),"high_discount",""), IF(K312="Unknown","missing_region",""), IF(Q312="Unknown","missing_ship_mode","")))</f>
        <v>CLEAN</v>
      </c>
      <c r="AE312" t="str">
        <f>IF(COUNTIF($AF$2:$AF$926,AF312)&gt;1,"DUPLICATE","UNIQUE")</f>
        <v>UNIQUE</v>
      </c>
      <c r="AF312" t="str">
        <f>A312&amp;"|"&amp;B312&amp;"|"&amp;H312&amp;"|"&amp;I312&amp;"|"&amp;R312&amp;"|"&amp;S312&amp;"|"&amp;V312</f>
        <v>ORD-2024-10311|2024-04-07|CUST-3784|Rohan Mehta|8|2034.25|16274</v>
      </c>
      <c r="AG312" t="str">
        <f>IF(COUNTIF($A$2:$A$913,A312)&gt;1,"TRUE","FALSE")</f>
        <v>FALSE</v>
      </c>
    </row>
    <row r="313" spans="1:33">
      <c r="A313" t="s">
        <v>1025</v>
      </c>
      <c r="B313" t="s">
        <v>308</v>
      </c>
      <c r="C313" t="s">
        <v>2728</v>
      </c>
      <c r="D313">
        <f>IF(OR(B313="", C313=""), "", (C313 - B313))</f>
        <v>-82</v>
      </c>
      <c r="E313" t="str">
        <f>IF(C313&lt;B313, "INVALID: Ship date before order date", "")</f>
        <v>INVALID: Ship date before order date</v>
      </c>
      <c r="F313" t="str">
        <f>IF(B313="", "", TEXT(B313, "mmmm"))</f>
        <v>April</v>
      </c>
      <c r="G313">
        <f>IF(B313="", "", YEAR(B313))</f>
        <v>2024</v>
      </c>
      <c r="H313" t="s">
        <v>1026</v>
      </c>
      <c r="I313" t="s">
        <v>35</v>
      </c>
      <c r="J313" t="s">
        <v>89</v>
      </c>
      <c r="K313" t="s">
        <v>53</v>
      </c>
      <c r="L313" t="s">
        <v>171</v>
      </c>
      <c r="M313" t="s">
        <v>172</v>
      </c>
      <c r="N313" t="s">
        <v>27</v>
      </c>
      <c r="O313" t="s">
        <v>149</v>
      </c>
      <c r="P313" t="s">
        <v>1027</v>
      </c>
      <c r="Q313" t="s">
        <v>30</v>
      </c>
      <c r="R313">
        <v>5</v>
      </c>
      <c r="S313" s="15">
        <v>554.04</v>
      </c>
      <c r="T313" s="4">
        <v>0.1</v>
      </c>
      <c r="U313" s="3" t="str">
        <f>IF(T313&lt;0, "negative_discount", IF(AND(T313&gt;0.5, T313&lt;=1), "high_discount", ""))</f>
        <v/>
      </c>
      <c r="V313" s="11">
        <v>2493.1799999999998</v>
      </c>
      <c r="W313" s="12">
        <v>2493.1799999999998</v>
      </c>
      <c r="X313" s="11">
        <v>1764</v>
      </c>
      <c r="Y313" s="11">
        <v>729.18</v>
      </c>
      <c r="Z313" s="11">
        <f>ROUND(W313-X313,2)</f>
        <v>729.18</v>
      </c>
      <c r="AA313" s="4">
        <f>IF(W313=0,0,Z313/W313)</f>
        <v>0.29246985777200202</v>
      </c>
      <c r="AB313" t="s">
        <v>31</v>
      </c>
      <c r="AC313" t="s">
        <v>32</v>
      </c>
      <c r="AD313" t="str">
        <f>IF(AND(E313="", T313&gt;=0, T313&lt;=0.5, K313&lt;&gt;"Unknown", Q313&lt;&gt;"Unknown"), "CLEAN", _xlfn.CONCAT("WARNING: ", IF(E313&lt;&gt;"","invalid_date",""), IF(T313&lt;0,"negative_discount",""), IF(AND(T313&gt;0.5,T313&lt;=1),"high_discount",""), IF(K313="Unknown","missing_region",""), IF(Q313="Unknown","missing_ship_mode","")))</f>
        <v>WARNING: invalid_date</v>
      </c>
      <c r="AE313" t="str">
        <f>IF(COUNTIF($AF$2:$AF$926,AF313)&gt;1,"DUPLICATE","UNIQUE")</f>
        <v>UNIQUE</v>
      </c>
      <c r="AF313" t="str">
        <f>A313&amp;"|"&amp;B313&amp;"|"&amp;H313&amp;"|"&amp;I313&amp;"|"&amp;R313&amp;"|"&amp;S313&amp;"|"&amp;V313</f>
        <v>ORD-2024-10312|2024-04-27|CUST-3545|Mira Das|5|554.04|2493.18</v>
      </c>
      <c r="AG313" t="str">
        <f>IF(COUNTIF($A$2:$A$913,A313)&gt;1,"TRUE","FALSE")</f>
        <v>FALSE</v>
      </c>
    </row>
    <row r="314" spans="1:33">
      <c r="A314" t="s">
        <v>1028</v>
      </c>
      <c r="B314" t="s">
        <v>2770</v>
      </c>
      <c r="C314" t="s">
        <v>2449</v>
      </c>
      <c r="D314">
        <f>IF(OR(B314="", C314=""), "", (C314 - B314))</f>
        <v>-114</v>
      </c>
      <c r="E314" t="str">
        <f>IF(C314&lt;B314, "INVALID: Ship date before order date", "")</f>
        <v>INVALID: Ship date before order date</v>
      </c>
      <c r="F314" t="str">
        <f>IF(B314="", "", TEXT(B314, "mmmm"))</f>
        <v>July</v>
      </c>
      <c r="G314">
        <f>IF(B314="", "", YEAR(B314))</f>
        <v>2024</v>
      </c>
      <c r="H314" t="s">
        <v>1029</v>
      </c>
      <c r="I314" t="s">
        <v>22</v>
      </c>
      <c r="J314" t="s">
        <v>36</v>
      </c>
      <c r="K314" t="s">
        <v>37</v>
      </c>
      <c r="L314" t="s">
        <v>163</v>
      </c>
      <c r="M314" t="s">
        <v>164</v>
      </c>
      <c r="N314" t="s">
        <v>74</v>
      </c>
      <c r="O314" t="s">
        <v>168</v>
      </c>
      <c r="P314" t="s">
        <v>1030</v>
      </c>
      <c r="Q314" t="s">
        <v>58</v>
      </c>
      <c r="R314">
        <v>8</v>
      </c>
      <c r="S314" s="15">
        <v>2614.7399999999998</v>
      </c>
      <c r="T314" s="4">
        <v>0</v>
      </c>
      <c r="U314" s="3" t="str">
        <f>IF(T314&lt;0, "negative_discount", IF(AND(T314&gt;0.5, T314&lt;=1), "high_discount", ""))</f>
        <v/>
      </c>
      <c r="V314" s="11">
        <v>15688.44</v>
      </c>
      <c r="W314" s="12">
        <v>20917.919999999998</v>
      </c>
      <c r="X314" s="11">
        <v>10047.33</v>
      </c>
      <c r="Y314" s="11">
        <v>5641.11</v>
      </c>
      <c r="Z314" s="11">
        <f>ROUND(W314-X314,2)</f>
        <v>10870.59</v>
      </c>
      <c r="AA314" s="4">
        <f>IF(W314=0,0,Z314/W314)</f>
        <v>0.51967834277977931</v>
      </c>
      <c r="AB314" t="s">
        <v>31</v>
      </c>
      <c r="AC314" t="s">
        <v>67</v>
      </c>
      <c r="AD314" t="str">
        <f>IF(AND(E314="", T314&gt;=0, T314&lt;=0.5, K314&lt;&gt;"Unknown", Q314&lt;&gt;"Unknown"), "CLEAN", _xlfn.CONCAT("WARNING: ", IF(E314&lt;&gt;"","invalid_date",""), IF(T314&lt;0,"negative_discount",""), IF(AND(T314&gt;0.5,T314&lt;=1),"high_discount",""), IF(K314="Unknown","missing_region",""), IF(Q314="Unknown","missing_ship_mode","")))</f>
        <v>WARNING: invalid_date</v>
      </c>
      <c r="AE314" t="str">
        <f>IF(COUNTIF($AF$2:$AF$926,AF314)&gt;1,"DUPLICATE","UNIQUE")</f>
        <v>UNIQUE</v>
      </c>
      <c r="AF314" t="str">
        <f>A314&amp;"|"&amp;B314&amp;"|"&amp;H314&amp;"|"&amp;I314&amp;"|"&amp;R314&amp;"|"&amp;S314&amp;"|"&amp;V314</f>
        <v>ORD-2024-10313|2024-07-31|CUST-4851|Karan Malhotra|8|2614.74|15688.44</v>
      </c>
      <c r="AG314" t="str">
        <f>IF(COUNTIF($A$2:$A$913,A314)&gt;1,"TRUE","FALSE")</f>
        <v>FALSE</v>
      </c>
    </row>
    <row r="315" spans="1:33">
      <c r="A315" t="s">
        <v>3112</v>
      </c>
      <c r="B315" t="s">
        <v>1031</v>
      </c>
      <c r="C315" t="s">
        <v>2931</v>
      </c>
      <c r="D315">
        <f>IF(OR(B315="", C315=""), "", (C315 - B315))</f>
        <v>1</v>
      </c>
      <c r="E315" t="str">
        <f>IF(C315&lt;B315, "INVALID: Ship date before order date", "")</f>
        <v/>
      </c>
      <c r="F315" t="str">
        <f>IF(B315="", "", TEXT(B315, "mmmm"))</f>
        <v>May</v>
      </c>
      <c r="G315">
        <f>IF(B315="", "", YEAR(B315))</f>
        <v>2025</v>
      </c>
      <c r="H315" t="s">
        <v>1032</v>
      </c>
      <c r="I315" t="s">
        <v>116</v>
      </c>
      <c r="J315" t="s">
        <v>89</v>
      </c>
      <c r="K315" t="s">
        <v>24</v>
      </c>
      <c r="L315" t="s">
        <v>134</v>
      </c>
      <c r="M315" t="s">
        <v>135</v>
      </c>
      <c r="N315" t="s">
        <v>74</v>
      </c>
      <c r="O315" t="s">
        <v>168</v>
      </c>
      <c r="P315" t="s">
        <v>1033</v>
      </c>
      <c r="Q315" t="s">
        <v>49</v>
      </c>
      <c r="R315">
        <v>8</v>
      </c>
      <c r="S315" s="15">
        <v>2081.4299999999998</v>
      </c>
      <c r="T315" s="4">
        <v>0.25</v>
      </c>
      <c r="U315" s="3" t="str">
        <f>IF(T315&lt;0, "negative_discount", IF(AND(T315&gt;0.5, T315&lt;=1), "high_discount", ""))</f>
        <v/>
      </c>
      <c r="V315" s="11">
        <v>12488.58</v>
      </c>
      <c r="W315" s="12">
        <v>12488.58</v>
      </c>
      <c r="X315" s="11">
        <v>10717.4</v>
      </c>
      <c r="Y315" s="11">
        <v>1771.18</v>
      </c>
      <c r="Z315" s="11">
        <f>ROUND(W315-X315,2)</f>
        <v>1771.18</v>
      </c>
      <c r="AA315" s="4">
        <f>IF(W315=0,0,Z315/W315)</f>
        <v>0.14182397037933858</v>
      </c>
      <c r="AB315" t="s">
        <v>99</v>
      </c>
      <c r="AC315" t="s">
        <v>67</v>
      </c>
      <c r="AD315" t="str">
        <f>IF(AND(E315="", T315&gt;=0, T315&lt;=0.5, K315&lt;&gt;"Unknown", Q315&lt;&gt;"Unknown"), "CLEAN", _xlfn.CONCAT("WARNING: ", IF(E315&lt;&gt;"","invalid_date",""), IF(T315&lt;0,"negative_discount",""), IF(AND(T315&gt;0.5,T315&lt;=1),"high_discount",""), IF(K315="Unknown","missing_region",""), IF(Q315="Unknown","missing_ship_mode","")))</f>
        <v>CLEAN</v>
      </c>
      <c r="AE315" t="str">
        <f>IF(COUNTIF($AF$2:$AF$926,AF315)&gt;1,"DUPLICATE","UNIQUE")</f>
        <v>UNIQUE</v>
      </c>
      <c r="AF315" t="str">
        <f>A315&amp;"|"&amp;B315&amp;"|"&amp;H315&amp;"|"&amp;I315&amp;"|"&amp;R315&amp;"|"&amp;S315&amp;"|"&amp;V315</f>
        <v>ORD-2025-10314|2025-05-30|CUST-4770|Rahul Verma|8|2081.43|12488.58</v>
      </c>
      <c r="AG315" t="str">
        <f>IF(COUNTIF($A$2:$A$913,A315)&gt;1,"TRUE","FALSE")</f>
        <v>FALSE</v>
      </c>
    </row>
    <row r="316" spans="1:33">
      <c r="A316" t="s">
        <v>3113</v>
      </c>
      <c r="B316" t="s">
        <v>1078</v>
      </c>
      <c r="C316" t="s">
        <v>2536</v>
      </c>
      <c r="D316">
        <f>IF(OR(B316="", C316=""), "", (C316 - B316))</f>
        <v>2</v>
      </c>
      <c r="E316" t="str">
        <f>IF(C316&lt;B316, "INVALID: Ship date before order date", "")</f>
        <v/>
      </c>
      <c r="F316" t="str">
        <f>IF(B316="", "", TEXT(B316, "mmmm"))</f>
        <v>May</v>
      </c>
      <c r="G316">
        <f>IF(B316="", "", YEAR(B316))</f>
        <v>2025</v>
      </c>
      <c r="H316" t="s">
        <v>1034</v>
      </c>
      <c r="I316" t="s">
        <v>46</v>
      </c>
      <c r="J316" t="s">
        <v>89</v>
      </c>
      <c r="K316" t="s">
        <v>62</v>
      </c>
      <c r="L316" t="s">
        <v>72</v>
      </c>
      <c r="M316" t="s">
        <v>73</v>
      </c>
      <c r="N316" t="s">
        <v>27</v>
      </c>
      <c r="O316" t="s">
        <v>90</v>
      </c>
      <c r="P316" t="s">
        <v>1035</v>
      </c>
      <c r="Q316" t="s">
        <v>58</v>
      </c>
      <c r="R316">
        <v>9</v>
      </c>
      <c r="S316" s="15">
        <v>847.76</v>
      </c>
      <c r="T316" s="4">
        <v>0.15</v>
      </c>
      <c r="U316" s="3" t="str">
        <f>IF(T316&lt;0, "negative_discount", IF(AND(T316&gt;0.5, T316&lt;=1), "high_discount", ""))</f>
        <v/>
      </c>
      <c r="V316" s="11">
        <v>6485.36</v>
      </c>
      <c r="W316" s="12">
        <v>6485.36</v>
      </c>
      <c r="X316" s="11">
        <v>5376.17</v>
      </c>
      <c r="Y316" s="11">
        <v>1109.19</v>
      </c>
      <c r="Z316" s="11">
        <f>ROUND(W316-X316,2)</f>
        <v>1109.19</v>
      </c>
      <c r="AA316" s="4">
        <f>IF(W316=0,0,Z316/W316)</f>
        <v>0.17102982717998694</v>
      </c>
      <c r="AB316" t="s">
        <v>151</v>
      </c>
      <c r="AC316" t="s">
        <v>100</v>
      </c>
      <c r="AD316" t="str">
        <f>IF(AND(E316="", T316&gt;=0, T316&lt;=0.5, K316&lt;&gt;"Unknown", Q316&lt;&gt;"Unknown"), "CLEAN", _xlfn.CONCAT("WARNING: ", IF(E316&lt;&gt;"","invalid_date",""), IF(T316&lt;0,"negative_discount",""), IF(AND(T316&gt;0.5,T316&lt;=1),"high_discount",""), IF(K316="Unknown","missing_region",""), IF(Q316="Unknown","missing_ship_mode","")))</f>
        <v>CLEAN</v>
      </c>
      <c r="AE316" t="str">
        <f>IF(COUNTIF($AF$2:$AF$926,AF316)&gt;1,"DUPLICATE","UNIQUE")</f>
        <v>UNIQUE</v>
      </c>
      <c r="AF316" t="str">
        <f>A316&amp;"|"&amp;B316&amp;"|"&amp;H316&amp;"|"&amp;I316&amp;"|"&amp;R316&amp;"|"&amp;S316&amp;"|"&amp;V316</f>
        <v>ORD-2025-10315|2025-05-18|CUST-1945|Isha Nair|9|847.76|6485.36</v>
      </c>
      <c r="AG316" t="str">
        <f>IF(COUNTIF($A$2:$A$913,A316)&gt;1,"TRUE","FALSE")</f>
        <v>TRUE</v>
      </c>
    </row>
    <row r="317" spans="1:33">
      <c r="A317" t="s">
        <v>1036</v>
      </c>
      <c r="B317" t="s">
        <v>1037</v>
      </c>
      <c r="C317" t="s">
        <v>1038</v>
      </c>
      <c r="D317">
        <f>IF(OR(B317="", C317=""), "", (C317 - B317))</f>
        <v>6</v>
      </c>
      <c r="E317" t="str">
        <f>IF(C317&lt;B317, "INVALID: Ship date before order date", "")</f>
        <v/>
      </c>
      <c r="F317" t="str">
        <f>IF(B317="", "", TEXT(B317, "mmmm"))</f>
        <v>July</v>
      </c>
      <c r="G317">
        <f>IF(B317="", "", YEAR(B317))</f>
        <v>2024</v>
      </c>
      <c r="H317" t="s">
        <v>1039</v>
      </c>
      <c r="I317" t="s">
        <v>139</v>
      </c>
      <c r="J317" t="s">
        <v>23</v>
      </c>
      <c r="K317" t="s">
        <v>24</v>
      </c>
      <c r="L317" t="s">
        <v>353</v>
      </c>
      <c r="M317" t="s">
        <v>354</v>
      </c>
      <c r="N317" t="s">
        <v>27</v>
      </c>
      <c r="O317" t="s">
        <v>28</v>
      </c>
      <c r="P317" t="s">
        <v>1040</v>
      </c>
      <c r="Q317" t="s">
        <v>58</v>
      </c>
      <c r="R317">
        <v>9</v>
      </c>
      <c r="S317" s="15">
        <v>3450.4</v>
      </c>
      <c r="T317" s="4">
        <v>0.05</v>
      </c>
      <c r="U317" s="3" t="str">
        <f>IF(T317&lt;0, "negative_discount", IF(AND(T317&gt;0.5, T317&lt;=1), "high_discount", ""))</f>
        <v/>
      </c>
      <c r="V317" s="11">
        <v>29500.92</v>
      </c>
      <c r="W317" s="12">
        <v>29500.92</v>
      </c>
      <c r="X317" s="11">
        <v>17989.68</v>
      </c>
      <c r="Y317" s="11">
        <v>11511.24</v>
      </c>
      <c r="Z317" s="11">
        <f>ROUND(W317-X317,2)</f>
        <v>11511.24</v>
      </c>
      <c r="AA317" s="4">
        <f>IF(W317=0,0,Z317/W317)</f>
        <v>0.39019935649464493</v>
      </c>
      <c r="AB317" t="s">
        <v>109</v>
      </c>
      <c r="AC317" t="s">
        <v>100</v>
      </c>
      <c r="AD317" t="str">
        <f>IF(AND(E317="", T317&gt;=0, T317&lt;=0.5, K317&lt;&gt;"Unknown", Q317&lt;&gt;"Unknown"), "CLEAN", _xlfn.CONCAT("WARNING: ", IF(E317&lt;&gt;"","invalid_date",""), IF(T317&lt;0,"negative_discount",""), IF(AND(T317&gt;0.5,T317&lt;=1),"high_discount",""), IF(K317="Unknown","missing_region",""), IF(Q317="Unknown","missing_ship_mode","")))</f>
        <v>CLEAN</v>
      </c>
      <c r="AE317" t="str">
        <f>IF(COUNTIF($AF$2:$AF$926,AF317)&gt;1,"DUPLICATE","UNIQUE")</f>
        <v>UNIQUE</v>
      </c>
      <c r="AF317" t="str">
        <f>A317&amp;"|"&amp;B317&amp;"|"&amp;H317&amp;"|"&amp;I317&amp;"|"&amp;R317&amp;"|"&amp;S317&amp;"|"&amp;V317</f>
        <v>ORD-2024-10316|2024-07-02|CUST-7565|Rohan Mehta|9|3450.4|29500.92</v>
      </c>
      <c r="AG317" t="str">
        <f>IF(COUNTIF($A$2:$A$913,A317)&gt;1,"TRUE","FALSE")</f>
        <v>FALSE</v>
      </c>
    </row>
    <row r="318" spans="1:33">
      <c r="A318" t="s">
        <v>1041</v>
      </c>
      <c r="B318" t="s">
        <v>2771</v>
      </c>
      <c r="C318" t="s">
        <v>1385</v>
      </c>
      <c r="D318">
        <f>IF(OR(B318="", C318=""), "", (C318 - B318))</f>
        <v>2</v>
      </c>
      <c r="E318" t="str">
        <f>IF(C318&lt;B318, "INVALID: Ship date before order date", "")</f>
        <v/>
      </c>
      <c r="F318" t="str">
        <f>IF(B318="", "", TEXT(B318, "mmmm"))</f>
        <v>February</v>
      </c>
      <c r="G318">
        <f>IF(B318="", "", YEAR(B318))</f>
        <v>2024</v>
      </c>
      <c r="H318" t="s">
        <v>1042</v>
      </c>
      <c r="I318" t="s">
        <v>22</v>
      </c>
      <c r="J318" t="s">
        <v>89</v>
      </c>
      <c r="K318" t="s">
        <v>24</v>
      </c>
      <c r="L318" t="s">
        <v>120</v>
      </c>
      <c r="M318" t="s">
        <v>121</v>
      </c>
      <c r="N318" t="s">
        <v>27</v>
      </c>
      <c r="O318" t="s">
        <v>90</v>
      </c>
      <c r="P318" t="s">
        <v>1043</v>
      </c>
      <c r="Q318" t="s">
        <v>58</v>
      </c>
      <c r="R318">
        <v>2</v>
      </c>
      <c r="S318" s="15">
        <v>1947.53</v>
      </c>
      <c r="T318" s="4">
        <v>0.2</v>
      </c>
      <c r="U318" s="3" t="str">
        <f>IF(T318&lt;0, "negative_discount", IF(AND(T318&gt;0.5, T318&lt;=1), "high_discount", ""))</f>
        <v/>
      </c>
      <c r="V318" s="11">
        <v>3116.05</v>
      </c>
      <c r="W318" s="12">
        <v>3116.05</v>
      </c>
      <c r="X318" s="11">
        <v>1956.63</v>
      </c>
      <c r="Y318" s="11">
        <v>1159.42</v>
      </c>
      <c r="Z318" s="11">
        <f>ROUND(W318-X318,2)</f>
        <v>1159.42</v>
      </c>
      <c r="AA318" s="4">
        <f>IF(W318=0,0,Z318/W318)</f>
        <v>0.37208003722661703</v>
      </c>
      <c r="AB318" t="s">
        <v>31</v>
      </c>
      <c r="AC318" t="s">
        <v>67</v>
      </c>
      <c r="AD318" t="str">
        <f>IF(AND(E318="", T318&gt;=0, T318&lt;=0.5, K318&lt;&gt;"Unknown", Q318&lt;&gt;"Unknown"), "CLEAN", _xlfn.CONCAT("WARNING: ", IF(E318&lt;&gt;"","invalid_date",""), IF(T318&lt;0,"negative_discount",""), IF(AND(T318&gt;0.5,T318&lt;=1),"high_discount",""), IF(K318="Unknown","missing_region",""), IF(Q318="Unknown","missing_ship_mode","")))</f>
        <v>CLEAN</v>
      </c>
      <c r="AE318" t="str">
        <f>IF(COUNTIF($AF$2:$AF$926,AF318)&gt;1,"DUPLICATE","UNIQUE")</f>
        <v>UNIQUE</v>
      </c>
      <c r="AF318" t="str">
        <f>A318&amp;"|"&amp;B318&amp;"|"&amp;H318&amp;"|"&amp;I318&amp;"|"&amp;R318&amp;"|"&amp;S318&amp;"|"&amp;V318</f>
        <v>ORD-2024-10317|2024-02-16|CUST-9913|Karan Malhotra|2|1947.53|3116.05</v>
      </c>
      <c r="AG318" t="str">
        <f>IF(COUNTIF($A$2:$A$913,A318)&gt;1,"TRUE","FALSE")</f>
        <v>FALSE</v>
      </c>
    </row>
    <row r="319" spans="1:33">
      <c r="A319" t="s">
        <v>3114</v>
      </c>
      <c r="B319" t="s">
        <v>2674</v>
      </c>
      <c r="C319" t="s">
        <v>1748</v>
      </c>
      <c r="D319">
        <f>IF(OR(B319="", C319=""), "", (C319 - B319))</f>
        <v>6</v>
      </c>
      <c r="E319" t="str">
        <f>IF(C319&lt;B319, "INVALID: Ship date before order date", "")</f>
        <v/>
      </c>
      <c r="F319" t="str">
        <f>IF(B319="", "", TEXT(B319, "mmmm"))</f>
        <v>August</v>
      </c>
      <c r="G319">
        <f>IF(B319="", "", YEAR(B319))</f>
        <v>2025</v>
      </c>
      <c r="H319" t="s">
        <v>1044</v>
      </c>
      <c r="I319" t="s">
        <v>78</v>
      </c>
      <c r="J319" t="s">
        <v>89</v>
      </c>
      <c r="K319" t="s">
        <v>53</v>
      </c>
      <c r="L319" t="s">
        <v>180</v>
      </c>
      <c r="M319" t="s">
        <v>181</v>
      </c>
      <c r="N319" t="s">
        <v>40</v>
      </c>
      <c r="O319" t="s">
        <v>41</v>
      </c>
      <c r="P319" t="s">
        <v>1045</v>
      </c>
      <c r="Q319" t="s">
        <v>49</v>
      </c>
      <c r="R319">
        <v>9</v>
      </c>
      <c r="S319" s="15">
        <v>2996.97</v>
      </c>
      <c r="T319" s="4">
        <v>0.15</v>
      </c>
      <c r="U319" s="3" t="str">
        <f>IF(T319&lt;0, "negative_discount", IF(AND(T319&gt;0.5, T319&lt;=1), "high_discount", ""))</f>
        <v/>
      </c>
      <c r="V319" s="11">
        <v>22926.82</v>
      </c>
      <c r="W319" s="12">
        <v>22926.82</v>
      </c>
      <c r="X319" s="11">
        <v>14621.59</v>
      </c>
      <c r="Y319" s="11">
        <v>8305.23</v>
      </c>
      <c r="Z319" s="11">
        <f>ROUND(W319-X319,2)</f>
        <v>8305.23</v>
      </c>
      <c r="AA319" s="4">
        <f>IF(W319=0,0,Z319/W319)</f>
        <v>0.36224954005832471</v>
      </c>
      <c r="AB319" t="s">
        <v>31</v>
      </c>
      <c r="AC319" t="s">
        <v>32</v>
      </c>
      <c r="AD319" t="str">
        <f>IF(AND(E319="", T319&gt;=0, T319&lt;=0.5, K319&lt;&gt;"Unknown", Q319&lt;&gt;"Unknown"), "CLEAN", _xlfn.CONCAT("WARNING: ", IF(E319&lt;&gt;"","invalid_date",""), IF(T319&lt;0,"negative_discount",""), IF(AND(T319&gt;0.5,T319&lt;=1),"high_discount",""), IF(K319="Unknown","missing_region",""), IF(Q319="Unknown","missing_ship_mode","")))</f>
        <v>CLEAN</v>
      </c>
      <c r="AE319" t="str">
        <f>IF(COUNTIF($AF$2:$AF$926,AF319)&gt;1,"DUPLICATE","UNIQUE")</f>
        <v>UNIQUE</v>
      </c>
      <c r="AF319" t="str">
        <f>A319&amp;"|"&amp;B319&amp;"|"&amp;H319&amp;"|"&amp;I319&amp;"|"&amp;R319&amp;"|"&amp;S319&amp;"|"&amp;V319</f>
        <v>ORD-2025-10318|2025-08-29|CUST-7992|Neha Gupta|9|2996.97|22926.82</v>
      </c>
      <c r="AG319" t="str">
        <f>IF(COUNTIF($A$2:$A$913,A319)&gt;1,"TRUE","FALSE")</f>
        <v>FALSE</v>
      </c>
    </row>
    <row r="320" spans="1:33">
      <c r="A320" t="s">
        <v>1046</v>
      </c>
      <c r="B320" t="s">
        <v>2772</v>
      </c>
      <c r="C320" t="s">
        <v>2864</v>
      </c>
      <c r="D320">
        <f>IF(OR(B320="", C320=""), "", (C320 - B320))</f>
        <v>5</v>
      </c>
      <c r="E320" t="str">
        <f>IF(C320&lt;B320, "INVALID: Ship date before order date", "")</f>
        <v/>
      </c>
      <c r="F320" t="str">
        <f>IF(B320="", "", TEXT(B320, "mmmm"))</f>
        <v>April</v>
      </c>
      <c r="G320">
        <f>IF(B320="", "", YEAR(B320))</f>
        <v>2024</v>
      </c>
      <c r="H320" t="s">
        <v>1047</v>
      </c>
      <c r="I320" t="s">
        <v>35</v>
      </c>
      <c r="J320" t="s">
        <v>36</v>
      </c>
      <c r="K320" t="s">
        <v>53</v>
      </c>
      <c r="L320" t="s">
        <v>171</v>
      </c>
      <c r="M320" t="s">
        <v>172</v>
      </c>
      <c r="N320" t="s">
        <v>74</v>
      </c>
      <c r="O320" t="s">
        <v>168</v>
      </c>
      <c r="P320" t="s">
        <v>1048</v>
      </c>
      <c r="Q320" t="s">
        <v>58</v>
      </c>
      <c r="R320">
        <v>3</v>
      </c>
      <c r="S320" s="15">
        <v>4149.46</v>
      </c>
      <c r="T320" s="4">
        <v>0.1</v>
      </c>
      <c r="U320" s="3" t="str">
        <f>IF(T320&lt;0, "negative_discount", IF(AND(T320&gt;0.5, T320&lt;=1), "high_discount", ""))</f>
        <v/>
      </c>
      <c r="V320" s="11">
        <v>11203.54</v>
      </c>
      <c r="W320" s="12">
        <v>11203.54</v>
      </c>
      <c r="X320" s="11">
        <v>8452.93</v>
      </c>
      <c r="Y320" s="11">
        <v>2750.61</v>
      </c>
      <c r="Z320" s="11">
        <f>ROUND(W320-X320,2)</f>
        <v>2750.61</v>
      </c>
      <c r="AA320" s="4">
        <f>IF(W320=0,0,Z320/W320)</f>
        <v>0.24551257905983287</v>
      </c>
      <c r="AB320" t="s">
        <v>31</v>
      </c>
      <c r="AC320" t="s">
        <v>32</v>
      </c>
      <c r="AD320" t="str">
        <f>IF(AND(E320="", T320&gt;=0, T320&lt;=0.5, K320&lt;&gt;"Unknown", Q320&lt;&gt;"Unknown"), "CLEAN", _xlfn.CONCAT("WARNING: ", IF(E320&lt;&gt;"","invalid_date",""), IF(T320&lt;0,"negative_discount",""), IF(AND(T320&gt;0.5,T320&lt;=1),"high_discount",""), IF(K320="Unknown","missing_region",""), IF(Q320="Unknown","missing_ship_mode","")))</f>
        <v>CLEAN</v>
      </c>
      <c r="AE320" t="str">
        <f>IF(COUNTIF($AF$2:$AF$926,AF320)&gt;1,"DUPLICATE","UNIQUE")</f>
        <v>UNIQUE</v>
      </c>
      <c r="AF320" t="str">
        <f>A320&amp;"|"&amp;B320&amp;"|"&amp;H320&amp;"|"&amp;I320&amp;"|"&amp;R320&amp;"|"&amp;S320&amp;"|"&amp;V320</f>
        <v>ORD-2024-10319|2024-04-25|CUST-8877|Mira Das|3|4149.46|11203.54</v>
      </c>
      <c r="AG320" t="str">
        <f>IF(COUNTIF($A$2:$A$913,A320)&gt;1,"TRUE","FALSE")</f>
        <v>FALSE</v>
      </c>
    </row>
    <row r="321" spans="1:33">
      <c r="A321" t="s">
        <v>1049</v>
      </c>
      <c r="B321" t="s">
        <v>2773</v>
      </c>
      <c r="C321" t="s">
        <v>2829</v>
      </c>
      <c r="D321">
        <f>IF(OR(B321="", C321=""), "", (C321 - B321))</f>
        <v>4</v>
      </c>
      <c r="E321" t="str">
        <f>IF(C321&lt;B321, "INVALID: Ship date before order date", "")</f>
        <v/>
      </c>
      <c r="F321" t="str">
        <f>IF(B321="", "", TEXT(B321, "mmmm"))</f>
        <v>August</v>
      </c>
      <c r="G321">
        <f>IF(B321="", "", YEAR(B321))</f>
        <v>2024</v>
      </c>
      <c r="H321" t="s">
        <v>1050</v>
      </c>
      <c r="I321" t="s">
        <v>158</v>
      </c>
      <c r="J321" t="s">
        <v>23</v>
      </c>
      <c r="K321" t="s">
        <v>62</v>
      </c>
      <c r="L321" t="s">
        <v>176</v>
      </c>
      <c r="M321" t="s">
        <v>177</v>
      </c>
      <c r="N321" t="s">
        <v>27</v>
      </c>
      <c r="O321" t="s">
        <v>149</v>
      </c>
      <c r="P321" t="s">
        <v>1051</v>
      </c>
      <c r="Q321" t="s">
        <v>49</v>
      </c>
      <c r="R321">
        <v>1</v>
      </c>
      <c r="S321" s="15">
        <v>270.27999999999997</v>
      </c>
      <c r="T321" s="4">
        <v>0</v>
      </c>
      <c r="U321" s="3" t="str">
        <f>IF(T321&lt;0, "negative_discount", IF(AND(T321&gt;0.5, T321&lt;=1), "high_discount", ""))</f>
        <v/>
      </c>
      <c r="V321" s="11">
        <v>270.27999999999997</v>
      </c>
      <c r="W321" s="12">
        <v>270.27999999999997</v>
      </c>
      <c r="X321" s="11">
        <v>156.34</v>
      </c>
      <c r="Y321" s="11">
        <v>113.94</v>
      </c>
      <c r="Z321" s="11">
        <f>ROUND(W321-X321,2)</f>
        <v>113.94</v>
      </c>
      <c r="AA321" s="4">
        <f>IF(W321=0,0,Z321/W321)</f>
        <v>0.42156282373834547</v>
      </c>
      <c r="AB321" t="s">
        <v>31</v>
      </c>
      <c r="AC321" t="s">
        <v>32</v>
      </c>
      <c r="AD321" t="str">
        <f>IF(AND(E321="", T321&gt;=0, T321&lt;=0.5, K321&lt;&gt;"Unknown", Q321&lt;&gt;"Unknown"), "CLEAN", _xlfn.CONCAT("WARNING: ", IF(E321&lt;&gt;"","invalid_date",""), IF(T321&lt;0,"negative_discount",""), IF(AND(T321&gt;0.5,T321&lt;=1),"high_discount",""), IF(K321="Unknown","missing_region",""), IF(Q321="Unknown","missing_ship_mode","")))</f>
        <v>CLEAN</v>
      </c>
      <c r="AE321" t="str">
        <f>IF(COUNTIF($AF$2:$AF$926,AF321)&gt;1,"DUPLICATE","UNIQUE")</f>
        <v>UNIQUE</v>
      </c>
      <c r="AF321" t="str">
        <f>A321&amp;"|"&amp;B321&amp;"|"&amp;H321&amp;"|"&amp;I321&amp;"|"&amp;R321&amp;"|"&amp;S321&amp;"|"&amp;V321</f>
        <v>ORD-2024-10320|2024-08-21|CUST-4589|Diya Patel|1|270.28|270.28</v>
      </c>
      <c r="AG321" t="str">
        <f>IF(COUNTIF($A$2:$A$913,A321)&gt;1,"TRUE","FALSE")</f>
        <v>FALSE</v>
      </c>
    </row>
    <row r="322" spans="1:33">
      <c r="A322" t="s">
        <v>1052</v>
      </c>
      <c r="B322" t="s">
        <v>2774</v>
      </c>
      <c r="C322" t="s">
        <v>1085</v>
      </c>
      <c r="D322">
        <f>IF(OR(B322="", C322=""), "", (C322 - B322))</f>
        <v>2</v>
      </c>
      <c r="E322" t="str">
        <f>IF(C322&lt;B322, "INVALID: Ship date before order date", "")</f>
        <v/>
      </c>
      <c r="F322" t="str">
        <f>IF(B322="", "", TEXT(B322, "mmmm"))</f>
        <v>December</v>
      </c>
      <c r="G322">
        <f>IF(B322="", "", YEAR(B322))</f>
        <v>2024</v>
      </c>
      <c r="H322" t="s">
        <v>1053</v>
      </c>
      <c r="I322" t="s">
        <v>126</v>
      </c>
      <c r="J322" t="s">
        <v>93</v>
      </c>
      <c r="K322" t="s">
        <v>37</v>
      </c>
      <c r="L322" t="s">
        <v>96</v>
      </c>
      <c r="M322" t="s">
        <v>97</v>
      </c>
      <c r="N322" t="s">
        <v>27</v>
      </c>
      <c r="O322" t="s">
        <v>47</v>
      </c>
      <c r="P322" t="s">
        <v>1054</v>
      </c>
      <c r="Q322" t="s">
        <v>30</v>
      </c>
      <c r="R322">
        <v>3</v>
      </c>
      <c r="S322" s="15">
        <v>876.14</v>
      </c>
      <c r="T322" s="4">
        <v>0.7</v>
      </c>
      <c r="U322" s="3" t="str">
        <f>IF(T322&lt;0, "negative_discount", IF(AND(T322&gt;0.5, T322&lt;=1), "high_discount", ""))</f>
        <v>high_discount</v>
      </c>
      <c r="V322" s="11">
        <v>2628.42</v>
      </c>
      <c r="W322" s="12">
        <v>788.53</v>
      </c>
      <c r="X322" s="11">
        <v>1541.54</v>
      </c>
      <c r="Y322" s="11">
        <v>1086.8800000000001</v>
      </c>
      <c r="Z322" s="11">
        <f>ROUND(W322-X322,2)</f>
        <v>-753.01</v>
      </c>
      <c r="AA322" s="4">
        <f>IF(W322=0,0,Z322/W322)</f>
        <v>-0.95495415520018267</v>
      </c>
      <c r="AB322" t="s">
        <v>109</v>
      </c>
      <c r="AC322" t="s">
        <v>100</v>
      </c>
      <c r="AD322" t="str">
        <f>IF(AND(E322="", T322&gt;=0, T322&lt;=0.5, K322&lt;&gt;"Unknown", Q322&lt;&gt;"Unknown"), "CLEAN", _xlfn.CONCAT("WARNING: ", IF(E322&lt;&gt;"","invalid_date",""), IF(T322&lt;0,"negative_discount",""), IF(AND(T322&gt;0.5,T322&lt;=1),"high_discount",""), IF(K322="Unknown","missing_region",""), IF(Q322="Unknown","missing_ship_mode","")))</f>
        <v>WARNING: high_discount</v>
      </c>
      <c r="AE322" t="str">
        <f>IF(COUNTIF($AF$2:$AF$926,AF322)&gt;1,"DUPLICATE","UNIQUE")</f>
        <v>UNIQUE</v>
      </c>
      <c r="AF322" t="str">
        <f>A322&amp;"|"&amp;B322&amp;"|"&amp;H322&amp;"|"&amp;I322&amp;"|"&amp;R322&amp;"|"&amp;S322&amp;"|"&amp;V322</f>
        <v>ORD-2024-10321|2024-12-04|CUST-4667|Aarav Sharma|3|876.14|2628.42</v>
      </c>
      <c r="AG322" t="str">
        <f>IF(COUNTIF($A$2:$A$913,A322)&gt;1,"TRUE","FALSE")</f>
        <v>FALSE</v>
      </c>
    </row>
    <row r="323" spans="1:33">
      <c r="A323" t="s">
        <v>1055</v>
      </c>
      <c r="B323" t="s">
        <v>688</v>
      </c>
      <c r="C323" t="s">
        <v>2798</v>
      </c>
      <c r="D323">
        <f>IF(OR(B323="", C323=""), "", (C323 - B323))</f>
        <v>7</v>
      </c>
      <c r="E323" t="str">
        <f>IF(C323&lt;B323, "INVALID: Ship date before order date", "")</f>
        <v/>
      </c>
      <c r="F323" t="str">
        <f>IF(B323="", "", TEXT(B323, "mmmm"))</f>
        <v>June</v>
      </c>
      <c r="G323">
        <f>IF(B323="", "", YEAR(B323))</f>
        <v>2024</v>
      </c>
      <c r="H323" t="s">
        <v>1056</v>
      </c>
      <c r="I323" t="s">
        <v>78</v>
      </c>
      <c r="J323" t="s">
        <v>36</v>
      </c>
      <c r="K323" t="s">
        <v>62</v>
      </c>
      <c r="L323" t="s">
        <v>185</v>
      </c>
      <c r="M323" t="s">
        <v>186</v>
      </c>
      <c r="N323" t="s">
        <v>74</v>
      </c>
      <c r="O323" t="s">
        <v>75</v>
      </c>
      <c r="P323" t="s">
        <v>1057</v>
      </c>
      <c r="Q323" t="s">
        <v>43</v>
      </c>
      <c r="R323">
        <v>4</v>
      </c>
      <c r="S323" s="15">
        <v>674.82</v>
      </c>
      <c r="T323" s="4">
        <v>0</v>
      </c>
      <c r="U323" s="3" t="str">
        <f>IF(T323&lt;0, "negative_discount", IF(AND(T323&gt;0.5, T323&lt;=1), "high_discount", ""))</f>
        <v/>
      </c>
      <c r="V323" s="11">
        <v>2699.28</v>
      </c>
      <c r="W323" s="12">
        <v>2699.28</v>
      </c>
      <c r="X323" s="11">
        <v>1759.76</v>
      </c>
      <c r="Y323" s="11">
        <v>939.52</v>
      </c>
      <c r="Z323" s="11">
        <f>ROUND(W323-X323,2)</f>
        <v>939.52</v>
      </c>
      <c r="AA323" s="4">
        <f>IF(W323=0,0,Z323/W323)</f>
        <v>0.34806318722029578</v>
      </c>
      <c r="AB323" t="s">
        <v>151</v>
      </c>
      <c r="AC323" t="s">
        <v>67</v>
      </c>
      <c r="AD323" t="str">
        <f>IF(AND(E323="", T323&gt;=0, T323&lt;=0.5, K323&lt;&gt;"Unknown", Q323&lt;&gt;"Unknown"), "CLEAN", _xlfn.CONCAT("WARNING: ", IF(E323&lt;&gt;"","invalid_date",""), IF(T323&lt;0,"negative_discount",""), IF(AND(T323&gt;0.5,T323&lt;=1),"high_discount",""), IF(K323="Unknown","missing_region",""), IF(Q323="Unknown","missing_ship_mode","")))</f>
        <v>CLEAN</v>
      </c>
      <c r="AE323" t="str">
        <f>IF(COUNTIF($AF$2:$AF$926,AF323)&gt;1,"DUPLICATE","UNIQUE")</f>
        <v>UNIQUE</v>
      </c>
      <c r="AF323" t="str">
        <f>A323&amp;"|"&amp;B323&amp;"|"&amp;H323&amp;"|"&amp;I323&amp;"|"&amp;R323&amp;"|"&amp;S323&amp;"|"&amp;V323</f>
        <v>ORD-2024-10322|2024-06-23|CUST-7821|Neha Gupta|4|674.82|2699.28</v>
      </c>
      <c r="AG323" t="str">
        <f>IF(COUNTIF($A$2:$A$913,A323)&gt;1,"TRUE","FALSE")</f>
        <v>FALSE</v>
      </c>
    </row>
    <row r="324" spans="1:33">
      <c r="A324" t="s">
        <v>1058</v>
      </c>
      <c r="B324" t="s">
        <v>989</v>
      </c>
      <c r="C324" t="s">
        <v>215</v>
      </c>
      <c r="D324">
        <f>IF(OR(B324="", C324=""), "", (C324 - B324))</f>
        <v>29</v>
      </c>
      <c r="E324" t="str">
        <f>IF(C324&lt;B324, "INVALID: Ship date before order date", "")</f>
        <v/>
      </c>
      <c r="F324" t="str">
        <f>IF(B324="", "", TEXT(B324, "mmmm"))</f>
        <v>November</v>
      </c>
      <c r="G324">
        <f>IF(B324="", "", YEAR(B324))</f>
        <v>2024</v>
      </c>
      <c r="H324" t="s">
        <v>1059</v>
      </c>
      <c r="I324" t="s">
        <v>46</v>
      </c>
      <c r="J324" t="s">
        <v>23</v>
      </c>
      <c r="K324" t="s">
        <v>24</v>
      </c>
      <c r="L324" t="s">
        <v>134</v>
      </c>
      <c r="M324" t="s">
        <v>135</v>
      </c>
      <c r="N324" t="s">
        <v>74</v>
      </c>
      <c r="O324" t="s">
        <v>168</v>
      </c>
      <c r="P324" t="s">
        <v>1060</v>
      </c>
      <c r="Q324" t="s">
        <v>30</v>
      </c>
      <c r="R324">
        <v>6</v>
      </c>
      <c r="S324" s="15">
        <v>1369.48</v>
      </c>
      <c r="T324" s="4">
        <v>0.15</v>
      </c>
      <c r="U324" s="3" t="str">
        <f>IF(T324&lt;0, "negative_discount", IF(AND(T324&gt;0.5, T324&lt;=1), "high_discount", ""))</f>
        <v/>
      </c>
      <c r="V324" s="11">
        <v>6984.35</v>
      </c>
      <c r="W324" s="12">
        <v>6984.35</v>
      </c>
      <c r="X324" s="11">
        <v>4023.63</v>
      </c>
      <c r="Y324" s="11">
        <v>2960.72</v>
      </c>
      <c r="Z324" s="11">
        <f>ROUND(W324-X324,2)</f>
        <v>2960.72</v>
      </c>
      <c r="AA324" s="4">
        <f>IF(W324=0,0,Z324/W324)</f>
        <v>0.42390773658250225</v>
      </c>
      <c r="AB324" t="s">
        <v>31</v>
      </c>
      <c r="AC324" t="s">
        <v>32</v>
      </c>
      <c r="AD324" t="str">
        <f>IF(AND(E324="", T324&gt;=0, T324&lt;=0.5, K324&lt;&gt;"Unknown", Q324&lt;&gt;"Unknown"), "CLEAN", _xlfn.CONCAT("WARNING: ", IF(E324&lt;&gt;"","invalid_date",""), IF(T324&lt;0,"negative_discount",""), IF(AND(T324&gt;0.5,T324&lt;=1),"high_discount",""), IF(K324="Unknown","missing_region",""), IF(Q324="Unknown","missing_ship_mode","")))</f>
        <v>CLEAN</v>
      </c>
      <c r="AE324" t="str">
        <f>IF(COUNTIF($AF$2:$AF$926,AF324)&gt;1,"DUPLICATE","UNIQUE")</f>
        <v>UNIQUE</v>
      </c>
      <c r="AF324" t="str">
        <f>A324&amp;"|"&amp;B324&amp;"|"&amp;H324&amp;"|"&amp;I324&amp;"|"&amp;R324&amp;"|"&amp;S324&amp;"|"&amp;V324</f>
        <v>ORD-2024-10323|2024-11-12|CUST-8579|Isha Nair|6|1369.48|6984.35</v>
      </c>
      <c r="AG324" t="str">
        <f>IF(COUNTIF($A$2:$A$913,A324)&gt;1,"TRUE","FALSE")</f>
        <v>FALSE</v>
      </c>
    </row>
    <row r="325" spans="1:33">
      <c r="A325" t="s">
        <v>1061</v>
      </c>
      <c r="B325" t="s">
        <v>2775</v>
      </c>
      <c r="C325" t="s">
        <v>2932</v>
      </c>
      <c r="D325">
        <f>IF(OR(B325="", C325=""), "", (C325 - B325))</f>
        <v>4</v>
      </c>
      <c r="E325" t="str">
        <f>IF(C325&lt;B325, "INVALID: Ship date before order date", "")</f>
        <v/>
      </c>
      <c r="F325" t="str">
        <f>IF(B325="", "", TEXT(B325, "mmmm"))</f>
        <v>February</v>
      </c>
      <c r="G325">
        <f>IF(B325="", "", YEAR(B325))</f>
        <v>2024</v>
      </c>
      <c r="H325" t="s">
        <v>1062</v>
      </c>
      <c r="I325" t="s">
        <v>46</v>
      </c>
      <c r="J325" t="s">
        <v>36</v>
      </c>
      <c r="K325" t="s">
        <v>62</v>
      </c>
      <c r="L325" t="s">
        <v>185</v>
      </c>
      <c r="M325" t="s">
        <v>186</v>
      </c>
      <c r="N325" t="s">
        <v>40</v>
      </c>
      <c r="O325" t="s">
        <v>56</v>
      </c>
      <c r="P325" t="s">
        <v>146</v>
      </c>
      <c r="Q325" t="s">
        <v>58</v>
      </c>
      <c r="R325">
        <v>9</v>
      </c>
      <c r="S325" s="15">
        <v>1331.46</v>
      </c>
      <c r="T325" s="4">
        <v>0.15</v>
      </c>
      <c r="U325" s="3" t="str">
        <f>IF(T325&lt;0, "negative_discount", IF(AND(T325&gt;0.5, T325&lt;=1), "high_discount", ""))</f>
        <v/>
      </c>
      <c r="V325" s="11">
        <v>10185.67</v>
      </c>
      <c r="W325" s="12">
        <v>10185.67</v>
      </c>
      <c r="X325" s="11">
        <v>6479.31</v>
      </c>
      <c r="Y325" s="11">
        <v>3706.36</v>
      </c>
      <c r="Z325" s="11">
        <f>ROUND(W325-X325,2)</f>
        <v>3706.36</v>
      </c>
      <c r="AA325" s="4">
        <f>IF(W325=0,0,Z325/W325)</f>
        <v>0.36387984295583897</v>
      </c>
      <c r="AB325" t="s">
        <v>31</v>
      </c>
      <c r="AC325" t="s">
        <v>32</v>
      </c>
      <c r="AD325" t="str">
        <f>IF(AND(E325="", T325&gt;=0, T325&lt;=0.5, K325&lt;&gt;"Unknown", Q325&lt;&gt;"Unknown"), "CLEAN", _xlfn.CONCAT("WARNING: ", IF(E325&lt;&gt;"","invalid_date",""), IF(T325&lt;0,"negative_discount",""), IF(AND(T325&gt;0.5,T325&lt;=1),"high_discount",""), IF(K325="Unknown","missing_region",""), IF(Q325="Unknown","missing_ship_mode","")))</f>
        <v>CLEAN</v>
      </c>
      <c r="AE325" t="str">
        <f>IF(COUNTIF($AF$2:$AF$926,AF325)&gt;1,"DUPLICATE","UNIQUE")</f>
        <v>UNIQUE</v>
      </c>
      <c r="AF325" t="str">
        <f>A325&amp;"|"&amp;B325&amp;"|"&amp;H325&amp;"|"&amp;I325&amp;"|"&amp;R325&amp;"|"&amp;S325&amp;"|"&amp;V325</f>
        <v>ORD-2024-10324|2024-02-25|CUST-6909|Isha Nair|9|1331.46|10185.67</v>
      </c>
      <c r="AG325" t="str">
        <f>IF(COUNTIF($A$2:$A$913,A325)&gt;1,"TRUE","FALSE")</f>
        <v>FALSE</v>
      </c>
    </row>
    <row r="326" spans="1:33">
      <c r="A326" t="s">
        <v>3115</v>
      </c>
      <c r="B326" t="s">
        <v>1828</v>
      </c>
      <c r="C326" t="s">
        <v>1455</v>
      </c>
      <c r="D326">
        <f>IF(OR(B326="", C326=""), "", (C326 - B326))</f>
        <v>-173</v>
      </c>
      <c r="E326" t="str">
        <f>IF(C326&lt;B326, "INVALID: Ship date before order date", "")</f>
        <v>INVALID: Ship date before order date</v>
      </c>
      <c r="F326" t="str">
        <f>IF(B326="", "", TEXT(B326, "mmmm"))</f>
        <v>July</v>
      </c>
      <c r="G326">
        <f>IF(B326="", "", YEAR(B326))</f>
        <v>2025</v>
      </c>
      <c r="H326" t="s">
        <v>1063</v>
      </c>
      <c r="I326" t="s">
        <v>139</v>
      </c>
      <c r="J326" t="s">
        <v>93</v>
      </c>
      <c r="K326" t="s">
        <v>53</v>
      </c>
      <c r="L326" t="s">
        <v>83</v>
      </c>
      <c r="M326" t="s">
        <v>84</v>
      </c>
      <c r="N326" t="s">
        <v>27</v>
      </c>
      <c r="O326" t="s">
        <v>90</v>
      </c>
      <c r="P326" t="s">
        <v>1064</v>
      </c>
      <c r="Q326" t="s">
        <v>43</v>
      </c>
      <c r="R326">
        <v>1</v>
      </c>
      <c r="S326" s="15">
        <v>1947.88</v>
      </c>
      <c r="T326" s="4">
        <v>0.15</v>
      </c>
      <c r="U326" s="3" t="str">
        <f>IF(T326&lt;0, "negative_discount", IF(AND(T326&gt;0.5, T326&lt;=1), "high_discount", ""))</f>
        <v/>
      </c>
      <c r="V326" s="11">
        <v>1655.7</v>
      </c>
      <c r="W326" s="12">
        <v>1655.7</v>
      </c>
      <c r="X326" s="11">
        <v>1354.8</v>
      </c>
      <c r="Y326" s="11">
        <v>300.89999999999998</v>
      </c>
      <c r="Z326" s="11">
        <f>ROUND(W326-X326,2)</f>
        <v>300.89999999999998</v>
      </c>
      <c r="AA326" s="4">
        <f>IF(W326=0,0,Z326/W326)</f>
        <v>0.18173582170683092</v>
      </c>
      <c r="AB326" t="s">
        <v>31</v>
      </c>
      <c r="AC326" t="s">
        <v>100</v>
      </c>
      <c r="AD326" t="str">
        <f>IF(AND(E326="", T326&gt;=0, T326&lt;=0.5, K326&lt;&gt;"Unknown", Q326&lt;&gt;"Unknown"), "CLEAN", _xlfn.CONCAT("WARNING: ", IF(E326&lt;&gt;"","invalid_date",""), IF(T326&lt;0,"negative_discount",""), IF(AND(T326&gt;0.5,T326&lt;=1),"high_discount",""), IF(K326="Unknown","missing_region",""), IF(Q326="Unknown","missing_ship_mode","")))</f>
        <v>WARNING: invalid_date</v>
      </c>
      <c r="AE326" t="str">
        <f>IF(COUNTIF($AF$2:$AF$926,AF326)&gt;1,"DUPLICATE","UNIQUE")</f>
        <v>UNIQUE</v>
      </c>
      <c r="AF326" t="str">
        <f>A326&amp;"|"&amp;B326&amp;"|"&amp;H326&amp;"|"&amp;I326&amp;"|"&amp;R326&amp;"|"&amp;S326&amp;"|"&amp;V326</f>
        <v>ORD-2025-10325|2025-07-31|CUST-7212|Rohan Mehta|1|1947.88|1655.7</v>
      </c>
      <c r="AG326" t="str">
        <f>IF(COUNTIF($A$2:$A$913,A326)&gt;1,"TRUE","FALSE")</f>
        <v>FALSE</v>
      </c>
    </row>
    <row r="327" spans="1:33">
      <c r="A327" t="s">
        <v>3116</v>
      </c>
      <c r="B327" t="s">
        <v>2776</v>
      </c>
      <c r="C327" t="s">
        <v>1065</v>
      </c>
      <c r="D327">
        <f>IF(OR(B327="", C327=""), "", (C327 - B327))</f>
        <v>6</v>
      </c>
      <c r="E327" t="str">
        <f>IF(C327&lt;B327, "INVALID: Ship date before order date", "")</f>
        <v/>
      </c>
      <c r="F327" t="str">
        <f>IF(B327="", "", TEXT(B327, "mmmm"))</f>
        <v>September</v>
      </c>
      <c r="G327">
        <f>IF(B327="", "", YEAR(B327))</f>
        <v>2025</v>
      </c>
      <c r="H327" t="s">
        <v>1066</v>
      </c>
      <c r="I327" t="s">
        <v>131</v>
      </c>
      <c r="J327" t="s">
        <v>93</v>
      </c>
      <c r="K327" t="s">
        <v>37</v>
      </c>
      <c r="L327" t="s">
        <v>96</v>
      </c>
      <c r="M327" t="s">
        <v>97</v>
      </c>
      <c r="N327" t="s">
        <v>74</v>
      </c>
      <c r="O327" t="s">
        <v>79</v>
      </c>
      <c r="P327" t="s">
        <v>1067</v>
      </c>
      <c r="Q327" t="s">
        <v>30</v>
      </c>
      <c r="R327">
        <v>5</v>
      </c>
      <c r="S327" s="15">
        <v>3671.2</v>
      </c>
      <c r="T327" s="4">
        <v>0.15</v>
      </c>
      <c r="U327" s="3" t="str">
        <f>IF(T327&lt;0, "negative_discount", IF(AND(T327&gt;0.5, T327&lt;=1), "high_discount", ""))</f>
        <v/>
      </c>
      <c r="V327" s="11">
        <v>15602.6</v>
      </c>
      <c r="W327" s="12">
        <v>15602.6</v>
      </c>
      <c r="X327" s="11">
        <v>11908.52</v>
      </c>
      <c r="Y327" s="11">
        <v>3694.08</v>
      </c>
      <c r="Z327" s="11">
        <f>ROUND(W327-X327,2)</f>
        <v>3694.08</v>
      </c>
      <c r="AA327" s="4">
        <f>IF(W327=0,0,Z327/W327)</f>
        <v>0.236760539910015</v>
      </c>
      <c r="AB327" t="s">
        <v>31</v>
      </c>
      <c r="AC327" t="s">
        <v>32</v>
      </c>
      <c r="AD327" t="str">
        <f>IF(AND(E327="", T327&gt;=0, T327&lt;=0.5, K327&lt;&gt;"Unknown", Q327&lt;&gt;"Unknown"), "CLEAN", _xlfn.CONCAT("WARNING: ", IF(E327&lt;&gt;"","invalid_date",""), IF(T327&lt;0,"negative_discount",""), IF(AND(T327&gt;0.5,T327&lt;=1),"high_discount",""), IF(K327="Unknown","missing_region",""), IF(Q327="Unknown","missing_ship_mode","")))</f>
        <v>CLEAN</v>
      </c>
      <c r="AE327" t="str">
        <f>IF(COUNTIF($AF$2:$AF$926,AF327)&gt;1,"DUPLICATE","UNIQUE")</f>
        <v>UNIQUE</v>
      </c>
      <c r="AF327" t="str">
        <f>A327&amp;"|"&amp;B327&amp;"|"&amp;H327&amp;"|"&amp;I327&amp;"|"&amp;R327&amp;"|"&amp;S327&amp;"|"&amp;V327</f>
        <v>ORD-2025-10326|2025-09-16|CUST-7980|Sneha Kapoor|5|3671.2|15602.6</v>
      </c>
      <c r="AG327" t="str">
        <f>IF(COUNTIF($A$2:$A$913,A327)&gt;1,"TRUE","FALSE")</f>
        <v>FALSE</v>
      </c>
    </row>
    <row r="328" spans="1:33">
      <c r="A328" t="s">
        <v>3117</v>
      </c>
      <c r="B328" t="s">
        <v>1068</v>
      </c>
      <c r="C328" t="s">
        <v>1068</v>
      </c>
      <c r="D328">
        <f>IF(OR(B328="", C328=""), "", (C328 - B328))</f>
        <v>0</v>
      </c>
      <c r="E328" t="str">
        <f>IF(C328&lt;B328, "INVALID: Ship date before order date", "")</f>
        <v/>
      </c>
      <c r="F328" t="str">
        <f>IF(B328="", "", TEXT(B328, "mmmm"))</f>
        <v>July</v>
      </c>
      <c r="G328">
        <f>IF(B328="", "", YEAR(B328))</f>
        <v>2025</v>
      </c>
      <c r="H328" t="s">
        <v>1069</v>
      </c>
      <c r="I328" t="s">
        <v>131</v>
      </c>
      <c r="J328" t="s">
        <v>89</v>
      </c>
      <c r="K328" t="s">
        <v>37</v>
      </c>
      <c r="L328" t="s">
        <v>226</v>
      </c>
      <c r="M328" t="s">
        <v>227</v>
      </c>
      <c r="N328" t="s">
        <v>40</v>
      </c>
      <c r="O328" t="s">
        <v>56</v>
      </c>
      <c r="P328" t="s">
        <v>1070</v>
      </c>
      <c r="Q328" t="s">
        <v>43</v>
      </c>
      <c r="R328">
        <v>5</v>
      </c>
      <c r="S328" s="15">
        <v>3187.05</v>
      </c>
      <c r="T328" s="4">
        <v>0.05</v>
      </c>
      <c r="U328" s="3" t="str">
        <f>IF(T328&lt;0, "negative_discount", IF(AND(T328&gt;0.5, T328&lt;=1), "high_discount", ""))</f>
        <v/>
      </c>
      <c r="V328" s="11">
        <v>15138.49</v>
      </c>
      <c r="W328" s="12">
        <v>15138.49</v>
      </c>
      <c r="X328" s="11">
        <v>11235.72</v>
      </c>
      <c r="Y328" s="11">
        <v>3902.77</v>
      </c>
      <c r="Z328" s="11">
        <f>ROUND(W328-X328,2)</f>
        <v>3902.77</v>
      </c>
      <c r="AA328" s="4">
        <f>IF(W328=0,0,Z328/W328)</f>
        <v>0.25780444416847387</v>
      </c>
      <c r="AB328" t="s">
        <v>31</v>
      </c>
      <c r="AC328" t="s">
        <v>32</v>
      </c>
      <c r="AD328" t="str">
        <f>IF(AND(E328="", T328&gt;=0, T328&lt;=0.5, K328&lt;&gt;"Unknown", Q328&lt;&gt;"Unknown"), "CLEAN", _xlfn.CONCAT("WARNING: ", IF(E328&lt;&gt;"","invalid_date",""), IF(T328&lt;0,"negative_discount",""), IF(AND(T328&gt;0.5,T328&lt;=1),"high_discount",""), IF(K328="Unknown","missing_region",""), IF(Q328="Unknown","missing_ship_mode","")))</f>
        <v>CLEAN</v>
      </c>
      <c r="AE328" t="str">
        <f>IF(COUNTIF($AF$2:$AF$926,AF328)&gt;1,"DUPLICATE","UNIQUE")</f>
        <v>UNIQUE</v>
      </c>
      <c r="AF328" t="str">
        <f>A328&amp;"|"&amp;B328&amp;"|"&amp;H328&amp;"|"&amp;I328&amp;"|"&amp;R328&amp;"|"&amp;S328&amp;"|"&amp;V328</f>
        <v>ORD-2025-10327|2025-07-22|CUST-1966|Sneha Kapoor|5|3187.05|15138.49</v>
      </c>
      <c r="AG328" t="str">
        <f>IF(COUNTIF($A$2:$A$913,A328)&gt;1,"TRUE","FALSE")</f>
        <v>FALSE</v>
      </c>
    </row>
    <row r="329" spans="1:33">
      <c r="A329" t="s">
        <v>1071</v>
      </c>
      <c r="B329" t="s">
        <v>1072</v>
      </c>
      <c r="C329" t="s">
        <v>2679</v>
      </c>
      <c r="D329">
        <f>IF(OR(B329="", C329=""), "", (C329 - B329))</f>
        <v>3</v>
      </c>
      <c r="E329" t="str">
        <f>IF(C329&lt;B329, "INVALID: Ship date before order date", "")</f>
        <v/>
      </c>
      <c r="F329" t="str">
        <f>IF(B329="", "", TEXT(B329, "mmmm"))</f>
        <v>July</v>
      </c>
      <c r="G329">
        <f>IF(B329="", "", YEAR(B329))</f>
        <v>2024</v>
      </c>
      <c r="H329" t="s">
        <v>1073</v>
      </c>
      <c r="I329" t="s">
        <v>46</v>
      </c>
      <c r="J329" t="s">
        <v>23</v>
      </c>
      <c r="K329" t="s">
        <v>62</v>
      </c>
      <c r="L329" t="s">
        <v>25</v>
      </c>
      <c r="M329" t="s">
        <v>107</v>
      </c>
      <c r="N329" t="s">
        <v>74</v>
      </c>
      <c r="O329" t="s">
        <v>75</v>
      </c>
      <c r="P329" t="s">
        <v>1074</v>
      </c>
      <c r="Q329" t="s">
        <v>30</v>
      </c>
      <c r="R329">
        <v>3</v>
      </c>
      <c r="S329" s="15">
        <v>1834.55</v>
      </c>
      <c r="T329" s="4">
        <v>0.2</v>
      </c>
      <c r="U329" s="3" t="str">
        <f>IF(T329&lt;0, "negative_discount", IF(AND(T329&gt;0.5, T329&lt;=1), "high_discount", ""))</f>
        <v/>
      </c>
      <c r="V329" s="11">
        <v>4402.92</v>
      </c>
      <c r="W329" s="12">
        <v>4402.92</v>
      </c>
      <c r="X329" s="11">
        <v>2993.94</v>
      </c>
      <c r="Y329" s="11">
        <v>1408.98</v>
      </c>
      <c r="Z329" s="11">
        <f>ROUND(W329-X329,2)</f>
        <v>1408.98</v>
      </c>
      <c r="AA329" s="4">
        <f>IF(W329=0,0,Z329/W329)</f>
        <v>0.32001035676323897</v>
      </c>
      <c r="AB329" t="s">
        <v>109</v>
      </c>
      <c r="AC329" t="s">
        <v>67</v>
      </c>
      <c r="AD329" t="str">
        <f>IF(AND(E329="", T329&gt;=0, T329&lt;=0.5, K329&lt;&gt;"Unknown", Q329&lt;&gt;"Unknown"), "CLEAN", _xlfn.CONCAT("WARNING: ", IF(E329&lt;&gt;"","invalid_date",""), IF(T329&lt;0,"negative_discount",""), IF(AND(T329&gt;0.5,T329&lt;=1),"high_discount",""), IF(K329="Unknown","missing_region",""), IF(Q329="Unknown","missing_ship_mode","")))</f>
        <v>CLEAN</v>
      </c>
      <c r="AE329" t="str">
        <f>IF(COUNTIF($AF$2:$AF$926,AF329)&gt;1,"DUPLICATE","UNIQUE")</f>
        <v>UNIQUE</v>
      </c>
      <c r="AF329" t="str">
        <f>A329&amp;"|"&amp;B329&amp;"|"&amp;H329&amp;"|"&amp;I329&amp;"|"&amp;R329&amp;"|"&amp;S329&amp;"|"&amp;V329</f>
        <v>ORD-2024-10328|2024-07-24|CUST-6163|Isha Nair|3|1834.55|4402.92</v>
      </c>
      <c r="AG329" t="str">
        <f>IF(COUNTIF($A$2:$A$913,A329)&gt;1,"TRUE","FALSE")</f>
        <v>FALSE</v>
      </c>
    </row>
    <row r="330" spans="1:33">
      <c r="A330" t="s">
        <v>3118</v>
      </c>
      <c r="B330" t="s">
        <v>1075</v>
      </c>
      <c r="C330" t="s">
        <v>795</v>
      </c>
      <c r="D330">
        <f>IF(OR(B330="", C330=""), "", (C330 - B330))</f>
        <v>6</v>
      </c>
      <c r="E330" t="str">
        <f>IF(C330&lt;B330, "INVALID: Ship date before order date", "")</f>
        <v/>
      </c>
      <c r="F330" t="str">
        <f>IF(B330="", "", TEXT(B330, "mmmm"))</f>
        <v>May</v>
      </c>
      <c r="G330">
        <f>IF(B330="", "", YEAR(B330))</f>
        <v>2025</v>
      </c>
      <c r="H330" t="s">
        <v>1076</v>
      </c>
      <c r="I330" t="s">
        <v>158</v>
      </c>
      <c r="J330" t="s">
        <v>23</v>
      </c>
      <c r="K330" t="s">
        <v>62</v>
      </c>
      <c r="L330" t="s">
        <v>63</v>
      </c>
      <c r="M330" t="s">
        <v>64</v>
      </c>
      <c r="N330" t="s">
        <v>27</v>
      </c>
      <c r="O330" t="s">
        <v>122</v>
      </c>
      <c r="P330" t="s">
        <v>1077</v>
      </c>
      <c r="Q330" t="s">
        <v>49</v>
      </c>
      <c r="R330">
        <v>6</v>
      </c>
      <c r="S330" s="15">
        <v>3100.68</v>
      </c>
      <c r="T330" s="4">
        <v>0</v>
      </c>
      <c r="U330" s="3" t="str">
        <f>IF(T330&lt;0, "negative_discount", IF(AND(T330&gt;0.5, T330&lt;=1), "high_discount", ""))</f>
        <v/>
      </c>
      <c r="V330" s="11">
        <v>18604.080000000002</v>
      </c>
      <c r="W330" s="12">
        <v>18604.080000000002</v>
      </c>
      <c r="X330" s="11">
        <v>15834.3</v>
      </c>
      <c r="Y330" s="11">
        <v>2769.78</v>
      </c>
      <c r="Z330" s="11">
        <f>ROUND(W330-X330,2)</f>
        <v>2769.78</v>
      </c>
      <c r="AA330" s="4">
        <f>IF(W330=0,0,Z330/W330)</f>
        <v>0.14888024562354063</v>
      </c>
      <c r="AB330" t="s">
        <v>31</v>
      </c>
      <c r="AC330" t="s">
        <v>32</v>
      </c>
      <c r="AD330" t="str">
        <f>IF(AND(E330="", T330&gt;=0, T330&lt;=0.5, K330&lt;&gt;"Unknown", Q330&lt;&gt;"Unknown"), "CLEAN", _xlfn.CONCAT("WARNING: ", IF(E330&lt;&gt;"","invalid_date",""), IF(T330&lt;0,"negative_discount",""), IF(AND(T330&gt;0.5,T330&lt;=1),"high_discount",""), IF(K330="Unknown","missing_region",""), IF(Q330="Unknown","missing_ship_mode","")))</f>
        <v>CLEAN</v>
      </c>
      <c r="AE330" t="str">
        <f>IF(COUNTIF($AF$2:$AF$926,AF330)&gt;1,"DUPLICATE","UNIQUE")</f>
        <v>UNIQUE</v>
      </c>
      <c r="AF330" t="str">
        <f>A330&amp;"|"&amp;B330&amp;"|"&amp;H330&amp;"|"&amp;I330&amp;"|"&amp;R330&amp;"|"&amp;S330&amp;"|"&amp;V330</f>
        <v>ORD-2025-10329|2025-05-29|CUST-7239|Diya Patel|6|3100.68|18604.08</v>
      </c>
      <c r="AG330" t="str">
        <f>IF(COUNTIF($A$2:$A$913,A330)&gt;1,"TRUE","FALSE")</f>
        <v>FALSE</v>
      </c>
    </row>
    <row r="331" spans="1:33">
      <c r="A331" t="s">
        <v>3119</v>
      </c>
      <c r="B331" t="s">
        <v>1599</v>
      </c>
      <c r="C331" t="s">
        <v>1078</v>
      </c>
      <c r="D331">
        <f>IF(OR(B331="", C331=""), "", (C331 - B331))</f>
        <v>6</v>
      </c>
      <c r="E331" t="str">
        <f>IF(C331&lt;B331, "INVALID: Ship date before order date", "")</f>
        <v/>
      </c>
      <c r="F331" t="str">
        <f>IF(B331="", "", TEXT(B331, "mmmm"))</f>
        <v>May</v>
      </c>
      <c r="G331">
        <f>IF(B331="", "", YEAR(B331))</f>
        <v>2025</v>
      </c>
      <c r="H331" t="s">
        <v>1079</v>
      </c>
      <c r="I331" t="s">
        <v>78</v>
      </c>
      <c r="J331" t="s">
        <v>36</v>
      </c>
      <c r="K331" t="s">
        <v>62</v>
      </c>
      <c r="L331" t="s">
        <v>63</v>
      </c>
      <c r="M331" t="s">
        <v>64</v>
      </c>
      <c r="N331" t="s">
        <v>27</v>
      </c>
      <c r="O331" t="s">
        <v>122</v>
      </c>
      <c r="P331" t="s">
        <v>1080</v>
      </c>
      <c r="Q331" t="s">
        <v>58</v>
      </c>
      <c r="R331">
        <v>4</v>
      </c>
      <c r="S331" s="15">
        <v>4053.03</v>
      </c>
      <c r="T331" s="4">
        <v>0.05</v>
      </c>
      <c r="U331" s="3" t="str">
        <f>IF(T331&lt;0, "negative_discount", IF(AND(T331&gt;0.5, T331&lt;=1), "high_discount", ""))</f>
        <v/>
      </c>
      <c r="V331" s="11">
        <v>15401.51</v>
      </c>
      <c r="W331" s="12">
        <v>15401.51</v>
      </c>
      <c r="X331" s="11">
        <v>8650.42</v>
      </c>
      <c r="Y331" s="11">
        <v>6751.09</v>
      </c>
      <c r="Z331" s="11">
        <f>ROUND(W331-X331,2)</f>
        <v>6751.09</v>
      </c>
      <c r="AA331" s="4">
        <f>IF(W331=0,0,Z331/W331)</f>
        <v>0.4383394874918109</v>
      </c>
      <c r="AB331" t="s">
        <v>31</v>
      </c>
      <c r="AC331" t="s">
        <v>32</v>
      </c>
      <c r="AD331" t="str">
        <f>IF(AND(E331="", T331&gt;=0, T331&lt;=0.5, K331&lt;&gt;"Unknown", Q331&lt;&gt;"Unknown"), "CLEAN", _xlfn.CONCAT("WARNING: ", IF(E331&lt;&gt;"","invalid_date",""), IF(T331&lt;0,"negative_discount",""), IF(AND(T331&gt;0.5,T331&lt;=1),"high_discount",""), IF(K331="Unknown","missing_region",""), IF(Q331="Unknown","missing_ship_mode","")))</f>
        <v>CLEAN</v>
      </c>
      <c r="AE331" t="str">
        <f>IF(COUNTIF($AF$2:$AF$926,AF331)&gt;1,"DUPLICATE","UNIQUE")</f>
        <v>UNIQUE</v>
      </c>
      <c r="AF331" t="str">
        <f>A331&amp;"|"&amp;B331&amp;"|"&amp;H331&amp;"|"&amp;I331&amp;"|"&amp;R331&amp;"|"&amp;S331&amp;"|"&amp;V331</f>
        <v>ORD-2025-10330|2025-05-12|CUST-9718|Neha Gupta|4|4053.03|15401.51</v>
      </c>
      <c r="AG331" t="str">
        <f>IF(COUNTIF($A$2:$A$913,A331)&gt;1,"TRUE","FALSE")</f>
        <v>FALSE</v>
      </c>
    </row>
    <row r="332" spans="1:33">
      <c r="A332" t="s">
        <v>1081</v>
      </c>
      <c r="B332" t="s">
        <v>2739</v>
      </c>
      <c r="C332" t="s">
        <v>69</v>
      </c>
      <c r="D332">
        <f>IF(OR(B332="", C332=""), "", (C332 - B332))</f>
        <v>8</v>
      </c>
      <c r="E332" t="str">
        <f>IF(C332&lt;B332, "INVALID: Ship date before order date", "")</f>
        <v/>
      </c>
      <c r="F332" t="str">
        <f>IF(B332="", "", TEXT(B332, "mmmm"))</f>
        <v>May</v>
      </c>
      <c r="G332">
        <f>IF(B332="", "", YEAR(B332))</f>
        <v>2024</v>
      </c>
      <c r="H332" t="s">
        <v>1082</v>
      </c>
      <c r="I332" t="s">
        <v>52</v>
      </c>
      <c r="J332" t="s">
        <v>93</v>
      </c>
      <c r="K332" t="s">
        <v>24</v>
      </c>
      <c r="L332" t="s">
        <v>120</v>
      </c>
      <c r="M332" t="s">
        <v>121</v>
      </c>
      <c r="N332" t="s">
        <v>74</v>
      </c>
      <c r="O332" t="s">
        <v>75</v>
      </c>
      <c r="P332" t="s">
        <v>1083</v>
      </c>
      <c r="Q332" t="s">
        <v>43</v>
      </c>
      <c r="R332">
        <v>1</v>
      </c>
      <c r="S332" s="15">
        <v>783.09</v>
      </c>
      <c r="T332" s="4">
        <v>0</v>
      </c>
      <c r="U332" s="3" t="str">
        <f>IF(T332&lt;0, "negative_discount", IF(AND(T332&gt;0.5, T332&lt;=1), "high_discount", ""))</f>
        <v/>
      </c>
      <c r="V332" s="11">
        <v>783.09</v>
      </c>
      <c r="W332" s="12">
        <v>783.09</v>
      </c>
      <c r="X332" s="11">
        <v>503.89</v>
      </c>
      <c r="Y332" s="11">
        <v>279.2</v>
      </c>
      <c r="Z332" s="11">
        <f>ROUND(W332-X332,2)</f>
        <v>279.2</v>
      </c>
      <c r="AA332" s="4">
        <f>IF(W332=0,0,Z332/W332)</f>
        <v>0.35653628573982554</v>
      </c>
      <c r="AB332" t="s">
        <v>151</v>
      </c>
      <c r="AC332" t="s">
        <v>67</v>
      </c>
      <c r="AD332" t="str">
        <f>IF(AND(E332="", T332&gt;=0, T332&lt;=0.5, K332&lt;&gt;"Unknown", Q332&lt;&gt;"Unknown"), "CLEAN", _xlfn.CONCAT("WARNING: ", IF(E332&lt;&gt;"","invalid_date",""), IF(T332&lt;0,"negative_discount",""), IF(AND(T332&gt;0.5,T332&lt;=1),"high_discount",""), IF(K332="Unknown","missing_region",""), IF(Q332="Unknown","missing_ship_mode","")))</f>
        <v>CLEAN</v>
      </c>
      <c r="AE332" t="str">
        <f>IF(COUNTIF($AF$2:$AF$926,AF332)&gt;1,"DUPLICATE","UNIQUE")</f>
        <v>UNIQUE</v>
      </c>
      <c r="AF332" t="str">
        <f>A332&amp;"|"&amp;B332&amp;"|"&amp;H332&amp;"|"&amp;I332&amp;"|"&amp;R332&amp;"|"&amp;S332&amp;"|"&amp;V332</f>
        <v>ORD-2024-10331|2024-05-16|CUST-1116|Arjun Bose|1|783.09|783.09</v>
      </c>
      <c r="AG332" t="str">
        <f>IF(COUNTIF($A$2:$A$913,A332)&gt;1,"TRUE","FALSE")</f>
        <v>FALSE</v>
      </c>
    </row>
    <row r="333" spans="1:33">
      <c r="A333" t="s">
        <v>1084</v>
      </c>
      <c r="B333" t="s">
        <v>1304</v>
      </c>
      <c r="C333" t="s">
        <v>1085</v>
      </c>
      <c r="D333">
        <f>IF(OR(B333="", C333=""), "", (C333 - B333))</f>
        <v>238</v>
      </c>
      <c r="E333" t="str">
        <f>IF(C333&lt;B333, "INVALID: Ship date before order date", "")</f>
        <v/>
      </c>
      <c r="F333" t="str">
        <f>IF(B333="", "", TEXT(B333, "mmmm"))</f>
        <v>April</v>
      </c>
      <c r="G333">
        <f>IF(B333="", "", YEAR(B333))</f>
        <v>2024</v>
      </c>
      <c r="H333" t="s">
        <v>1086</v>
      </c>
      <c r="I333" t="s">
        <v>131</v>
      </c>
      <c r="J333" t="s">
        <v>93</v>
      </c>
      <c r="K333" t="s">
        <v>37</v>
      </c>
      <c r="L333" t="s">
        <v>38</v>
      </c>
      <c r="M333" t="s">
        <v>39</v>
      </c>
      <c r="N333" t="s">
        <v>27</v>
      </c>
      <c r="O333" t="s">
        <v>149</v>
      </c>
      <c r="P333" t="s">
        <v>1087</v>
      </c>
      <c r="Q333" t="s">
        <v>30</v>
      </c>
      <c r="R333">
        <v>4</v>
      </c>
      <c r="S333" s="15">
        <v>2685.66</v>
      </c>
      <c r="T333" s="4">
        <v>0</v>
      </c>
      <c r="U333" s="3" t="str">
        <f>IF(T333&lt;0, "negative_discount", IF(AND(T333&gt;0.5, T333&lt;=1), "high_discount", ""))</f>
        <v/>
      </c>
      <c r="V333" s="11">
        <v>10742.64</v>
      </c>
      <c r="W333" s="12">
        <v>10742.64</v>
      </c>
      <c r="X333" s="11">
        <v>6477.37</v>
      </c>
      <c r="Y333" s="11">
        <v>4265.2700000000004</v>
      </c>
      <c r="Z333" s="11">
        <f>ROUND(W333-X333,2)</f>
        <v>4265.2700000000004</v>
      </c>
      <c r="AA333" s="4">
        <f>IF(W333=0,0,Z333/W333)</f>
        <v>0.3970411370017054</v>
      </c>
      <c r="AB333" t="s">
        <v>31</v>
      </c>
      <c r="AC333" t="s">
        <v>100</v>
      </c>
      <c r="AD333" t="str">
        <f>IF(AND(E333="", T333&gt;=0, T333&lt;=0.5, K333&lt;&gt;"Unknown", Q333&lt;&gt;"Unknown"), "CLEAN", _xlfn.CONCAT("WARNING: ", IF(E333&lt;&gt;"","invalid_date",""), IF(T333&lt;0,"negative_discount",""), IF(AND(T333&gt;0.5,T333&lt;=1),"high_discount",""), IF(K333="Unknown","missing_region",""), IF(Q333="Unknown","missing_ship_mode","")))</f>
        <v>CLEAN</v>
      </c>
      <c r="AE333" t="str">
        <f>IF(COUNTIF($AF$2:$AF$926,AF333)&gt;1,"DUPLICATE","UNIQUE")</f>
        <v>UNIQUE</v>
      </c>
      <c r="AF333" t="str">
        <f>A333&amp;"|"&amp;B333&amp;"|"&amp;H333&amp;"|"&amp;I333&amp;"|"&amp;R333&amp;"|"&amp;S333&amp;"|"&amp;V333</f>
        <v>ORD-2024-10332|2024-04-12|CUST-9346|Sneha Kapoor|4|2685.66|10742.64</v>
      </c>
      <c r="AG333" t="str">
        <f>IF(COUNTIF($A$2:$A$913,A333)&gt;1,"TRUE","FALSE")</f>
        <v>TRUE</v>
      </c>
    </row>
    <row r="334" spans="1:33">
      <c r="A334" t="s">
        <v>3120</v>
      </c>
      <c r="B334" t="s">
        <v>2777</v>
      </c>
      <c r="C334" t="s">
        <v>1088</v>
      </c>
      <c r="D334">
        <f>IF(OR(B334="", C334=""), "", (C334 - B334))</f>
        <v>1</v>
      </c>
      <c r="E334" t="str">
        <f>IF(C334&lt;B334, "INVALID: Ship date before order date", "")</f>
        <v/>
      </c>
      <c r="F334" t="str">
        <f>IF(B334="", "", TEXT(B334, "mmmm"))</f>
        <v>May</v>
      </c>
      <c r="G334">
        <f>IF(B334="", "", YEAR(B334))</f>
        <v>2025</v>
      </c>
      <c r="H334" t="s">
        <v>1089</v>
      </c>
      <c r="I334" t="s">
        <v>126</v>
      </c>
      <c r="J334" t="s">
        <v>23</v>
      </c>
      <c r="K334" t="s">
        <v>53</v>
      </c>
      <c r="L334" t="s">
        <v>83</v>
      </c>
      <c r="M334" t="s">
        <v>84</v>
      </c>
      <c r="N334" t="s">
        <v>74</v>
      </c>
      <c r="O334" t="s">
        <v>272</v>
      </c>
      <c r="P334" t="s">
        <v>1090</v>
      </c>
      <c r="Q334" t="s">
        <v>30</v>
      </c>
      <c r="R334">
        <v>2</v>
      </c>
      <c r="S334" s="15">
        <v>3911.96</v>
      </c>
      <c r="T334" s="4">
        <v>0</v>
      </c>
      <c r="U334" s="3" t="str">
        <f>IF(T334&lt;0, "negative_discount", IF(AND(T334&gt;0.5, T334&lt;=1), "high_discount", ""))</f>
        <v/>
      </c>
      <c r="V334" s="11">
        <v>7823.92</v>
      </c>
      <c r="W334" s="12">
        <v>7823.92</v>
      </c>
      <c r="X334" s="11">
        <v>6034.63</v>
      </c>
      <c r="Y334" s="11">
        <v>1789.29</v>
      </c>
      <c r="Z334" s="11">
        <f>ROUND(W334-X334,2)</f>
        <v>1789.29</v>
      </c>
      <c r="AA334" s="4">
        <f>IF(W334=0,0,Z334/W334)</f>
        <v>0.22869482305545047</v>
      </c>
      <c r="AB334" t="s">
        <v>31</v>
      </c>
      <c r="AC334" t="s">
        <v>32</v>
      </c>
      <c r="AD334" t="str">
        <f>IF(AND(E334="", T334&gt;=0, T334&lt;=0.5, K334&lt;&gt;"Unknown", Q334&lt;&gt;"Unknown"), "CLEAN", _xlfn.CONCAT("WARNING: ", IF(E334&lt;&gt;"","invalid_date",""), IF(T334&lt;0,"negative_discount",""), IF(AND(T334&gt;0.5,T334&lt;=1),"high_discount",""), IF(K334="Unknown","missing_region",""), IF(Q334="Unknown","missing_ship_mode","")))</f>
        <v>CLEAN</v>
      </c>
      <c r="AE334" t="str">
        <f>IF(COUNTIF($AF$2:$AF$926,AF334)&gt;1,"DUPLICATE","UNIQUE")</f>
        <v>UNIQUE</v>
      </c>
      <c r="AF334" t="str">
        <f>A334&amp;"|"&amp;B334&amp;"|"&amp;H334&amp;"|"&amp;I334&amp;"|"&amp;R334&amp;"|"&amp;S334&amp;"|"&amp;V334</f>
        <v>ORD-2025-10333|2025-05-27|CUST-5332|Aarav Sharma|2|3911.96|7823.92</v>
      </c>
      <c r="AG334" t="str">
        <f>IF(COUNTIF($A$2:$A$913,A334)&gt;1,"TRUE","FALSE")</f>
        <v>FALSE</v>
      </c>
    </row>
    <row r="335" spans="1:33">
      <c r="A335" t="s">
        <v>3121</v>
      </c>
      <c r="B335" t="s">
        <v>2393</v>
      </c>
      <c r="C335" t="s">
        <v>1091</v>
      </c>
      <c r="D335">
        <f>IF(OR(B335="", C335=""), "", (C335 - B335))</f>
        <v>5</v>
      </c>
      <c r="E335" t="str">
        <f>IF(C335&lt;B335, "INVALID: Ship date before order date", "")</f>
        <v/>
      </c>
      <c r="F335" t="str">
        <f>IF(B335="", "", TEXT(B335, "mmmm"))</f>
        <v>June</v>
      </c>
      <c r="G335">
        <f>IF(B335="", "", YEAR(B335))</f>
        <v>2025</v>
      </c>
      <c r="H335" t="s">
        <v>1092</v>
      </c>
      <c r="I335" t="s">
        <v>139</v>
      </c>
      <c r="J335" t="s">
        <v>93</v>
      </c>
      <c r="K335" t="s">
        <v>2970</v>
      </c>
      <c r="L335" t="s">
        <v>353</v>
      </c>
      <c r="M335" t="s">
        <v>354</v>
      </c>
      <c r="N335" t="s">
        <v>74</v>
      </c>
      <c r="O335" t="s">
        <v>168</v>
      </c>
      <c r="P335" t="s">
        <v>1093</v>
      </c>
      <c r="Q335" t="s">
        <v>49</v>
      </c>
      <c r="R335">
        <v>2</v>
      </c>
      <c r="S335" s="15">
        <v>1468.05</v>
      </c>
      <c r="T335" s="4">
        <v>0</v>
      </c>
      <c r="U335" s="3" t="str">
        <f>IF(T335&lt;0, "negative_discount", IF(AND(T335&gt;0.5, T335&lt;=1), "high_discount", ""))</f>
        <v/>
      </c>
      <c r="V335" s="11">
        <v>2936.1</v>
      </c>
      <c r="W335" s="12">
        <v>2936.1</v>
      </c>
      <c r="X335" s="11">
        <v>1923.1</v>
      </c>
      <c r="Y335" s="11">
        <v>1013</v>
      </c>
      <c r="Z335" s="11">
        <f>ROUND(W335-X335,2)</f>
        <v>1013</v>
      </c>
      <c r="AA335" s="4">
        <f>IF(W335=0,0,Z335/W335)</f>
        <v>0.34501549674738602</v>
      </c>
      <c r="AB335" t="s">
        <v>31</v>
      </c>
      <c r="AC335" t="s">
        <v>32</v>
      </c>
      <c r="AD335" t="str">
        <f>IF(AND(E335="", T335&gt;=0, T335&lt;=0.5, K335&lt;&gt;"Unknown", Q335&lt;&gt;"Unknown"), "CLEAN", _xlfn.CONCAT("WARNING: ", IF(E335&lt;&gt;"","invalid_date",""), IF(T335&lt;0,"negative_discount",""), IF(AND(T335&gt;0.5,T335&lt;=1),"high_discount",""), IF(K335="Unknown","missing_region",""), IF(Q335="Unknown","missing_ship_mode","")))</f>
        <v>WARNING: missing_region</v>
      </c>
      <c r="AE335" t="str">
        <f>IF(COUNTIF($AF$2:$AF$926,AF335)&gt;1,"DUPLICATE","UNIQUE")</f>
        <v>UNIQUE</v>
      </c>
      <c r="AF335" t="str">
        <f>A335&amp;"|"&amp;B335&amp;"|"&amp;H335&amp;"|"&amp;I335&amp;"|"&amp;R335&amp;"|"&amp;S335&amp;"|"&amp;V335</f>
        <v>ORD-2025-10334|2025-06-22|CUST-8081|Rohan Mehta|2|1468.05|2936.1</v>
      </c>
      <c r="AG335" t="str">
        <f>IF(COUNTIF($A$2:$A$913,A335)&gt;1,"TRUE","FALSE")</f>
        <v>FALSE</v>
      </c>
    </row>
    <row r="336" spans="1:33">
      <c r="A336" t="s">
        <v>1094</v>
      </c>
      <c r="B336" t="s">
        <v>858</v>
      </c>
      <c r="C336" t="s">
        <v>2833</v>
      </c>
      <c r="D336">
        <f>IF(OR(B336="", C336=""), "", (C336 - B336))</f>
        <v>5</v>
      </c>
      <c r="E336" t="str">
        <f>IF(C336&lt;B336, "INVALID: Ship date before order date", "")</f>
        <v/>
      </c>
      <c r="F336" t="str">
        <f>IF(B336="", "", TEXT(B336, "mmmm"))</f>
        <v>September</v>
      </c>
      <c r="G336">
        <f>IF(B336="", "", YEAR(B336))</f>
        <v>2024</v>
      </c>
      <c r="H336" t="s">
        <v>1095</v>
      </c>
      <c r="I336" t="s">
        <v>61</v>
      </c>
      <c r="J336" t="s">
        <v>23</v>
      </c>
      <c r="K336" t="s">
        <v>37</v>
      </c>
      <c r="L336" t="s">
        <v>226</v>
      </c>
      <c r="M336" t="s">
        <v>227</v>
      </c>
      <c r="N336" t="s">
        <v>27</v>
      </c>
      <c r="O336" t="s">
        <v>122</v>
      </c>
      <c r="P336" t="s">
        <v>1096</v>
      </c>
      <c r="Q336" t="s">
        <v>49</v>
      </c>
      <c r="R336">
        <v>9</v>
      </c>
      <c r="S336" s="15">
        <v>1921.47</v>
      </c>
      <c r="T336" s="4">
        <v>0.25</v>
      </c>
      <c r="U336" s="3" t="str">
        <f>IF(T336&lt;0, "negative_discount", IF(AND(T336&gt;0.5, T336&lt;=1), "high_discount", ""))</f>
        <v/>
      </c>
      <c r="V336" s="11">
        <v>12969.92</v>
      </c>
      <c r="W336" s="12">
        <v>12969.92</v>
      </c>
      <c r="X336" s="11">
        <v>9398.4599999999991</v>
      </c>
      <c r="Y336" s="11">
        <v>3571.46</v>
      </c>
      <c r="Z336" s="11">
        <f>ROUND(W336-X336,2)</f>
        <v>3571.46</v>
      </c>
      <c r="AA336" s="4">
        <f>IF(W336=0,0,Z336/W336)</f>
        <v>0.27536484419333351</v>
      </c>
      <c r="AB336" t="s">
        <v>31</v>
      </c>
      <c r="AC336" t="s">
        <v>32</v>
      </c>
      <c r="AD336" t="str">
        <f>IF(AND(E336="", T336&gt;=0, T336&lt;=0.5, K336&lt;&gt;"Unknown", Q336&lt;&gt;"Unknown"), "CLEAN", _xlfn.CONCAT("WARNING: ", IF(E336&lt;&gt;"","invalid_date",""), IF(T336&lt;0,"negative_discount",""), IF(AND(T336&gt;0.5,T336&lt;=1),"high_discount",""), IF(K336="Unknown","missing_region",""), IF(Q336="Unknown","missing_ship_mode","")))</f>
        <v>CLEAN</v>
      </c>
      <c r="AE336" t="str">
        <f>IF(COUNTIF($AF$2:$AF$926,AF336)&gt;1,"DUPLICATE","UNIQUE")</f>
        <v>UNIQUE</v>
      </c>
      <c r="AF336" t="str">
        <f>A336&amp;"|"&amp;B336&amp;"|"&amp;H336&amp;"|"&amp;I336&amp;"|"&amp;R336&amp;"|"&amp;S336&amp;"|"&amp;V336</f>
        <v>ORD-2024-10335|2024-09-12|CUST-3062|Ananya Rao|9|1921.47|12969.92</v>
      </c>
      <c r="AG336" t="str">
        <f>IF(COUNTIF($A$2:$A$913,A336)&gt;1,"TRUE","FALSE")</f>
        <v>FALSE</v>
      </c>
    </row>
    <row r="337" spans="1:33">
      <c r="A337" t="s">
        <v>3122</v>
      </c>
      <c r="B337" t="s">
        <v>2778</v>
      </c>
      <c r="C337" t="s">
        <v>2757</v>
      </c>
      <c r="D337">
        <f>IF(OR(B337="", C337=""), "", (C337 - B337))</f>
        <v>2</v>
      </c>
      <c r="E337" t="str">
        <f>IF(C337&lt;B337, "INVALID: Ship date before order date", "")</f>
        <v/>
      </c>
      <c r="F337" t="str">
        <f>IF(B337="", "", TEXT(B337, "mmmm"))</f>
        <v>June</v>
      </c>
      <c r="G337">
        <f>IF(B337="", "", YEAR(B337))</f>
        <v>2025</v>
      </c>
      <c r="H337" t="s">
        <v>1097</v>
      </c>
      <c r="I337" t="s">
        <v>116</v>
      </c>
      <c r="J337" t="s">
        <v>93</v>
      </c>
      <c r="K337" t="s">
        <v>62</v>
      </c>
      <c r="L337" t="s">
        <v>72</v>
      </c>
      <c r="M337" t="s">
        <v>73</v>
      </c>
      <c r="N337" t="s">
        <v>27</v>
      </c>
      <c r="O337" t="s">
        <v>28</v>
      </c>
      <c r="P337" t="s">
        <v>1098</v>
      </c>
      <c r="Q337" t="s">
        <v>49</v>
      </c>
      <c r="R337">
        <v>3</v>
      </c>
      <c r="S337" s="15">
        <v>4289.37</v>
      </c>
      <c r="T337" s="4">
        <v>0.1</v>
      </c>
      <c r="U337" s="3" t="str">
        <f>IF(T337&lt;0, "negative_discount", IF(AND(T337&gt;0.5, T337&lt;=1), "high_discount", ""))</f>
        <v/>
      </c>
      <c r="V337" s="11">
        <v>11581.3</v>
      </c>
      <c r="W337" s="12">
        <v>11581.3</v>
      </c>
      <c r="X337" s="11">
        <v>6829.43</v>
      </c>
      <c r="Y337" s="11">
        <v>4751.87</v>
      </c>
      <c r="Z337" s="11">
        <f>ROUND(W337-X337,2)</f>
        <v>4751.87</v>
      </c>
      <c r="AA337" s="4">
        <f>IF(W337=0,0,Z337/W337)</f>
        <v>0.41030540612884564</v>
      </c>
      <c r="AB337" t="s">
        <v>31</v>
      </c>
      <c r="AC337" t="s">
        <v>32</v>
      </c>
      <c r="AD337" t="str">
        <f>IF(AND(E337="", T337&gt;=0, T337&lt;=0.5, K337&lt;&gt;"Unknown", Q337&lt;&gt;"Unknown"), "CLEAN", _xlfn.CONCAT("WARNING: ", IF(E337&lt;&gt;"","invalid_date",""), IF(T337&lt;0,"negative_discount",""), IF(AND(T337&gt;0.5,T337&lt;=1),"high_discount",""), IF(K337="Unknown","missing_region",""), IF(Q337="Unknown","missing_ship_mode","")))</f>
        <v>CLEAN</v>
      </c>
      <c r="AE337" t="str">
        <f>IF(COUNTIF($AF$2:$AF$926,AF337)&gt;1,"DUPLICATE","UNIQUE")</f>
        <v>UNIQUE</v>
      </c>
      <c r="AF337" t="str">
        <f>A337&amp;"|"&amp;B337&amp;"|"&amp;H337&amp;"|"&amp;I337&amp;"|"&amp;R337&amp;"|"&amp;S337&amp;"|"&amp;V337</f>
        <v>ORD-2025-10336|2025-06-16|CUST-3621|Rahul Verma|3|4289.37|11581.3</v>
      </c>
      <c r="AG337" t="str">
        <f>IF(COUNTIF($A$2:$A$913,A337)&gt;1,"TRUE","FALSE")</f>
        <v>TRUE</v>
      </c>
    </row>
    <row r="338" spans="1:33">
      <c r="A338" t="s">
        <v>1099</v>
      </c>
      <c r="B338" t="s">
        <v>2215</v>
      </c>
      <c r="C338" t="s">
        <v>2874</v>
      </c>
      <c r="D338">
        <f>IF(OR(B338="", C338=""), "", (C338 - B338))</f>
        <v>4</v>
      </c>
      <c r="E338" t="str">
        <f>IF(C338&lt;B338, "INVALID: Ship date before order date", "")</f>
        <v/>
      </c>
      <c r="F338" t="str">
        <f>IF(B338="", "", TEXT(B338, "mmmm"))</f>
        <v>March</v>
      </c>
      <c r="G338">
        <f>IF(B338="", "", YEAR(B338))</f>
        <v>2024</v>
      </c>
      <c r="H338" t="s">
        <v>855</v>
      </c>
      <c r="I338" t="s">
        <v>126</v>
      </c>
      <c r="J338" t="s">
        <v>23</v>
      </c>
      <c r="K338" t="s">
        <v>24</v>
      </c>
      <c r="L338" t="s">
        <v>25</v>
      </c>
      <c r="M338" t="s">
        <v>26</v>
      </c>
      <c r="N338" t="s">
        <v>74</v>
      </c>
      <c r="O338" t="s">
        <v>79</v>
      </c>
      <c r="P338" t="s">
        <v>1100</v>
      </c>
      <c r="Q338" t="s">
        <v>49</v>
      </c>
      <c r="R338">
        <v>8</v>
      </c>
      <c r="S338" s="15">
        <v>1992.57</v>
      </c>
      <c r="T338" s="4">
        <v>0</v>
      </c>
      <c r="U338" s="3" t="str">
        <f>IF(T338&lt;0, "negative_discount", IF(AND(T338&gt;0.5, T338&lt;=1), "high_discount", ""))</f>
        <v/>
      </c>
      <c r="V338" s="11">
        <v>15940.56</v>
      </c>
      <c r="W338" s="12">
        <v>15940.56</v>
      </c>
      <c r="X338" s="11">
        <v>12347.15</v>
      </c>
      <c r="Y338" s="11">
        <v>3593.41</v>
      </c>
      <c r="Z338" s="11">
        <f>ROUND(W338-X338,2)</f>
        <v>3593.41</v>
      </c>
      <c r="AA338" s="4">
        <f>IF(W338=0,0,Z338/W338)</f>
        <v>0.2254255810335396</v>
      </c>
      <c r="AB338" t="s">
        <v>31</v>
      </c>
      <c r="AC338" t="s">
        <v>32</v>
      </c>
      <c r="AD338" t="str">
        <f>IF(AND(E338="", T338&gt;=0, T338&lt;=0.5, K338&lt;&gt;"Unknown", Q338&lt;&gt;"Unknown"), "CLEAN", _xlfn.CONCAT("WARNING: ", IF(E338&lt;&gt;"","invalid_date",""), IF(T338&lt;0,"negative_discount",""), IF(AND(T338&gt;0.5,T338&lt;=1),"high_discount",""), IF(K338="Unknown","missing_region",""), IF(Q338="Unknown","missing_ship_mode","")))</f>
        <v>CLEAN</v>
      </c>
      <c r="AE338" t="str">
        <f>IF(COUNTIF($AF$2:$AF$926,AF338)&gt;1,"DUPLICATE","UNIQUE")</f>
        <v>UNIQUE</v>
      </c>
      <c r="AF338" t="str">
        <f>A338&amp;"|"&amp;B338&amp;"|"&amp;H338&amp;"|"&amp;I338&amp;"|"&amp;R338&amp;"|"&amp;S338&amp;"|"&amp;V338</f>
        <v>ORD-2024-10337|2024-03-17|CUST-2103|Aarav Sharma|8|1992.57|15940.56</v>
      </c>
      <c r="AG338" t="str">
        <f>IF(COUNTIF($A$2:$A$913,A338)&gt;1,"TRUE","FALSE")</f>
        <v>FALSE</v>
      </c>
    </row>
    <row r="339" spans="1:33">
      <c r="A339" t="s">
        <v>1101</v>
      </c>
      <c r="B339" t="s">
        <v>244</v>
      </c>
      <c r="C339" t="s">
        <v>475</v>
      </c>
      <c r="D339">
        <f>IF(OR(B339="", C339=""), "", (C339 - B339))</f>
        <v>6</v>
      </c>
      <c r="E339" t="str">
        <f>IF(C339&lt;B339, "INVALID: Ship date before order date", "")</f>
        <v/>
      </c>
      <c r="F339" t="str">
        <f>IF(B339="", "", TEXT(B339, "mmmm"))</f>
        <v>August</v>
      </c>
      <c r="G339">
        <f>IF(B339="", "", YEAR(B339))</f>
        <v>2024</v>
      </c>
      <c r="H339" t="s">
        <v>1102</v>
      </c>
      <c r="I339" t="s">
        <v>61</v>
      </c>
      <c r="J339" t="s">
        <v>23</v>
      </c>
      <c r="K339" t="s">
        <v>37</v>
      </c>
      <c r="L339" t="s">
        <v>163</v>
      </c>
      <c r="M339" t="s">
        <v>164</v>
      </c>
      <c r="N339" t="s">
        <v>27</v>
      </c>
      <c r="O339" t="s">
        <v>90</v>
      </c>
      <c r="P339" t="s">
        <v>1103</v>
      </c>
      <c r="Q339" t="s">
        <v>43</v>
      </c>
      <c r="R339">
        <v>6</v>
      </c>
      <c r="S339" s="15">
        <v>1181.74</v>
      </c>
      <c r="T339" s="4">
        <v>0</v>
      </c>
      <c r="U339" s="3" t="str">
        <f>IF(T339&lt;0, "negative_discount", IF(AND(T339&gt;0.5, T339&lt;=1), "high_discount", ""))</f>
        <v/>
      </c>
      <c r="V339" s="11">
        <v>7090.44</v>
      </c>
      <c r="W339" s="12">
        <v>7090.44</v>
      </c>
      <c r="X339" s="11">
        <v>5672.27</v>
      </c>
      <c r="Y339" s="11">
        <v>1262.8699999999999</v>
      </c>
      <c r="Z339" s="11">
        <f>ROUND(W339-X339,2)</f>
        <v>1418.17</v>
      </c>
      <c r="AA339" s="4">
        <f>IF(W339=0,0,Z339/W339)</f>
        <v>0.20001156486762459</v>
      </c>
      <c r="AB339" t="s">
        <v>31</v>
      </c>
      <c r="AC339" t="s">
        <v>32</v>
      </c>
      <c r="AD339" t="str">
        <f>IF(AND(E339="", T339&gt;=0, T339&lt;=0.5, K339&lt;&gt;"Unknown", Q339&lt;&gt;"Unknown"), "CLEAN", _xlfn.CONCAT("WARNING: ", IF(E339&lt;&gt;"","invalid_date",""), IF(T339&lt;0,"negative_discount",""), IF(AND(T339&gt;0.5,T339&lt;=1),"high_discount",""), IF(K339="Unknown","missing_region",""), IF(Q339="Unknown","missing_ship_mode","")))</f>
        <v>CLEAN</v>
      </c>
      <c r="AE339" t="str">
        <f>IF(COUNTIF($AF$2:$AF$926,AF339)&gt;1,"DUPLICATE","UNIQUE")</f>
        <v>UNIQUE</v>
      </c>
      <c r="AF339" t="str">
        <f>A339&amp;"|"&amp;B339&amp;"|"&amp;H339&amp;"|"&amp;I339&amp;"|"&amp;R339&amp;"|"&amp;S339&amp;"|"&amp;V339</f>
        <v>ORD-2024-10338|2024-08-12|CUST-4599|Ananya Rao|6|1181.74|7090.44</v>
      </c>
      <c r="AG339" t="str">
        <f>IF(COUNTIF($A$2:$A$913,A339)&gt;1,"TRUE","FALSE")</f>
        <v>FALSE</v>
      </c>
    </row>
    <row r="340" spans="1:33">
      <c r="A340" t="s">
        <v>1104</v>
      </c>
      <c r="B340" t="s">
        <v>244</v>
      </c>
      <c r="C340" t="s">
        <v>2689</v>
      </c>
      <c r="D340">
        <f>IF(OR(B340="", C340=""), "", (C340 - B340))</f>
        <v>118</v>
      </c>
      <c r="E340" t="str">
        <f>IF(C340&lt;B340, "INVALID: Ship date before order date", "")</f>
        <v/>
      </c>
      <c r="F340" t="str">
        <f>IF(B340="", "", TEXT(B340, "mmmm"))</f>
        <v>August</v>
      </c>
      <c r="G340">
        <f>IF(B340="", "", YEAR(B340))</f>
        <v>2024</v>
      </c>
      <c r="H340" t="s">
        <v>1105</v>
      </c>
      <c r="I340" t="s">
        <v>52</v>
      </c>
      <c r="J340" t="s">
        <v>36</v>
      </c>
      <c r="K340" t="s">
        <v>53</v>
      </c>
      <c r="L340" t="s">
        <v>83</v>
      </c>
      <c r="M340" t="s">
        <v>84</v>
      </c>
      <c r="N340" t="s">
        <v>74</v>
      </c>
      <c r="O340" t="s">
        <v>75</v>
      </c>
      <c r="P340" t="s">
        <v>1106</v>
      </c>
      <c r="Q340" t="s">
        <v>49</v>
      </c>
      <c r="R340">
        <v>8</v>
      </c>
      <c r="S340" s="15">
        <v>4402.3599999999997</v>
      </c>
      <c r="T340" s="4">
        <v>0.25</v>
      </c>
      <c r="U340" s="3" t="str">
        <f>IF(T340&lt;0, "negative_discount", IF(AND(T340&gt;0.5, T340&lt;=1), "high_discount", ""))</f>
        <v/>
      </c>
      <c r="V340" s="11">
        <v>26414.16</v>
      </c>
      <c r="W340" s="12">
        <v>26414.16</v>
      </c>
      <c r="X340" s="11">
        <v>21822.53</v>
      </c>
      <c r="Y340" s="11">
        <v>4591.63</v>
      </c>
      <c r="Z340" s="11">
        <f>ROUND(W340-X340,2)</f>
        <v>4591.63</v>
      </c>
      <c r="AA340" s="4">
        <f>IF(W340=0,0,Z340/W340)</f>
        <v>0.17383214154832105</v>
      </c>
      <c r="AB340" t="s">
        <v>31</v>
      </c>
      <c r="AC340" t="s">
        <v>32</v>
      </c>
      <c r="AD340" t="str">
        <f>IF(AND(E340="", T340&gt;=0, T340&lt;=0.5, K340&lt;&gt;"Unknown", Q340&lt;&gt;"Unknown"), "CLEAN", _xlfn.CONCAT("WARNING: ", IF(E340&lt;&gt;"","invalid_date",""), IF(T340&lt;0,"negative_discount",""), IF(AND(T340&gt;0.5,T340&lt;=1),"high_discount",""), IF(K340="Unknown","missing_region",""), IF(Q340="Unknown","missing_ship_mode","")))</f>
        <v>CLEAN</v>
      </c>
      <c r="AE340" t="str">
        <f>IF(COUNTIF($AF$2:$AF$926,AF340)&gt;1,"DUPLICATE","UNIQUE")</f>
        <v>UNIQUE</v>
      </c>
      <c r="AF340" t="str">
        <f>A340&amp;"|"&amp;B340&amp;"|"&amp;H340&amp;"|"&amp;I340&amp;"|"&amp;R340&amp;"|"&amp;S340&amp;"|"&amp;V340</f>
        <v>ORD-2024-10339|2024-08-12|CUST-3066|Arjun Bose|8|4402.36|26414.16</v>
      </c>
      <c r="AG340" t="str">
        <f>IF(COUNTIF($A$2:$A$913,A340)&gt;1,"TRUE","FALSE")</f>
        <v>FALSE</v>
      </c>
    </row>
    <row r="341" spans="1:33">
      <c r="A341" t="s">
        <v>3123</v>
      </c>
      <c r="B341" t="s">
        <v>2726</v>
      </c>
      <c r="C341" t="s">
        <v>2846</v>
      </c>
      <c r="D341">
        <f>IF(OR(B341="", C341=""), "", (C341 - B341))</f>
        <v>2</v>
      </c>
      <c r="E341" t="str">
        <f>IF(C341&lt;B341, "INVALID: Ship date before order date", "")</f>
        <v/>
      </c>
      <c r="F341" t="str">
        <f>IF(B341="", "", TEXT(B341, "mmmm"))</f>
        <v>February</v>
      </c>
      <c r="G341">
        <f>IF(B341="", "", YEAR(B341))</f>
        <v>2025</v>
      </c>
      <c r="H341" t="s">
        <v>1107</v>
      </c>
      <c r="I341" t="s">
        <v>78</v>
      </c>
      <c r="J341" t="s">
        <v>89</v>
      </c>
      <c r="K341" t="s">
        <v>37</v>
      </c>
      <c r="L341" t="s">
        <v>226</v>
      </c>
      <c r="M341" t="s">
        <v>227</v>
      </c>
      <c r="N341" t="s">
        <v>40</v>
      </c>
      <c r="O341" t="s">
        <v>153</v>
      </c>
      <c r="P341" t="s">
        <v>1108</v>
      </c>
      <c r="Q341" t="s">
        <v>58</v>
      </c>
      <c r="R341">
        <v>8</v>
      </c>
      <c r="S341" s="15">
        <v>3265.76</v>
      </c>
      <c r="T341" s="4">
        <v>0.2</v>
      </c>
      <c r="U341" s="3" t="str">
        <f>IF(T341&lt;0, "negative_discount", IF(AND(T341&gt;0.5, T341&lt;=1), "high_discount", ""))</f>
        <v/>
      </c>
      <c r="V341" s="11">
        <v>20900.86</v>
      </c>
      <c r="W341" s="12">
        <v>20900.86</v>
      </c>
      <c r="X341" s="11">
        <v>12513.14</v>
      </c>
      <c r="Y341" s="11">
        <v>8387.7199999999993</v>
      </c>
      <c r="Z341" s="11">
        <f>ROUND(W341-X341,2)</f>
        <v>8387.7199999999993</v>
      </c>
      <c r="AA341" s="4">
        <f>IF(W341=0,0,Z341/W341)</f>
        <v>0.40130980256314808</v>
      </c>
      <c r="AB341" t="s">
        <v>31</v>
      </c>
      <c r="AC341" t="s">
        <v>32</v>
      </c>
      <c r="AD341" t="str">
        <f>IF(AND(E341="", T341&gt;=0, T341&lt;=0.5, K341&lt;&gt;"Unknown", Q341&lt;&gt;"Unknown"), "CLEAN", _xlfn.CONCAT("WARNING: ", IF(E341&lt;&gt;"","invalid_date",""), IF(T341&lt;0,"negative_discount",""), IF(AND(T341&gt;0.5,T341&lt;=1),"high_discount",""), IF(K341="Unknown","missing_region",""), IF(Q341="Unknown","missing_ship_mode","")))</f>
        <v>CLEAN</v>
      </c>
      <c r="AE341" t="str">
        <f>IF(COUNTIF($AF$2:$AF$926,AF341)&gt;1,"DUPLICATE","UNIQUE")</f>
        <v>UNIQUE</v>
      </c>
      <c r="AF341" t="str">
        <f>A341&amp;"|"&amp;B341&amp;"|"&amp;H341&amp;"|"&amp;I341&amp;"|"&amp;R341&amp;"|"&amp;S341&amp;"|"&amp;V341</f>
        <v>ORD-2025-10340|2025-02-20|CUST-2752|Neha Gupta|8|3265.76|20900.86</v>
      </c>
      <c r="AG341" t="str">
        <f>IF(COUNTIF($A$2:$A$913,A341)&gt;1,"TRUE","FALSE")</f>
        <v>FALSE</v>
      </c>
    </row>
    <row r="342" spans="1:33">
      <c r="A342" t="s">
        <v>1109</v>
      </c>
      <c r="B342" t="s">
        <v>2779</v>
      </c>
      <c r="C342" t="s">
        <v>2812</v>
      </c>
      <c r="D342">
        <f>IF(OR(B342="", C342=""), "", (C342 - B342))</f>
        <v>8</v>
      </c>
      <c r="E342" t="str">
        <f>IF(C342&lt;B342, "INVALID: Ship date before order date", "")</f>
        <v/>
      </c>
      <c r="F342" t="str">
        <f>IF(B342="", "", TEXT(B342, "mmmm"))</f>
        <v>January</v>
      </c>
      <c r="G342">
        <f>IF(B342="", "", YEAR(B342))</f>
        <v>2024</v>
      </c>
      <c r="H342" t="s">
        <v>1110</v>
      </c>
      <c r="I342" t="s">
        <v>78</v>
      </c>
      <c r="J342" t="s">
        <v>23</v>
      </c>
      <c r="K342" t="s">
        <v>53</v>
      </c>
      <c r="L342" t="s">
        <v>171</v>
      </c>
      <c r="M342" t="s">
        <v>172</v>
      </c>
      <c r="N342" t="s">
        <v>27</v>
      </c>
      <c r="O342" t="s">
        <v>149</v>
      </c>
      <c r="P342" t="s">
        <v>1111</v>
      </c>
      <c r="Q342" t="s">
        <v>58</v>
      </c>
      <c r="R342">
        <v>5</v>
      </c>
      <c r="S342" s="15">
        <v>4058.08</v>
      </c>
      <c r="T342" s="4">
        <v>0.1</v>
      </c>
      <c r="U342" s="3" t="str">
        <f>IF(T342&lt;0, "negative_discount", IF(AND(T342&gt;0.5, T342&lt;=1), "high_discount", ""))</f>
        <v/>
      </c>
      <c r="V342" s="11">
        <v>18261.36</v>
      </c>
      <c r="W342" s="12">
        <v>18261.36</v>
      </c>
      <c r="X342" s="11">
        <v>11399.94</v>
      </c>
      <c r="Y342" s="11">
        <v>6861.42</v>
      </c>
      <c r="Z342" s="11">
        <f>ROUND(W342-X342,2)</f>
        <v>6861.42</v>
      </c>
      <c r="AA342" s="4">
        <f>IF(W342=0,0,Z342/W342)</f>
        <v>0.3757343374206521</v>
      </c>
      <c r="AB342" t="s">
        <v>31</v>
      </c>
      <c r="AC342" t="s">
        <v>32</v>
      </c>
      <c r="AD342" t="str">
        <f>IF(AND(E342="", T342&gt;=0, T342&lt;=0.5, K342&lt;&gt;"Unknown", Q342&lt;&gt;"Unknown"), "CLEAN", _xlfn.CONCAT("WARNING: ", IF(E342&lt;&gt;"","invalid_date",""), IF(T342&lt;0,"negative_discount",""), IF(AND(T342&gt;0.5,T342&lt;=1),"high_discount",""), IF(K342="Unknown","missing_region",""), IF(Q342="Unknown","missing_ship_mode","")))</f>
        <v>CLEAN</v>
      </c>
      <c r="AE342" t="str">
        <f>IF(COUNTIF($AF$2:$AF$926,AF342)&gt;1,"DUPLICATE","UNIQUE")</f>
        <v>UNIQUE</v>
      </c>
      <c r="AF342" t="str">
        <f>A342&amp;"|"&amp;B342&amp;"|"&amp;H342&amp;"|"&amp;I342&amp;"|"&amp;R342&amp;"|"&amp;S342&amp;"|"&amp;V342</f>
        <v>ORD-2024-10341|2024-01-21|CUST-6291|Neha Gupta|5|4058.08|18261.36</v>
      </c>
      <c r="AG342" t="str">
        <f>IF(COUNTIF($A$2:$A$913,A342)&gt;1,"TRUE","FALSE")</f>
        <v>FALSE</v>
      </c>
    </row>
    <row r="343" spans="1:33">
      <c r="A343" t="s">
        <v>3124</v>
      </c>
      <c r="B343" t="s">
        <v>2780</v>
      </c>
      <c r="C343" t="s">
        <v>1112</v>
      </c>
      <c r="D343">
        <f>IF(OR(B343="", C343=""), "", (C343 - B343))</f>
        <v>1</v>
      </c>
      <c r="E343" t="str">
        <f>IF(C343&lt;B343, "INVALID: Ship date before order date", "")</f>
        <v/>
      </c>
      <c r="F343" t="str">
        <f>IF(B343="", "", TEXT(B343, "mmmm"))</f>
        <v>September</v>
      </c>
      <c r="G343">
        <f>IF(B343="", "", YEAR(B343))</f>
        <v>2025</v>
      </c>
      <c r="H343" t="s">
        <v>1113</v>
      </c>
      <c r="I343" t="s">
        <v>139</v>
      </c>
      <c r="J343" t="s">
        <v>93</v>
      </c>
      <c r="K343" t="s">
        <v>62</v>
      </c>
      <c r="L343" t="s">
        <v>176</v>
      </c>
      <c r="M343" t="s">
        <v>177</v>
      </c>
      <c r="N343" t="s">
        <v>40</v>
      </c>
      <c r="O343" t="s">
        <v>65</v>
      </c>
      <c r="P343" t="s">
        <v>1114</v>
      </c>
      <c r="Q343" t="s">
        <v>30</v>
      </c>
      <c r="R343">
        <v>2</v>
      </c>
      <c r="S343" s="15">
        <v>3960.33</v>
      </c>
      <c r="T343" s="4">
        <v>0.05</v>
      </c>
      <c r="U343" s="3" t="str">
        <f>IF(T343&lt;0, "negative_discount", IF(AND(T343&gt;0.5, T343&lt;=1), "high_discount", ""))</f>
        <v/>
      </c>
      <c r="V343" s="11">
        <v>7524.63</v>
      </c>
      <c r="W343" s="12">
        <v>7524.63</v>
      </c>
      <c r="X343" s="11">
        <v>6229.6</v>
      </c>
      <c r="Y343" s="11">
        <v>1295.03</v>
      </c>
      <c r="Z343" s="11">
        <f>ROUND(W343-X343,2)</f>
        <v>1295.03</v>
      </c>
      <c r="AA343" s="4">
        <f>IF(W343=0,0,Z343/W343)</f>
        <v>0.17210547229564777</v>
      </c>
      <c r="AB343" t="s">
        <v>31</v>
      </c>
      <c r="AC343" t="s">
        <v>32</v>
      </c>
      <c r="AD343" t="str">
        <f>IF(AND(E343="", T343&gt;=0, T343&lt;=0.5, K343&lt;&gt;"Unknown", Q343&lt;&gt;"Unknown"), "CLEAN", _xlfn.CONCAT("WARNING: ", IF(E343&lt;&gt;"","invalid_date",""), IF(T343&lt;0,"negative_discount",""), IF(AND(T343&gt;0.5,T343&lt;=1),"high_discount",""), IF(K343="Unknown","missing_region",""), IF(Q343="Unknown","missing_ship_mode","")))</f>
        <v>CLEAN</v>
      </c>
      <c r="AE343" t="str">
        <f>IF(COUNTIF($AF$2:$AF$926,AF343)&gt;1,"DUPLICATE","UNIQUE")</f>
        <v>UNIQUE</v>
      </c>
      <c r="AF343" t="str">
        <f>A343&amp;"|"&amp;B343&amp;"|"&amp;H343&amp;"|"&amp;I343&amp;"|"&amp;R343&amp;"|"&amp;S343&amp;"|"&amp;V343</f>
        <v>ORD-2025-10342|2025-09-08|CUST-9969|Rohan Mehta|2|3960.33|7524.63</v>
      </c>
      <c r="AG343" t="str">
        <f>IF(COUNTIF($A$2:$A$913,A343)&gt;1,"TRUE","FALSE")</f>
        <v>FALSE</v>
      </c>
    </row>
    <row r="344" spans="1:33">
      <c r="A344" t="s">
        <v>3125</v>
      </c>
      <c r="B344" t="s">
        <v>595</v>
      </c>
      <c r="C344" t="s">
        <v>1324</v>
      </c>
      <c r="D344">
        <f>IF(OR(B344="", C344=""), "", (C344 - B344))</f>
        <v>-197</v>
      </c>
      <c r="E344" t="str">
        <f>IF(C344&lt;B344, "INVALID: Ship date before order date", "")</f>
        <v>INVALID: Ship date before order date</v>
      </c>
      <c r="F344" t="str">
        <f>IF(B344="", "", TEXT(B344, "mmmm"))</f>
        <v>July</v>
      </c>
      <c r="G344">
        <f>IF(B344="", "", YEAR(B344))</f>
        <v>2025</v>
      </c>
      <c r="H344" t="s">
        <v>1115</v>
      </c>
      <c r="I344" t="s">
        <v>263</v>
      </c>
      <c r="J344" t="s">
        <v>36</v>
      </c>
      <c r="K344" t="s">
        <v>37</v>
      </c>
      <c r="L344" t="s">
        <v>226</v>
      </c>
      <c r="M344" t="s">
        <v>227</v>
      </c>
      <c r="N344" t="s">
        <v>27</v>
      </c>
      <c r="O344" t="s">
        <v>149</v>
      </c>
      <c r="P344" t="s">
        <v>1116</v>
      </c>
      <c r="Q344" t="s">
        <v>49</v>
      </c>
      <c r="R344">
        <v>8</v>
      </c>
      <c r="S344" s="15">
        <v>1528.92</v>
      </c>
      <c r="T344" s="4">
        <v>0</v>
      </c>
      <c r="U344" s="3" t="str">
        <f>IF(T344&lt;0, "negative_discount", IF(AND(T344&gt;0.5, T344&lt;=1), "high_discount", ""))</f>
        <v/>
      </c>
      <c r="V344" s="11">
        <v>12231.36</v>
      </c>
      <c r="W344" s="12">
        <v>12231.36</v>
      </c>
      <c r="X344" s="11">
        <v>8766.9</v>
      </c>
      <c r="Y344" s="11">
        <v>3464.46</v>
      </c>
      <c r="Z344" s="11">
        <f>ROUND(W344-X344,2)</f>
        <v>3464.46</v>
      </c>
      <c r="AA344" s="4">
        <f>IF(W344=0,0,Z344/W344)</f>
        <v>0.28324405462679536</v>
      </c>
      <c r="AB344" t="s">
        <v>31</v>
      </c>
      <c r="AC344" t="s">
        <v>32</v>
      </c>
      <c r="AD344" t="str">
        <f>IF(AND(E344="", T344&gt;=0, T344&lt;=0.5, K344&lt;&gt;"Unknown", Q344&lt;&gt;"Unknown"), "CLEAN", _xlfn.CONCAT("WARNING: ", IF(E344&lt;&gt;"","invalid_date",""), IF(T344&lt;0,"negative_discount",""), IF(AND(T344&gt;0.5,T344&lt;=1),"high_discount",""), IF(K344="Unknown","missing_region",""), IF(Q344="Unknown","missing_ship_mode","")))</f>
        <v>WARNING: invalid_date</v>
      </c>
      <c r="AE344" t="str">
        <f>IF(COUNTIF($AF$2:$AF$926,AF344)&gt;1,"DUPLICATE","UNIQUE")</f>
        <v>UNIQUE</v>
      </c>
      <c r="AF344" t="str">
        <f>A344&amp;"|"&amp;B344&amp;"|"&amp;H344&amp;"|"&amp;I344&amp;"|"&amp;R344&amp;"|"&amp;S344&amp;"|"&amp;V344</f>
        <v>ORD-2025-10343|2025-07-24|CUST-3335|Kabir Singh|8|1528.92|12231.36</v>
      </c>
      <c r="AG344" t="str">
        <f>IF(COUNTIF($A$2:$A$913,A344)&gt;1,"TRUE","FALSE")</f>
        <v>FALSE</v>
      </c>
    </row>
    <row r="345" spans="1:33">
      <c r="A345" t="s">
        <v>3126</v>
      </c>
      <c r="B345" t="s">
        <v>346</v>
      </c>
      <c r="C345" t="s">
        <v>2415</v>
      </c>
      <c r="D345">
        <f>IF(OR(B345="", C345=""), "", (C345 - B345))</f>
        <v>5</v>
      </c>
      <c r="E345" t="str">
        <f>IF(C345&lt;B345, "INVALID: Ship date before order date", "")</f>
        <v/>
      </c>
      <c r="F345" t="str">
        <f>IF(B345="", "", TEXT(B345, "mmmm"))</f>
        <v>October</v>
      </c>
      <c r="G345">
        <f>IF(B345="", "", YEAR(B345))</f>
        <v>2025</v>
      </c>
      <c r="H345" t="s">
        <v>1117</v>
      </c>
      <c r="I345" t="s">
        <v>126</v>
      </c>
      <c r="J345" t="s">
        <v>89</v>
      </c>
      <c r="K345" t="s">
        <v>62</v>
      </c>
      <c r="L345" t="s">
        <v>72</v>
      </c>
      <c r="M345" t="s">
        <v>73</v>
      </c>
      <c r="N345" t="s">
        <v>74</v>
      </c>
      <c r="O345" t="s">
        <v>272</v>
      </c>
      <c r="P345" t="s">
        <v>1118</v>
      </c>
      <c r="Q345" t="s">
        <v>43</v>
      </c>
      <c r="R345">
        <v>9</v>
      </c>
      <c r="S345" s="15">
        <v>3837</v>
      </c>
      <c r="T345" s="4">
        <v>0.1</v>
      </c>
      <c r="U345" s="3" t="str">
        <f>IF(T345&lt;0, "negative_discount", IF(AND(T345&gt;0.5, T345&lt;=1), "high_discount", ""))</f>
        <v/>
      </c>
      <c r="V345" s="11">
        <v>31079.7</v>
      </c>
      <c r="W345" s="12">
        <v>31079.7</v>
      </c>
      <c r="X345" s="11">
        <v>17758.25</v>
      </c>
      <c r="Y345" s="11">
        <v>13321.45</v>
      </c>
      <c r="Z345" s="11">
        <f>ROUND(W345-X345,2)</f>
        <v>13321.45</v>
      </c>
      <c r="AA345" s="4">
        <f>IF(W345=0,0,Z345/W345)</f>
        <v>0.4286222196481948</v>
      </c>
      <c r="AB345" t="s">
        <v>31</v>
      </c>
      <c r="AC345" t="s">
        <v>32</v>
      </c>
      <c r="AD345" t="str">
        <f>IF(AND(E345="", T345&gt;=0, T345&lt;=0.5, K345&lt;&gt;"Unknown", Q345&lt;&gt;"Unknown"), "CLEAN", _xlfn.CONCAT("WARNING: ", IF(E345&lt;&gt;"","invalid_date",""), IF(T345&lt;0,"negative_discount",""), IF(AND(T345&gt;0.5,T345&lt;=1),"high_discount",""), IF(K345="Unknown","missing_region",""), IF(Q345="Unknown","missing_ship_mode","")))</f>
        <v>CLEAN</v>
      </c>
      <c r="AE345" t="str">
        <f>IF(COUNTIF($AF$2:$AF$926,AF345)&gt;1,"DUPLICATE","UNIQUE")</f>
        <v>UNIQUE</v>
      </c>
      <c r="AF345" t="str">
        <f>A345&amp;"|"&amp;B345&amp;"|"&amp;H345&amp;"|"&amp;I345&amp;"|"&amp;R345&amp;"|"&amp;S345&amp;"|"&amp;V345</f>
        <v>ORD-2025-10344|2025-10-03|CUST-7358|Aarav Sharma|9|3837|31079.7</v>
      </c>
      <c r="AG345" t="str">
        <f>IF(COUNTIF($A$2:$A$913,A345)&gt;1,"TRUE","FALSE")</f>
        <v>FALSE</v>
      </c>
    </row>
    <row r="346" spans="1:33">
      <c r="A346" t="s">
        <v>1119</v>
      </c>
      <c r="B346" t="s">
        <v>2699</v>
      </c>
      <c r="C346" t="s">
        <v>2699</v>
      </c>
      <c r="D346">
        <f>IF(OR(B346="", C346=""), "", (C346 - B346))</f>
        <v>0</v>
      </c>
      <c r="E346" t="str">
        <f>IF(C346&lt;B346, "INVALID: Ship date before order date", "")</f>
        <v/>
      </c>
      <c r="F346" t="str">
        <f>IF(B346="", "", TEXT(B346, "mmmm"))</f>
        <v>November</v>
      </c>
      <c r="G346">
        <f>IF(B346="", "", YEAR(B346))</f>
        <v>2024</v>
      </c>
      <c r="H346" t="s">
        <v>1120</v>
      </c>
      <c r="I346" t="s">
        <v>112</v>
      </c>
      <c r="J346" t="s">
        <v>23</v>
      </c>
      <c r="K346" t="s">
        <v>24</v>
      </c>
      <c r="L346" t="s">
        <v>120</v>
      </c>
      <c r="M346" t="s">
        <v>121</v>
      </c>
      <c r="N346" t="s">
        <v>40</v>
      </c>
      <c r="O346" t="s">
        <v>153</v>
      </c>
      <c r="P346" t="s">
        <v>1121</v>
      </c>
      <c r="Q346" t="s">
        <v>43</v>
      </c>
      <c r="R346">
        <v>9</v>
      </c>
      <c r="S346" s="15">
        <v>3456.38</v>
      </c>
      <c r="T346" s="4">
        <v>0</v>
      </c>
      <c r="U346" s="3" t="str">
        <f>IF(T346&lt;0, "negative_discount", IF(AND(T346&gt;0.5, T346&lt;=1), "high_discount", ""))</f>
        <v/>
      </c>
      <c r="V346" s="11">
        <v>31107.42</v>
      </c>
      <c r="W346" s="12">
        <v>31107.42</v>
      </c>
      <c r="X346" s="11">
        <v>20146.66</v>
      </c>
      <c r="Y346" s="11">
        <v>10960.76</v>
      </c>
      <c r="Z346" s="11">
        <f>ROUND(W346-X346,2)</f>
        <v>10960.76</v>
      </c>
      <c r="AA346" s="4">
        <f>IF(W346=0,0,Z346/W346)</f>
        <v>0.3523519468988428</v>
      </c>
      <c r="AB346" t="s">
        <v>109</v>
      </c>
      <c r="AC346" t="s">
        <v>100</v>
      </c>
      <c r="AD346" t="str">
        <f>IF(AND(E346="", T346&gt;=0, T346&lt;=0.5, K346&lt;&gt;"Unknown", Q346&lt;&gt;"Unknown"), "CLEAN", _xlfn.CONCAT("WARNING: ", IF(E346&lt;&gt;"","invalid_date",""), IF(T346&lt;0,"negative_discount",""), IF(AND(T346&gt;0.5,T346&lt;=1),"high_discount",""), IF(K346="Unknown","missing_region",""), IF(Q346="Unknown","missing_ship_mode","")))</f>
        <v>CLEAN</v>
      </c>
      <c r="AE346" t="str">
        <f>IF(COUNTIF($AF$2:$AF$926,AF346)&gt;1,"DUPLICATE","UNIQUE")</f>
        <v>UNIQUE</v>
      </c>
      <c r="AF346" t="str">
        <f>A346&amp;"|"&amp;B346&amp;"|"&amp;H346&amp;"|"&amp;I346&amp;"|"&amp;R346&amp;"|"&amp;S346&amp;"|"&amp;V346</f>
        <v>ORD-2024-10345|2024-11-03|CUST-8025|Priya Menon|9|3456.38|31107.42</v>
      </c>
      <c r="AG346" t="str">
        <f>IF(COUNTIF($A$2:$A$913,A346)&gt;1,"TRUE","FALSE")</f>
        <v>FALSE</v>
      </c>
    </row>
    <row r="347" spans="1:33">
      <c r="A347" t="s">
        <v>1122</v>
      </c>
      <c r="B347" t="s">
        <v>1123</v>
      </c>
      <c r="C347" t="s">
        <v>1124</v>
      </c>
      <c r="D347">
        <f>IF(OR(B347="", C347=""), "", (C347 - B347))</f>
        <v>8</v>
      </c>
      <c r="E347" t="str">
        <f>IF(C347&lt;B347, "INVALID: Ship date before order date", "")</f>
        <v/>
      </c>
      <c r="F347" t="str">
        <f>IF(B347="", "", TEXT(B347, "mmmm"))</f>
        <v>September</v>
      </c>
      <c r="G347">
        <f>IF(B347="", "", YEAR(B347))</f>
        <v>2024</v>
      </c>
      <c r="H347" t="s">
        <v>1125</v>
      </c>
      <c r="I347" t="s">
        <v>22</v>
      </c>
      <c r="J347" t="s">
        <v>23</v>
      </c>
      <c r="K347" t="s">
        <v>62</v>
      </c>
      <c r="L347" t="s">
        <v>72</v>
      </c>
      <c r="M347" t="s">
        <v>73</v>
      </c>
      <c r="N347" t="s">
        <v>40</v>
      </c>
      <c r="O347" t="s">
        <v>56</v>
      </c>
      <c r="P347" t="s">
        <v>1126</v>
      </c>
      <c r="Q347" t="s">
        <v>30</v>
      </c>
      <c r="R347">
        <v>2</v>
      </c>
      <c r="S347" s="15">
        <v>2765.3</v>
      </c>
      <c r="T347" s="4">
        <v>0</v>
      </c>
      <c r="U347" s="3" t="str">
        <f>IF(T347&lt;0, "negative_discount", IF(AND(T347&gt;0.5, T347&lt;=1), "high_discount", ""))</f>
        <v/>
      </c>
      <c r="V347" s="11">
        <v>5530.6</v>
      </c>
      <c r="W347" s="12">
        <v>5530.6</v>
      </c>
      <c r="X347" s="11">
        <v>4453.1099999999997</v>
      </c>
      <c r="Y347" s="11">
        <v>1077.49</v>
      </c>
      <c r="Z347" s="11">
        <f>ROUND(W347-X347,2)</f>
        <v>1077.49</v>
      </c>
      <c r="AA347" s="4">
        <f>IF(W347=0,0,Z347/W347)</f>
        <v>0.1948233464723538</v>
      </c>
      <c r="AB347" t="s">
        <v>31</v>
      </c>
      <c r="AC347" t="s">
        <v>32</v>
      </c>
      <c r="AD347" t="str">
        <f>IF(AND(E347="", T347&gt;=0, T347&lt;=0.5, K347&lt;&gt;"Unknown", Q347&lt;&gt;"Unknown"), "CLEAN", _xlfn.CONCAT("WARNING: ", IF(E347&lt;&gt;"","invalid_date",""), IF(T347&lt;0,"negative_discount",""), IF(AND(T347&gt;0.5,T347&lt;=1),"high_discount",""), IF(K347="Unknown","missing_region",""), IF(Q347="Unknown","missing_ship_mode","")))</f>
        <v>CLEAN</v>
      </c>
      <c r="AE347" t="str">
        <f>IF(COUNTIF($AF$2:$AF$926,AF347)&gt;1,"DUPLICATE","UNIQUE")</f>
        <v>UNIQUE</v>
      </c>
      <c r="AF347" t="str">
        <f>A347&amp;"|"&amp;B347&amp;"|"&amp;H347&amp;"|"&amp;I347&amp;"|"&amp;R347&amp;"|"&amp;S347&amp;"|"&amp;V347</f>
        <v>ORD-2024-10346|2024-09-14|CUST-4634|Karan Malhotra|2|2765.3|5530.6</v>
      </c>
      <c r="AG347" t="str">
        <f>IF(COUNTIF($A$2:$A$913,A347)&gt;1,"TRUE","FALSE")</f>
        <v>FALSE</v>
      </c>
    </row>
    <row r="348" spans="1:33">
      <c r="A348" t="s">
        <v>3127</v>
      </c>
      <c r="B348" t="s">
        <v>1068</v>
      </c>
      <c r="C348" t="s">
        <v>2933</v>
      </c>
      <c r="D348">
        <f>IF(OR(B348="", C348=""), "", (C348 - B348))</f>
        <v>6</v>
      </c>
      <c r="E348" t="str">
        <f>IF(C348&lt;B348, "INVALID: Ship date before order date", "")</f>
        <v/>
      </c>
      <c r="F348" t="str">
        <f>IF(B348="", "", TEXT(B348, "mmmm"))</f>
        <v>July</v>
      </c>
      <c r="G348">
        <f>IF(B348="", "", YEAR(B348))</f>
        <v>2025</v>
      </c>
      <c r="H348" t="s">
        <v>1127</v>
      </c>
      <c r="I348" t="s">
        <v>116</v>
      </c>
      <c r="J348" t="s">
        <v>89</v>
      </c>
      <c r="K348" t="s">
        <v>53</v>
      </c>
      <c r="L348" t="s">
        <v>180</v>
      </c>
      <c r="M348" t="s">
        <v>181</v>
      </c>
      <c r="N348" t="s">
        <v>40</v>
      </c>
      <c r="O348" t="s">
        <v>65</v>
      </c>
      <c r="P348" t="s">
        <v>1128</v>
      </c>
      <c r="Q348" t="s">
        <v>30</v>
      </c>
      <c r="R348">
        <v>6</v>
      </c>
      <c r="S348" s="15">
        <v>1607.46</v>
      </c>
      <c r="T348" s="4">
        <v>0.2</v>
      </c>
      <c r="U348" s="3" t="str">
        <f>IF(T348&lt;0, "negative_discount", IF(AND(T348&gt;0.5, T348&lt;=1), "high_discount", ""))</f>
        <v/>
      </c>
      <c r="V348" s="11">
        <v>7715.81</v>
      </c>
      <c r="W348" s="12">
        <v>7715.81</v>
      </c>
      <c r="X348" s="11">
        <v>4258.42</v>
      </c>
      <c r="Y348" s="11">
        <v>3457.39</v>
      </c>
      <c r="Z348" s="11">
        <f>ROUND(W348-X348,2)</f>
        <v>3457.39</v>
      </c>
      <c r="AA348" s="4">
        <f>IF(W348=0,0,Z348/W348)</f>
        <v>0.44809164559521292</v>
      </c>
      <c r="AB348" t="s">
        <v>31</v>
      </c>
      <c r="AC348" t="s">
        <v>32</v>
      </c>
      <c r="AD348" t="str">
        <f>IF(AND(E348="", T348&gt;=0, T348&lt;=0.5, K348&lt;&gt;"Unknown", Q348&lt;&gt;"Unknown"), "CLEAN", _xlfn.CONCAT("WARNING: ", IF(E348&lt;&gt;"","invalid_date",""), IF(T348&lt;0,"negative_discount",""), IF(AND(T348&gt;0.5,T348&lt;=1),"high_discount",""), IF(K348="Unknown","missing_region",""), IF(Q348="Unknown","missing_ship_mode","")))</f>
        <v>CLEAN</v>
      </c>
      <c r="AE348" t="str">
        <f>IF(COUNTIF($AF$2:$AF$926,AF348)&gt;1,"DUPLICATE","UNIQUE")</f>
        <v>UNIQUE</v>
      </c>
      <c r="AF348" t="str">
        <f>A348&amp;"|"&amp;B348&amp;"|"&amp;H348&amp;"|"&amp;I348&amp;"|"&amp;R348&amp;"|"&amp;S348&amp;"|"&amp;V348</f>
        <v>ORD-2025-10347|2025-07-22|CUST-3400|Rahul Verma|6|1607.46|7715.81</v>
      </c>
      <c r="AG348" t="str">
        <f>IF(COUNTIF($A$2:$A$913,A348)&gt;1,"TRUE","FALSE")</f>
        <v>FALSE</v>
      </c>
    </row>
    <row r="349" spans="1:33">
      <c r="A349" t="s">
        <v>1129</v>
      </c>
      <c r="B349" t="s">
        <v>2751</v>
      </c>
      <c r="C349" t="s">
        <v>2689</v>
      </c>
      <c r="D349">
        <f>IF(OR(B349="", C349=""), "", (C349 - B349))</f>
        <v>331</v>
      </c>
      <c r="E349" t="str">
        <f>IF(C349&lt;B349, "INVALID: Ship date before order date", "")</f>
        <v/>
      </c>
      <c r="F349" t="str">
        <f>IF(B349="", "", TEXT(B349, "mmmm"))</f>
        <v>January</v>
      </c>
      <c r="G349">
        <f>IF(B349="", "", YEAR(B349))</f>
        <v>2024</v>
      </c>
      <c r="H349" t="s">
        <v>1130</v>
      </c>
      <c r="I349" t="s">
        <v>126</v>
      </c>
      <c r="J349" t="s">
        <v>36</v>
      </c>
      <c r="K349" t="s">
        <v>62</v>
      </c>
      <c r="L349" t="s">
        <v>185</v>
      </c>
      <c r="M349" t="s">
        <v>186</v>
      </c>
      <c r="N349" t="s">
        <v>40</v>
      </c>
      <c r="O349" t="s">
        <v>65</v>
      </c>
      <c r="P349" t="s">
        <v>1131</v>
      </c>
      <c r="Q349" t="s">
        <v>30</v>
      </c>
      <c r="R349">
        <v>5</v>
      </c>
      <c r="S349" s="15">
        <v>2981.49</v>
      </c>
      <c r="T349" s="4">
        <v>0.2</v>
      </c>
      <c r="U349" s="3" t="str">
        <f>IF(T349&lt;0, "negative_discount", IF(AND(T349&gt;0.5, T349&lt;=1), "high_discount", ""))</f>
        <v/>
      </c>
      <c r="V349" s="11">
        <v>11925.96</v>
      </c>
      <c r="W349" s="12">
        <v>11925.96</v>
      </c>
      <c r="X349" s="11">
        <v>10103.51</v>
      </c>
      <c r="Y349" s="11">
        <v>1822.45</v>
      </c>
      <c r="Z349" s="11">
        <f>ROUND(W349-X349,2)</f>
        <v>1822.45</v>
      </c>
      <c r="AA349" s="4">
        <f>IF(W349=0,0,Z349/W349)</f>
        <v>0.15281369382422885</v>
      </c>
      <c r="AB349" t="s">
        <v>99</v>
      </c>
      <c r="AC349" t="s">
        <v>100</v>
      </c>
      <c r="AD349" t="str">
        <f>IF(AND(E349="", T349&gt;=0, T349&lt;=0.5, K349&lt;&gt;"Unknown", Q349&lt;&gt;"Unknown"), "CLEAN", _xlfn.CONCAT("WARNING: ", IF(E349&lt;&gt;"","invalid_date",""), IF(T349&lt;0,"negative_discount",""), IF(AND(T349&gt;0.5,T349&lt;=1),"high_discount",""), IF(K349="Unknown","missing_region",""), IF(Q349="Unknown","missing_ship_mode","")))</f>
        <v>CLEAN</v>
      </c>
      <c r="AE349" t="str">
        <f>IF(COUNTIF($AF$2:$AF$926,AF349)&gt;1,"DUPLICATE","UNIQUE")</f>
        <v>UNIQUE</v>
      </c>
      <c r="AF349" t="str">
        <f>A349&amp;"|"&amp;B349&amp;"|"&amp;H349&amp;"|"&amp;I349&amp;"|"&amp;R349&amp;"|"&amp;S349&amp;"|"&amp;V349</f>
        <v>ORD-2024-10348|2024-01-12|CUST-1172|Aarav Sharma|5|2981.49|11925.96</v>
      </c>
      <c r="AG349" t="str">
        <f>IF(COUNTIF($A$2:$A$913,A349)&gt;1,"TRUE","FALSE")</f>
        <v>FALSE</v>
      </c>
    </row>
    <row r="350" spans="1:33">
      <c r="A350" t="s">
        <v>1132</v>
      </c>
      <c r="B350" t="s">
        <v>2381</v>
      </c>
      <c r="C350" t="s">
        <v>2361</v>
      </c>
      <c r="D350">
        <f>IF(OR(B350="", C350=""), "", (C350 - B350))</f>
        <v>5</v>
      </c>
      <c r="E350" t="str">
        <f>IF(C350&lt;B350, "INVALID: Ship date before order date", "")</f>
        <v/>
      </c>
      <c r="F350" t="str">
        <f>IF(B350="", "", TEXT(B350, "mmmm"))</f>
        <v>June</v>
      </c>
      <c r="G350">
        <f>IF(B350="", "", YEAR(B350))</f>
        <v>2024</v>
      </c>
      <c r="H350" t="s">
        <v>1133</v>
      </c>
      <c r="I350" t="s">
        <v>126</v>
      </c>
      <c r="J350" t="s">
        <v>89</v>
      </c>
      <c r="K350" t="s">
        <v>53</v>
      </c>
      <c r="L350" t="s">
        <v>171</v>
      </c>
      <c r="M350" t="s">
        <v>172</v>
      </c>
      <c r="N350" t="s">
        <v>74</v>
      </c>
      <c r="O350" t="s">
        <v>168</v>
      </c>
      <c r="P350" t="s">
        <v>1134</v>
      </c>
      <c r="Q350" t="s">
        <v>43</v>
      </c>
      <c r="R350">
        <v>9</v>
      </c>
      <c r="S350" s="15">
        <v>2860.26</v>
      </c>
      <c r="T350" s="4">
        <v>0.25</v>
      </c>
      <c r="U350" s="3" t="str">
        <f>IF(T350&lt;0, "negative_discount", IF(AND(T350&gt;0.5, T350&lt;=1), "high_discount", ""))</f>
        <v/>
      </c>
      <c r="V350" s="11">
        <v>19306.759999999998</v>
      </c>
      <c r="W350" s="12">
        <v>19306.759999999998</v>
      </c>
      <c r="X350" s="11">
        <v>14442.38</v>
      </c>
      <c r="Y350" s="11">
        <v>4864.38</v>
      </c>
      <c r="Z350" s="11">
        <f>ROUND(W350-X350,2)</f>
        <v>4864.38</v>
      </c>
      <c r="AA350" s="4">
        <f>IF(W350=0,0,Z350/W350)</f>
        <v>0.25195216597709819</v>
      </c>
      <c r="AB350" t="s">
        <v>31</v>
      </c>
      <c r="AC350" t="s">
        <v>32</v>
      </c>
      <c r="AD350" t="str">
        <f>IF(AND(E350="", T350&gt;=0, T350&lt;=0.5, K350&lt;&gt;"Unknown", Q350&lt;&gt;"Unknown"), "CLEAN", _xlfn.CONCAT("WARNING: ", IF(E350&lt;&gt;"","invalid_date",""), IF(T350&lt;0,"negative_discount",""), IF(AND(T350&gt;0.5,T350&lt;=1),"high_discount",""), IF(K350="Unknown","missing_region",""), IF(Q350="Unknown","missing_ship_mode","")))</f>
        <v>CLEAN</v>
      </c>
      <c r="AE350" t="str">
        <f>IF(COUNTIF($AF$2:$AF$926,AF350)&gt;1,"DUPLICATE","UNIQUE")</f>
        <v>UNIQUE</v>
      </c>
      <c r="AF350" t="str">
        <f>A350&amp;"|"&amp;B350&amp;"|"&amp;H350&amp;"|"&amp;I350&amp;"|"&amp;R350&amp;"|"&amp;S350&amp;"|"&amp;V350</f>
        <v>ORD-2024-10349|2024-06-02|CUST-9517|Aarav Sharma|9|2860.26|19306.76</v>
      </c>
      <c r="AG350" t="str">
        <f>IF(COUNTIF($A$2:$A$913,A350)&gt;1,"TRUE","FALSE")</f>
        <v>FALSE</v>
      </c>
    </row>
    <row r="351" spans="1:33">
      <c r="A351" t="s">
        <v>3128</v>
      </c>
      <c r="B351" t="s">
        <v>345</v>
      </c>
      <c r="C351" t="s">
        <v>1848</v>
      </c>
      <c r="D351">
        <f>IF(OR(B351="", C351=""), "", (C351 - B351))</f>
        <v>2</v>
      </c>
      <c r="E351" t="str">
        <f>IF(C351&lt;B351, "INVALID: Ship date before order date", "")</f>
        <v/>
      </c>
      <c r="F351" t="str">
        <f>IF(B351="", "", TEXT(B351, "mmmm"))</f>
        <v>September</v>
      </c>
      <c r="G351">
        <f>IF(B351="", "", YEAR(B351))</f>
        <v>2025</v>
      </c>
      <c r="H351" t="s">
        <v>1135</v>
      </c>
      <c r="I351" t="s">
        <v>263</v>
      </c>
      <c r="J351" t="s">
        <v>93</v>
      </c>
      <c r="K351" t="s">
        <v>37</v>
      </c>
      <c r="L351" t="s">
        <v>226</v>
      </c>
      <c r="M351" t="s">
        <v>227</v>
      </c>
      <c r="N351" t="s">
        <v>40</v>
      </c>
      <c r="O351" t="s">
        <v>56</v>
      </c>
      <c r="P351" t="s">
        <v>1136</v>
      </c>
      <c r="Q351" t="s">
        <v>30</v>
      </c>
      <c r="R351">
        <v>9</v>
      </c>
      <c r="S351" s="15">
        <v>2867.55</v>
      </c>
      <c r="T351" s="4">
        <v>0.25</v>
      </c>
      <c r="U351" s="3" t="str">
        <f>IF(T351&lt;0, "negative_discount", IF(AND(T351&gt;0.5, T351&lt;=1), "high_discount", ""))</f>
        <v/>
      </c>
      <c r="V351" s="11">
        <v>19355.96</v>
      </c>
      <c r="W351" s="12">
        <v>19355.96</v>
      </c>
      <c r="X351" s="11">
        <v>15012.45</v>
      </c>
      <c r="Y351" s="11">
        <v>4017.4</v>
      </c>
      <c r="Z351" s="11">
        <f>ROUND(W351-X351,2)</f>
        <v>4343.51</v>
      </c>
      <c r="AA351" s="4">
        <f>IF(W351=0,0,Z351/W351)</f>
        <v>0.2244016829958318</v>
      </c>
      <c r="AB351" t="s">
        <v>31</v>
      </c>
      <c r="AC351" t="s">
        <v>32</v>
      </c>
      <c r="AD351" t="str">
        <f>IF(AND(E351="", T351&gt;=0, T351&lt;=0.5, K351&lt;&gt;"Unknown", Q351&lt;&gt;"Unknown"), "CLEAN", _xlfn.CONCAT("WARNING: ", IF(E351&lt;&gt;"","invalid_date",""), IF(T351&lt;0,"negative_discount",""), IF(AND(T351&gt;0.5,T351&lt;=1),"high_discount",""), IF(K351="Unknown","missing_region",""), IF(Q351="Unknown","missing_ship_mode","")))</f>
        <v>CLEAN</v>
      </c>
      <c r="AE351" t="str">
        <f>IF(COUNTIF($AF$2:$AF$926,AF351)&gt;1,"DUPLICATE","UNIQUE")</f>
        <v>UNIQUE</v>
      </c>
      <c r="AF351" t="str">
        <f>A351&amp;"|"&amp;B351&amp;"|"&amp;H351&amp;"|"&amp;I351&amp;"|"&amp;R351&amp;"|"&amp;S351&amp;"|"&amp;V351</f>
        <v>ORD-2025-10350|2025-09-27|CUST-6697|Kabir Singh|9|2867.55|19355.96</v>
      </c>
      <c r="AG351" t="str">
        <f>IF(COUNTIF($A$2:$A$913,A351)&gt;1,"TRUE","FALSE")</f>
        <v>FALSE</v>
      </c>
    </row>
    <row r="352" spans="1:33">
      <c r="A352" t="s">
        <v>1137</v>
      </c>
      <c r="B352" t="s">
        <v>2121</v>
      </c>
      <c r="C352" t="s">
        <v>2030</v>
      </c>
      <c r="D352">
        <f>IF(OR(B352="", C352=""), "", (C352 - B352))</f>
        <v>-169</v>
      </c>
      <c r="E352" t="str">
        <f>IF(C352&lt;B352, "INVALID: Ship date before order date", "")</f>
        <v>INVALID: Ship date before order date</v>
      </c>
      <c r="F352" t="str">
        <f>IF(B352="", "", TEXT(B352, "mmmm"))</f>
        <v>July</v>
      </c>
      <c r="G352">
        <f>IF(B352="", "", YEAR(B352))</f>
        <v>2024</v>
      </c>
      <c r="H352" t="s">
        <v>1138</v>
      </c>
      <c r="I352" t="s">
        <v>131</v>
      </c>
      <c r="J352" t="s">
        <v>36</v>
      </c>
      <c r="K352" t="s">
        <v>37</v>
      </c>
      <c r="L352" t="s">
        <v>226</v>
      </c>
      <c r="M352" t="s">
        <v>227</v>
      </c>
      <c r="N352" t="s">
        <v>40</v>
      </c>
      <c r="O352" t="s">
        <v>56</v>
      </c>
      <c r="P352" t="s">
        <v>1139</v>
      </c>
      <c r="Q352" t="s">
        <v>30</v>
      </c>
      <c r="R352">
        <v>4</v>
      </c>
      <c r="S352" s="15">
        <v>3309.54</v>
      </c>
      <c r="T352" s="4">
        <v>0</v>
      </c>
      <c r="U352" s="3" t="str">
        <f>IF(T352&lt;0, "negative_discount", IF(AND(T352&gt;0.5, T352&lt;=1), "high_discount", ""))</f>
        <v/>
      </c>
      <c r="V352" s="11">
        <v>11914.34</v>
      </c>
      <c r="W352" s="12">
        <v>13238.16</v>
      </c>
      <c r="X352" s="11">
        <v>9771.24</v>
      </c>
      <c r="Y352" s="11">
        <v>2143.1</v>
      </c>
      <c r="Z352" s="11">
        <f>ROUND(W352-X352,2)</f>
        <v>3466.92</v>
      </c>
      <c r="AA352" s="4">
        <f>IF(W352=0,0,Z352/W352)</f>
        <v>0.26188835910730796</v>
      </c>
      <c r="AB352" t="s">
        <v>99</v>
      </c>
      <c r="AC352" t="s">
        <v>100</v>
      </c>
      <c r="AD352" t="str">
        <f>IF(AND(E352="", T352&gt;=0, T352&lt;=0.5, K352&lt;&gt;"Unknown", Q352&lt;&gt;"Unknown"), "CLEAN", _xlfn.CONCAT("WARNING: ", IF(E352&lt;&gt;"","invalid_date",""), IF(T352&lt;0,"negative_discount",""), IF(AND(T352&gt;0.5,T352&lt;=1),"high_discount",""), IF(K352="Unknown","missing_region",""), IF(Q352="Unknown","missing_ship_mode","")))</f>
        <v>WARNING: invalid_date</v>
      </c>
      <c r="AE352" t="str">
        <f>IF(COUNTIF($AF$2:$AF$926,AF352)&gt;1,"DUPLICATE","UNIQUE")</f>
        <v>UNIQUE</v>
      </c>
      <c r="AF352" t="str">
        <f>A352&amp;"|"&amp;B352&amp;"|"&amp;H352&amp;"|"&amp;I352&amp;"|"&amp;R352&amp;"|"&amp;S352&amp;"|"&amp;V352</f>
        <v>ORD-2024-10351|2024-07-01|CUST-7644|Sneha Kapoor|4|3309.54|11914.34</v>
      </c>
      <c r="AG352" t="str">
        <f>IF(COUNTIF($A$2:$A$913,A352)&gt;1,"TRUE","FALSE")</f>
        <v>FALSE</v>
      </c>
    </row>
    <row r="353" spans="1:33">
      <c r="A353" t="s">
        <v>3129</v>
      </c>
      <c r="B353" t="s">
        <v>2781</v>
      </c>
      <c r="C353" t="s">
        <v>2777</v>
      </c>
      <c r="D353">
        <f>IF(OR(B353="", C353=""), "", (C353 - B353))</f>
        <v>4</v>
      </c>
      <c r="E353" t="str">
        <f>IF(C353&lt;B353, "INVALID: Ship date before order date", "")</f>
        <v/>
      </c>
      <c r="F353" t="str">
        <f>IF(B353="", "", TEXT(B353, "mmmm"))</f>
        <v>May</v>
      </c>
      <c r="G353">
        <f>IF(B353="", "", YEAR(B353))</f>
        <v>2025</v>
      </c>
      <c r="H353" t="s">
        <v>1140</v>
      </c>
      <c r="I353" t="s">
        <v>71</v>
      </c>
      <c r="J353" t="s">
        <v>36</v>
      </c>
      <c r="K353" t="s">
        <v>53</v>
      </c>
      <c r="L353" t="s">
        <v>54</v>
      </c>
      <c r="M353" t="s">
        <v>55</v>
      </c>
      <c r="N353" t="s">
        <v>27</v>
      </c>
      <c r="O353" t="s">
        <v>122</v>
      </c>
      <c r="P353" t="s">
        <v>1141</v>
      </c>
      <c r="Q353" t="s">
        <v>49</v>
      </c>
      <c r="R353">
        <v>6</v>
      </c>
      <c r="S353" s="15">
        <v>719.44</v>
      </c>
      <c r="T353" s="4">
        <v>0.25</v>
      </c>
      <c r="U353" s="3" t="str">
        <f>IF(T353&lt;0, "negative_discount", IF(AND(T353&gt;0.5, T353&lt;=1), "high_discount", ""))</f>
        <v/>
      </c>
      <c r="V353" s="11">
        <v>3237.48</v>
      </c>
      <c r="W353" s="12">
        <v>3237.48</v>
      </c>
      <c r="X353" s="11">
        <v>2118.34</v>
      </c>
      <c r="Y353" s="11">
        <v>1119.1400000000001</v>
      </c>
      <c r="Z353" s="11">
        <f>ROUND(W353-X353,2)</f>
        <v>1119.1400000000001</v>
      </c>
      <c r="AA353" s="4">
        <f>IF(W353=0,0,Z353/W353)</f>
        <v>0.34568244437031276</v>
      </c>
      <c r="AB353" t="s">
        <v>109</v>
      </c>
      <c r="AC353" t="s">
        <v>67</v>
      </c>
      <c r="AD353" t="str">
        <f>IF(AND(E353="", T353&gt;=0, T353&lt;=0.5, K353&lt;&gt;"Unknown", Q353&lt;&gt;"Unknown"), "CLEAN", _xlfn.CONCAT("WARNING: ", IF(E353&lt;&gt;"","invalid_date",""), IF(T353&lt;0,"negative_discount",""), IF(AND(T353&gt;0.5,T353&lt;=1),"high_discount",""), IF(K353="Unknown","missing_region",""), IF(Q353="Unknown","missing_ship_mode","")))</f>
        <v>CLEAN</v>
      </c>
      <c r="AE353" t="str">
        <f>IF(COUNTIF($AF$2:$AF$926,AF353)&gt;1,"DUPLICATE","UNIQUE")</f>
        <v>UNIQUE</v>
      </c>
      <c r="AF353" t="str">
        <f>A353&amp;"|"&amp;B353&amp;"|"&amp;H353&amp;"|"&amp;I353&amp;"|"&amp;R353&amp;"|"&amp;S353&amp;"|"&amp;V353</f>
        <v>ORD-2025-10352|2025-05-23|CUST-9963|Vikram Iyer|6|719.44|3237.48</v>
      </c>
      <c r="AG353" t="str">
        <f>IF(COUNTIF($A$2:$A$913,A353)&gt;1,"TRUE","FALSE")</f>
        <v>FALSE</v>
      </c>
    </row>
    <row r="354" spans="1:33">
      <c r="A354" t="s">
        <v>3130</v>
      </c>
      <c r="B354" t="s">
        <v>947</v>
      </c>
      <c r="C354" t="s">
        <v>2253</v>
      </c>
      <c r="D354">
        <f>IF(OR(B354="", C354=""), "", (C354 - B354))</f>
        <v>2</v>
      </c>
      <c r="E354" t="str">
        <f>IF(C354&lt;B354, "INVALID: Ship date before order date", "")</f>
        <v/>
      </c>
      <c r="F354" t="str">
        <f>IF(B354="", "", TEXT(B354, "mmmm"))</f>
        <v>August</v>
      </c>
      <c r="G354">
        <f>IF(B354="", "", YEAR(B354))</f>
        <v>2025</v>
      </c>
      <c r="H354" t="s">
        <v>1142</v>
      </c>
      <c r="I354" t="s">
        <v>158</v>
      </c>
      <c r="J354" t="s">
        <v>36</v>
      </c>
      <c r="K354" t="s">
        <v>37</v>
      </c>
      <c r="L354" t="s">
        <v>163</v>
      </c>
      <c r="M354" t="s">
        <v>164</v>
      </c>
      <c r="N354" t="s">
        <v>74</v>
      </c>
      <c r="O354" t="s">
        <v>79</v>
      </c>
      <c r="P354" t="s">
        <v>1143</v>
      </c>
      <c r="Q354" t="s">
        <v>49</v>
      </c>
      <c r="R354">
        <v>5</v>
      </c>
      <c r="S354" s="15">
        <v>2862.6</v>
      </c>
      <c r="T354" s="4">
        <v>0.25</v>
      </c>
      <c r="U354" s="3" t="str">
        <f>IF(T354&lt;0, "negative_discount", IF(AND(T354&gt;0.5, T354&lt;=1), "high_discount", ""))</f>
        <v/>
      </c>
      <c r="V354" s="11">
        <v>10734.75</v>
      </c>
      <c r="W354" s="12">
        <v>10734.75</v>
      </c>
      <c r="X354" s="11">
        <v>6475.73</v>
      </c>
      <c r="Y354" s="11">
        <v>4259.0200000000004</v>
      </c>
      <c r="Z354" s="11">
        <f>ROUND(W354-X354,2)</f>
        <v>4259.0200000000004</v>
      </c>
      <c r="AA354" s="4">
        <f>IF(W354=0,0,Z354/W354)</f>
        <v>0.39675073942103917</v>
      </c>
      <c r="AB354" t="s">
        <v>31</v>
      </c>
      <c r="AC354" t="s">
        <v>32</v>
      </c>
      <c r="AD354" t="str">
        <f>IF(AND(E354="", T354&gt;=0, T354&lt;=0.5, K354&lt;&gt;"Unknown", Q354&lt;&gt;"Unknown"), "CLEAN", _xlfn.CONCAT("WARNING: ", IF(E354&lt;&gt;"","invalid_date",""), IF(T354&lt;0,"negative_discount",""), IF(AND(T354&gt;0.5,T354&lt;=1),"high_discount",""), IF(K354="Unknown","missing_region",""), IF(Q354="Unknown","missing_ship_mode","")))</f>
        <v>CLEAN</v>
      </c>
      <c r="AE354" t="str">
        <f>IF(COUNTIF($AF$2:$AF$926,AF354)&gt;1,"DUPLICATE","UNIQUE")</f>
        <v>UNIQUE</v>
      </c>
      <c r="AF354" t="str">
        <f>A354&amp;"|"&amp;B354&amp;"|"&amp;H354&amp;"|"&amp;I354&amp;"|"&amp;R354&amp;"|"&amp;S354&amp;"|"&amp;V354</f>
        <v>ORD-2025-10353|2025-08-15|CUST-6382|Diya Patel|5|2862.6|10734.75</v>
      </c>
      <c r="AG354" t="str">
        <f>IF(COUNTIF($A$2:$A$913,A354)&gt;1,"TRUE","FALSE")</f>
        <v>FALSE</v>
      </c>
    </row>
    <row r="355" spans="1:33">
      <c r="A355" t="s">
        <v>3131</v>
      </c>
      <c r="B355" t="s">
        <v>2332</v>
      </c>
      <c r="C355" t="s">
        <v>1205</v>
      </c>
      <c r="D355">
        <f>IF(OR(B355="", C355=""), "", (C355 - B355))</f>
        <v>6</v>
      </c>
      <c r="E355" t="str">
        <f>IF(C355&lt;B355, "INVALID: Ship date before order date", "")</f>
        <v/>
      </c>
      <c r="F355" t="str">
        <f>IF(B355="", "", TEXT(B355, "mmmm"))</f>
        <v>February</v>
      </c>
      <c r="G355">
        <f>IF(B355="", "", YEAR(B355))</f>
        <v>2025</v>
      </c>
      <c r="H355" t="s">
        <v>1144</v>
      </c>
      <c r="I355" t="s">
        <v>61</v>
      </c>
      <c r="J355" t="s">
        <v>23</v>
      </c>
      <c r="K355" t="s">
        <v>24</v>
      </c>
      <c r="L355" t="s">
        <v>25</v>
      </c>
      <c r="M355" t="s">
        <v>26</v>
      </c>
      <c r="N355" t="s">
        <v>27</v>
      </c>
      <c r="O355" t="s">
        <v>47</v>
      </c>
      <c r="P355" t="s">
        <v>1145</v>
      </c>
      <c r="Q355" t="s">
        <v>43</v>
      </c>
      <c r="R355">
        <v>9</v>
      </c>
      <c r="S355" s="15">
        <v>1431.67</v>
      </c>
      <c r="T355" s="4">
        <v>0.2</v>
      </c>
      <c r="U355" s="3" t="str">
        <f>IF(T355&lt;0, "negative_discount", IF(AND(T355&gt;0.5, T355&lt;=1), "high_discount", ""))</f>
        <v/>
      </c>
      <c r="V355" s="11">
        <v>10308.02</v>
      </c>
      <c r="W355" s="12">
        <v>10308.02</v>
      </c>
      <c r="X355" s="11">
        <v>5822.31</v>
      </c>
      <c r="Y355" s="11">
        <v>4485.71</v>
      </c>
      <c r="Z355" s="11">
        <f>ROUND(W355-X355,2)</f>
        <v>4485.71</v>
      </c>
      <c r="AA355" s="4">
        <f>IF(W355=0,0,Z355/W355)</f>
        <v>0.43516698648237001</v>
      </c>
      <c r="AB355" t="s">
        <v>31</v>
      </c>
      <c r="AC355" t="s">
        <v>32</v>
      </c>
      <c r="AD355" t="str">
        <f>IF(AND(E355="", T355&gt;=0, T355&lt;=0.5, K355&lt;&gt;"Unknown", Q355&lt;&gt;"Unknown"), "CLEAN", _xlfn.CONCAT("WARNING: ", IF(E355&lt;&gt;"","invalid_date",""), IF(T355&lt;0,"negative_discount",""), IF(AND(T355&gt;0.5,T355&lt;=1),"high_discount",""), IF(K355="Unknown","missing_region",""), IF(Q355="Unknown","missing_ship_mode","")))</f>
        <v>CLEAN</v>
      </c>
      <c r="AE355" t="str">
        <f>IF(COUNTIF($AF$2:$AF$926,AF355)&gt;1,"DUPLICATE","UNIQUE")</f>
        <v>UNIQUE</v>
      </c>
      <c r="AF355" t="str">
        <f>A355&amp;"|"&amp;B355&amp;"|"&amp;H355&amp;"|"&amp;I355&amp;"|"&amp;R355&amp;"|"&amp;S355&amp;"|"&amp;V355</f>
        <v>ORD-2025-10354|2025-02-21|CUST-3253|Ananya Rao|9|1431.67|10308.02</v>
      </c>
      <c r="AG355" t="str">
        <f>IF(COUNTIF($A$2:$A$913,A355)&gt;1,"TRUE","FALSE")</f>
        <v>FALSE</v>
      </c>
    </row>
    <row r="356" spans="1:33">
      <c r="A356" t="s">
        <v>1146</v>
      </c>
      <c r="B356" t="s">
        <v>457</v>
      </c>
      <c r="C356" t="s">
        <v>1147</v>
      </c>
      <c r="D356">
        <f>IF(OR(B356="", C356=""), "", (C356 - B356))</f>
        <v>4</v>
      </c>
      <c r="E356" t="str">
        <f>IF(C356&lt;B356, "INVALID: Ship date before order date", "")</f>
        <v/>
      </c>
      <c r="F356" t="str">
        <f>IF(B356="", "", TEXT(B356, "mmmm"))</f>
        <v>December</v>
      </c>
      <c r="G356">
        <f>IF(B356="", "", YEAR(B356))</f>
        <v>2024</v>
      </c>
      <c r="H356" t="s">
        <v>1148</v>
      </c>
      <c r="I356" t="s">
        <v>263</v>
      </c>
      <c r="J356" t="s">
        <v>89</v>
      </c>
      <c r="K356" t="s">
        <v>24</v>
      </c>
      <c r="L356" t="s">
        <v>120</v>
      </c>
      <c r="M356" t="s">
        <v>121</v>
      </c>
      <c r="N356" t="s">
        <v>40</v>
      </c>
      <c r="O356" t="s">
        <v>56</v>
      </c>
      <c r="P356" t="s">
        <v>1149</v>
      </c>
      <c r="Q356" t="s">
        <v>58</v>
      </c>
      <c r="R356">
        <v>6</v>
      </c>
      <c r="S356" s="15">
        <v>3346.78</v>
      </c>
      <c r="T356" s="4">
        <v>-0.06</v>
      </c>
      <c r="U356" s="3" t="str">
        <f>IF(T356&lt;0, "negative_discount", IF(AND(T356&gt;0.5, T356&lt;=1), "high_discount", ""))</f>
        <v>negative_discount</v>
      </c>
      <c r="V356" s="11">
        <v>20080.68</v>
      </c>
      <c r="W356" s="12">
        <v>21285.52</v>
      </c>
      <c r="X356" s="11">
        <v>12908.84</v>
      </c>
      <c r="Y356" s="11">
        <v>7171.84</v>
      </c>
      <c r="Z356" s="11">
        <f>ROUND(W356-X356,2)</f>
        <v>8376.68</v>
      </c>
      <c r="AA356" s="4">
        <f>IF(W356=0,0,Z356/W356)</f>
        <v>0.39353889404628123</v>
      </c>
      <c r="AB356" t="s">
        <v>109</v>
      </c>
      <c r="AC356" t="s">
        <v>67</v>
      </c>
      <c r="AD356" t="str">
        <f>IF(AND(E356="", T356&gt;=0, T356&lt;=0.5, K356&lt;&gt;"Unknown", Q356&lt;&gt;"Unknown"), "CLEAN", _xlfn.CONCAT("WARNING: ", IF(E356&lt;&gt;"","invalid_date",""), IF(T356&lt;0,"negative_discount",""), IF(AND(T356&gt;0.5,T356&lt;=1),"high_discount",""), IF(K356="Unknown","missing_region",""), IF(Q356="Unknown","missing_ship_mode","")))</f>
        <v>WARNING: negative_discount</v>
      </c>
      <c r="AE356" t="str">
        <f>IF(COUNTIF($AF$2:$AF$926,AF356)&gt;1,"DUPLICATE","UNIQUE")</f>
        <v>UNIQUE</v>
      </c>
      <c r="AF356" t="str">
        <f>A356&amp;"|"&amp;B356&amp;"|"&amp;H356&amp;"|"&amp;I356&amp;"|"&amp;R356&amp;"|"&amp;S356&amp;"|"&amp;V356</f>
        <v>ORD-2024-10355|2024-12-27|CUST-1058|Kabir Singh|6|3346.78|20080.68</v>
      </c>
      <c r="AG356" t="str">
        <f>IF(COUNTIF($A$2:$A$913,A356)&gt;1,"TRUE","FALSE")</f>
        <v>FALSE</v>
      </c>
    </row>
    <row r="357" spans="1:33">
      <c r="A357" t="s">
        <v>1150</v>
      </c>
      <c r="B357" t="s">
        <v>2782</v>
      </c>
      <c r="C357" t="s">
        <v>1151</v>
      </c>
      <c r="D357">
        <f>IF(OR(B357="", C357=""), "", (C357 - B357))</f>
        <v>-210</v>
      </c>
      <c r="E357" t="str">
        <f>IF(C357&lt;B357, "INVALID: Ship date before order date", "")</f>
        <v>INVALID: Ship date before order date</v>
      </c>
      <c r="F357" t="str">
        <f>IF(B357="", "", TEXT(B357, "mmmm"))</f>
        <v>December</v>
      </c>
      <c r="G357">
        <f>IF(B357="", "", YEAR(B357))</f>
        <v>2024</v>
      </c>
      <c r="H357" t="s">
        <v>1152</v>
      </c>
      <c r="I357" t="s">
        <v>112</v>
      </c>
      <c r="J357" t="s">
        <v>89</v>
      </c>
      <c r="K357" t="s">
        <v>62</v>
      </c>
      <c r="L357" t="s">
        <v>25</v>
      </c>
      <c r="M357" t="s">
        <v>107</v>
      </c>
      <c r="N357" t="s">
        <v>40</v>
      </c>
      <c r="O357" t="s">
        <v>41</v>
      </c>
      <c r="P357" t="s">
        <v>1153</v>
      </c>
      <c r="Q357" t="s">
        <v>58</v>
      </c>
      <c r="R357">
        <v>5</v>
      </c>
      <c r="S357" s="15">
        <v>3203.48</v>
      </c>
      <c r="T357" s="4">
        <v>0</v>
      </c>
      <c r="U357" s="3" t="str">
        <f>IF(T357&lt;0, "negative_discount", IF(AND(T357&gt;0.5, T357&lt;=1), "high_discount", ""))</f>
        <v/>
      </c>
      <c r="V357" s="11">
        <v>16017.4</v>
      </c>
      <c r="W357" s="12">
        <v>16017.4</v>
      </c>
      <c r="X357" s="11">
        <v>9557.7999999999993</v>
      </c>
      <c r="Y357" s="11">
        <v>6459.6</v>
      </c>
      <c r="Z357" s="11">
        <f>ROUND(W357-X357,2)</f>
        <v>6459.6</v>
      </c>
      <c r="AA357" s="4">
        <f>IF(W357=0,0,Z357/W357)</f>
        <v>0.40328642601171227</v>
      </c>
      <c r="AB357" t="s">
        <v>109</v>
      </c>
      <c r="AC357" t="s">
        <v>67</v>
      </c>
      <c r="AD357" t="str">
        <f>IF(AND(E357="", T357&gt;=0, T357&lt;=0.5, K357&lt;&gt;"Unknown", Q357&lt;&gt;"Unknown"), "CLEAN", _xlfn.CONCAT("WARNING: ", IF(E357&lt;&gt;"","invalid_date",""), IF(T357&lt;0,"negative_discount",""), IF(AND(T357&gt;0.5,T357&lt;=1),"high_discount",""), IF(K357="Unknown","missing_region",""), IF(Q357="Unknown","missing_ship_mode","")))</f>
        <v>WARNING: invalid_date</v>
      </c>
      <c r="AE357" t="str">
        <f>IF(COUNTIF($AF$2:$AF$926,AF357)&gt;1,"DUPLICATE","UNIQUE")</f>
        <v>UNIQUE</v>
      </c>
      <c r="AF357" t="str">
        <f>A357&amp;"|"&amp;B357&amp;"|"&amp;H357&amp;"|"&amp;I357&amp;"|"&amp;R357&amp;"|"&amp;S357&amp;"|"&amp;V357</f>
        <v>ORD-2024-10356|2024-12-05|CUST-6414|Priya Menon|5|3203.48|16017.4</v>
      </c>
      <c r="AG357" t="str">
        <f>IF(COUNTIF($A$2:$A$913,A357)&gt;1,"TRUE","FALSE")</f>
        <v>FALSE</v>
      </c>
    </row>
    <row r="358" spans="1:33">
      <c r="A358" t="s">
        <v>3132</v>
      </c>
      <c r="B358" t="s">
        <v>1091</v>
      </c>
      <c r="C358" t="s">
        <v>2738</v>
      </c>
      <c r="D358">
        <f>IF(OR(B358="", C358=""), "", (C358 - B358))</f>
        <v>2</v>
      </c>
      <c r="E358" t="str">
        <f>IF(C358&lt;B358, "INVALID: Ship date before order date", "")</f>
        <v/>
      </c>
      <c r="F358" t="str">
        <f>IF(B358="", "", TEXT(B358, "mmmm"))</f>
        <v>June</v>
      </c>
      <c r="G358">
        <f>IF(B358="", "", YEAR(B358))</f>
        <v>2025</v>
      </c>
      <c r="H358" t="s">
        <v>1154</v>
      </c>
      <c r="I358" t="s">
        <v>139</v>
      </c>
      <c r="J358" t="s">
        <v>93</v>
      </c>
      <c r="K358" t="s">
        <v>53</v>
      </c>
      <c r="L358" t="s">
        <v>54</v>
      </c>
      <c r="M358" t="s">
        <v>55</v>
      </c>
      <c r="N358" t="s">
        <v>40</v>
      </c>
      <c r="O358" t="s">
        <v>65</v>
      </c>
      <c r="P358" t="s">
        <v>1155</v>
      </c>
      <c r="Q358" t="s">
        <v>49</v>
      </c>
      <c r="R358">
        <v>5</v>
      </c>
      <c r="S358" s="15">
        <v>621.70000000000005</v>
      </c>
      <c r="T358" s="4">
        <v>0.2</v>
      </c>
      <c r="U358" s="3" t="str">
        <f>IF(T358&lt;0, "negative_discount", IF(AND(T358&gt;0.5, T358&lt;=1), "high_discount", ""))</f>
        <v/>
      </c>
      <c r="V358" s="11">
        <v>2486.8000000000002</v>
      </c>
      <c r="W358" s="12">
        <v>2486.8000000000002</v>
      </c>
      <c r="X358" s="11">
        <v>2131.73</v>
      </c>
      <c r="Y358" s="11">
        <v>355.07</v>
      </c>
      <c r="Z358" s="11">
        <f>ROUND(W358-X358,2)</f>
        <v>355.07</v>
      </c>
      <c r="AA358" s="4">
        <f>IF(W358=0,0,Z358/W358)</f>
        <v>0.14278188837059674</v>
      </c>
      <c r="AB358" t="s">
        <v>109</v>
      </c>
      <c r="AC358" t="s">
        <v>100</v>
      </c>
      <c r="AD358" t="str">
        <f>IF(AND(E358="", T358&gt;=0, T358&lt;=0.5, K358&lt;&gt;"Unknown", Q358&lt;&gt;"Unknown"), "CLEAN", _xlfn.CONCAT("WARNING: ", IF(E358&lt;&gt;"","invalid_date",""), IF(T358&lt;0,"negative_discount",""), IF(AND(T358&gt;0.5,T358&lt;=1),"high_discount",""), IF(K358="Unknown","missing_region",""), IF(Q358="Unknown","missing_ship_mode","")))</f>
        <v>CLEAN</v>
      </c>
      <c r="AE358" t="str">
        <f>IF(COUNTIF($AF$2:$AF$926,AF358)&gt;1,"DUPLICATE","UNIQUE")</f>
        <v>UNIQUE</v>
      </c>
      <c r="AF358" t="str">
        <f>A358&amp;"|"&amp;B358&amp;"|"&amp;H358&amp;"|"&amp;I358&amp;"|"&amp;R358&amp;"|"&amp;S358&amp;"|"&amp;V358</f>
        <v>ORD-2025-10357|2025-06-27|CUST-9268|Rohan Mehta|5|621.7|2486.8</v>
      </c>
      <c r="AG358" t="str">
        <f>IF(COUNTIF($A$2:$A$913,A358)&gt;1,"TRUE","FALSE")</f>
        <v>FALSE</v>
      </c>
    </row>
    <row r="359" spans="1:33">
      <c r="A359" t="s">
        <v>3133</v>
      </c>
      <c r="B359" t="s">
        <v>147</v>
      </c>
      <c r="C359" t="s">
        <v>1706</v>
      </c>
      <c r="D359">
        <f>IF(OR(B359="", C359=""), "", (C359 - B359))</f>
        <v>8</v>
      </c>
      <c r="E359" t="str">
        <f>IF(C359&lt;B359, "INVALID: Ship date before order date", "")</f>
        <v/>
      </c>
      <c r="F359" t="str">
        <f>IF(B359="", "", TEXT(B359, "mmmm"))</f>
        <v>January</v>
      </c>
      <c r="G359">
        <f>IF(B359="", "", YEAR(B359))</f>
        <v>2025</v>
      </c>
      <c r="H359" t="s">
        <v>1156</v>
      </c>
      <c r="I359" t="s">
        <v>35</v>
      </c>
      <c r="J359" t="s">
        <v>93</v>
      </c>
      <c r="K359" t="s">
        <v>53</v>
      </c>
      <c r="L359" t="s">
        <v>83</v>
      </c>
      <c r="M359" t="s">
        <v>84</v>
      </c>
      <c r="N359" t="s">
        <v>74</v>
      </c>
      <c r="O359" t="s">
        <v>272</v>
      </c>
      <c r="P359" t="s">
        <v>1157</v>
      </c>
      <c r="Q359" t="s">
        <v>30</v>
      </c>
      <c r="R359">
        <v>8</v>
      </c>
      <c r="S359" s="15">
        <v>546.13</v>
      </c>
      <c r="T359" s="4">
        <v>0</v>
      </c>
      <c r="U359" s="3" t="str">
        <f>IF(T359&lt;0, "negative_discount", IF(AND(T359&gt;0.5, T359&lt;=1), "high_discount", ""))</f>
        <v/>
      </c>
      <c r="V359" s="11">
        <v>4369.04</v>
      </c>
      <c r="W359" s="12">
        <v>4369.04</v>
      </c>
      <c r="X359" s="11">
        <v>3716.88</v>
      </c>
      <c r="Y359" s="11">
        <v>652.16</v>
      </c>
      <c r="Z359" s="11">
        <f>ROUND(W359-X359,2)</f>
        <v>652.16</v>
      </c>
      <c r="AA359" s="4">
        <f>IF(W359=0,0,Z359/W359)</f>
        <v>0.14926848918755606</v>
      </c>
      <c r="AB359" t="s">
        <v>31</v>
      </c>
      <c r="AC359" t="s">
        <v>67</v>
      </c>
      <c r="AD359" t="str">
        <f>IF(AND(E359="", T359&gt;=0, T359&lt;=0.5, K359&lt;&gt;"Unknown", Q359&lt;&gt;"Unknown"), "CLEAN", _xlfn.CONCAT("WARNING: ", IF(E359&lt;&gt;"","invalid_date",""), IF(T359&lt;0,"negative_discount",""), IF(AND(T359&gt;0.5,T359&lt;=1),"high_discount",""), IF(K359="Unknown","missing_region",""), IF(Q359="Unknown","missing_ship_mode","")))</f>
        <v>CLEAN</v>
      </c>
      <c r="AE359" t="str">
        <f>IF(COUNTIF($AF$2:$AF$926,AF359)&gt;1,"DUPLICATE","UNIQUE")</f>
        <v>UNIQUE</v>
      </c>
      <c r="AF359" t="str">
        <f>A359&amp;"|"&amp;B359&amp;"|"&amp;H359&amp;"|"&amp;I359&amp;"|"&amp;R359&amp;"|"&amp;S359&amp;"|"&amp;V359</f>
        <v>ORD-2025-10358|2025-01-21|CUST-1363|Mira Das|8|546.13|4369.04</v>
      </c>
      <c r="AG359" t="str">
        <f>IF(COUNTIF($A$2:$A$913,A359)&gt;1,"TRUE","FALSE")</f>
        <v>FALSE</v>
      </c>
    </row>
    <row r="360" spans="1:33">
      <c r="A360" t="s">
        <v>3134</v>
      </c>
      <c r="B360" t="s">
        <v>870</v>
      </c>
      <c r="C360" t="s">
        <v>1158</v>
      </c>
      <c r="D360">
        <f>IF(OR(B360="", C360=""), "", (C360 - B360))</f>
        <v>-2</v>
      </c>
      <c r="E360" t="str">
        <f>IF(C360&lt;B360, "INVALID: Ship date before order date", "")</f>
        <v>INVALID: Ship date before order date</v>
      </c>
      <c r="F360" t="str">
        <f>IF(B360="", "", TEXT(B360, "mmmm"))</f>
        <v>August</v>
      </c>
      <c r="G360">
        <f>IF(B360="", "", YEAR(B360))</f>
        <v>2025</v>
      </c>
      <c r="H360" t="s">
        <v>1159</v>
      </c>
      <c r="I360" t="s">
        <v>71</v>
      </c>
      <c r="J360" t="s">
        <v>93</v>
      </c>
      <c r="K360" t="s">
        <v>62</v>
      </c>
      <c r="L360" t="s">
        <v>176</v>
      </c>
      <c r="M360" t="s">
        <v>177</v>
      </c>
      <c r="N360" t="s">
        <v>40</v>
      </c>
      <c r="O360" t="s">
        <v>153</v>
      </c>
      <c r="P360" t="s">
        <v>1160</v>
      </c>
      <c r="Q360" t="s">
        <v>30</v>
      </c>
      <c r="R360">
        <v>5</v>
      </c>
      <c r="S360" s="15">
        <v>1253.92</v>
      </c>
      <c r="T360" s="4">
        <v>0</v>
      </c>
      <c r="U360" s="3" t="str">
        <f>IF(T360&lt;0, "negative_discount", IF(AND(T360&gt;0.5, T360&lt;=1), "high_discount", ""))</f>
        <v/>
      </c>
      <c r="V360" s="11">
        <v>5956.12</v>
      </c>
      <c r="W360" s="12">
        <v>6269.6</v>
      </c>
      <c r="X360" s="11">
        <v>4379.18</v>
      </c>
      <c r="Y360" s="11">
        <v>1576.94</v>
      </c>
      <c r="Z360" s="11">
        <f>ROUND(W360-X360,2)</f>
        <v>1890.42</v>
      </c>
      <c r="AA360" s="4">
        <f>IF(W360=0,0,Z360/W360)</f>
        <v>0.30152162817404621</v>
      </c>
      <c r="AB360" t="s">
        <v>109</v>
      </c>
      <c r="AC360" t="s">
        <v>100</v>
      </c>
      <c r="AD360" t="str">
        <f>IF(AND(E360="", T360&gt;=0, T360&lt;=0.5, K360&lt;&gt;"Unknown", Q360&lt;&gt;"Unknown"), "CLEAN", _xlfn.CONCAT("WARNING: ", IF(E360&lt;&gt;"","invalid_date",""), IF(T360&lt;0,"negative_discount",""), IF(AND(T360&gt;0.5,T360&lt;=1),"high_discount",""), IF(K360="Unknown","missing_region",""), IF(Q360="Unknown","missing_ship_mode","")))</f>
        <v>WARNING: invalid_date</v>
      </c>
      <c r="AE360" t="str">
        <f>IF(COUNTIF($AF$2:$AF$926,AF360)&gt;1,"DUPLICATE","UNIQUE")</f>
        <v>UNIQUE</v>
      </c>
      <c r="AF360" t="str">
        <f>A360&amp;"|"&amp;B360&amp;"|"&amp;H360&amp;"|"&amp;I360&amp;"|"&amp;R360&amp;"|"&amp;S360&amp;"|"&amp;V360</f>
        <v>ORD-2025-10359|2025-08-09|CUST-2477|Vikram Iyer|5|1253.92|5956.12</v>
      </c>
      <c r="AG360" t="str">
        <f>IF(COUNTIF($A$2:$A$913,A360)&gt;1,"TRUE","FALSE")</f>
        <v>FALSE</v>
      </c>
    </row>
    <row r="361" spans="1:33">
      <c r="A361" t="s">
        <v>1161</v>
      </c>
      <c r="B361" t="s">
        <v>2773</v>
      </c>
      <c r="C361" t="s">
        <v>2934</v>
      </c>
      <c r="D361">
        <f>IF(OR(B361="", C361=""), "", (C361 - B361))</f>
        <v>1</v>
      </c>
      <c r="E361" t="str">
        <f>IF(C361&lt;B361, "INVALID: Ship date before order date", "")</f>
        <v/>
      </c>
      <c r="F361" t="str">
        <f>IF(B361="", "", TEXT(B361, "mmmm"))</f>
        <v>August</v>
      </c>
      <c r="G361">
        <f>IF(B361="", "", YEAR(B361))</f>
        <v>2024</v>
      </c>
      <c r="H361" t="s">
        <v>1162</v>
      </c>
      <c r="I361" t="s">
        <v>46</v>
      </c>
      <c r="J361" t="s">
        <v>23</v>
      </c>
      <c r="K361" t="s">
        <v>53</v>
      </c>
      <c r="L361" t="s">
        <v>246</v>
      </c>
      <c r="M361" t="s">
        <v>247</v>
      </c>
      <c r="N361" t="s">
        <v>74</v>
      </c>
      <c r="O361" t="s">
        <v>168</v>
      </c>
      <c r="P361" t="s">
        <v>1163</v>
      </c>
      <c r="Q361" t="s">
        <v>43</v>
      </c>
      <c r="R361">
        <v>9</v>
      </c>
      <c r="S361" s="15">
        <v>616.96</v>
      </c>
      <c r="T361" s="4">
        <v>0.1</v>
      </c>
      <c r="U361" s="3" t="str">
        <f>IF(T361&lt;0, "negative_discount", IF(AND(T361&gt;0.5, T361&lt;=1), "high_discount", ""))</f>
        <v/>
      </c>
      <c r="V361" s="11">
        <v>4997.38</v>
      </c>
      <c r="W361" s="12">
        <v>4997.38</v>
      </c>
      <c r="X361" s="11">
        <v>2971.39</v>
      </c>
      <c r="Y361" s="11">
        <v>2025.99</v>
      </c>
      <c r="Z361" s="11">
        <f>ROUND(W361-X361,2)</f>
        <v>2025.99</v>
      </c>
      <c r="AA361" s="4">
        <f>IF(W361=0,0,Z361/W361)</f>
        <v>0.40541043506797564</v>
      </c>
      <c r="AB361" t="s">
        <v>31</v>
      </c>
      <c r="AC361" t="s">
        <v>32</v>
      </c>
      <c r="AD361" t="str">
        <f>IF(AND(E361="", T361&gt;=0, T361&lt;=0.5, K361&lt;&gt;"Unknown", Q361&lt;&gt;"Unknown"), "CLEAN", _xlfn.CONCAT("WARNING: ", IF(E361&lt;&gt;"","invalid_date",""), IF(T361&lt;0,"negative_discount",""), IF(AND(T361&gt;0.5,T361&lt;=1),"high_discount",""), IF(K361="Unknown","missing_region",""), IF(Q361="Unknown","missing_ship_mode","")))</f>
        <v>CLEAN</v>
      </c>
      <c r="AE361" t="str">
        <f>IF(COUNTIF($AF$2:$AF$926,AF361)&gt;1,"DUPLICATE","UNIQUE")</f>
        <v>UNIQUE</v>
      </c>
      <c r="AF361" t="str">
        <f>A361&amp;"|"&amp;B361&amp;"|"&amp;H361&amp;"|"&amp;I361&amp;"|"&amp;R361&amp;"|"&amp;S361&amp;"|"&amp;V361</f>
        <v>ORD-2024-10360|2024-08-21|CUST-9571|Isha Nair|9|616.96|4997.38</v>
      </c>
      <c r="AG361" t="str">
        <f>IF(COUNTIF($A$2:$A$913,A361)&gt;1,"TRUE","FALSE")</f>
        <v>FALSE</v>
      </c>
    </row>
    <row r="362" spans="1:33">
      <c r="A362" t="s">
        <v>1164</v>
      </c>
      <c r="B362" t="s">
        <v>211</v>
      </c>
      <c r="C362" t="s">
        <v>1165</v>
      </c>
      <c r="D362">
        <f>IF(OR(B362="", C362=""), "", (C362 - B362))</f>
        <v>3</v>
      </c>
      <c r="E362" t="str">
        <f>IF(C362&lt;B362, "INVALID: Ship date before order date", "")</f>
        <v/>
      </c>
      <c r="F362" t="str">
        <f>IF(B362="", "", TEXT(B362, "mmmm"))</f>
        <v>June</v>
      </c>
      <c r="G362">
        <f>IF(B362="", "", YEAR(B362))</f>
        <v>2024</v>
      </c>
      <c r="H362" t="s">
        <v>1166</v>
      </c>
      <c r="I362" t="s">
        <v>131</v>
      </c>
      <c r="J362" t="s">
        <v>36</v>
      </c>
      <c r="K362" t="s">
        <v>62</v>
      </c>
      <c r="L362" t="s">
        <v>176</v>
      </c>
      <c r="M362" t="s">
        <v>177</v>
      </c>
      <c r="N362" t="s">
        <v>40</v>
      </c>
      <c r="O362" t="s">
        <v>56</v>
      </c>
      <c r="P362" t="s">
        <v>1167</v>
      </c>
      <c r="Q362" t="s">
        <v>58</v>
      </c>
      <c r="R362">
        <v>7</v>
      </c>
      <c r="S362" s="15">
        <v>3155.25</v>
      </c>
      <c r="T362" s="4">
        <v>0.2</v>
      </c>
      <c r="U362" s="3" t="str">
        <f>IF(T362&lt;0, "negative_discount", IF(AND(T362&gt;0.5, T362&lt;=1), "high_discount", ""))</f>
        <v/>
      </c>
      <c r="V362" s="11">
        <v>17669.400000000001</v>
      </c>
      <c r="W362" s="12">
        <v>17669.400000000001</v>
      </c>
      <c r="X362" s="11">
        <v>13718.77</v>
      </c>
      <c r="Y362" s="11">
        <v>3950.63</v>
      </c>
      <c r="Z362" s="11">
        <f>ROUND(W362-X362,2)</f>
        <v>3950.63</v>
      </c>
      <c r="AA362" s="4">
        <f>IF(W362=0,0,Z362/W362)</f>
        <v>0.22358597349089385</v>
      </c>
      <c r="AB362" t="s">
        <v>99</v>
      </c>
      <c r="AC362" t="s">
        <v>67</v>
      </c>
      <c r="AD362" t="str">
        <f>IF(AND(E362="", T362&gt;=0, T362&lt;=0.5, K362&lt;&gt;"Unknown", Q362&lt;&gt;"Unknown"), "CLEAN", _xlfn.CONCAT("WARNING: ", IF(E362&lt;&gt;"","invalid_date",""), IF(T362&lt;0,"negative_discount",""), IF(AND(T362&gt;0.5,T362&lt;=1),"high_discount",""), IF(K362="Unknown","missing_region",""), IF(Q362="Unknown","missing_ship_mode","")))</f>
        <v>CLEAN</v>
      </c>
      <c r="AE362" t="str">
        <f>IF(COUNTIF($AF$2:$AF$926,AF362)&gt;1,"DUPLICATE","UNIQUE")</f>
        <v>UNIQUE</v>
      </c>
      <c r="AF362" t="str">
        <f>A362&amp;"|"&amp;B362&amp;"|"&amp;H362&amp;"|"&amp;I362&amp;"|"&amp;R362&amp;"|"&amp;S362&amp;"|"&amp;V362</f>
        <v>ORD-2024-10361|2024-06-17|CUST-3690|Sneha Kapoor|7|3155.25|17669.4</v>
      </c>
      <c r="AG362" t="str">
        <f>IF(COUNTIF($A$2:$A$913,A362)&gt;1,"TRUE","FALSE")</f>
        <v>FALSE</v>
      </c>
    </row>
    <row r="363" spans="1:33">
      <c r="A363" t="s">
        <v>3135</v>
      </c>
      <c r="B363" t="s">
        <v>875</v>
      </c>
      <c r="C363" t="s">
        <v>1168</v>
      </c>
      <c r="D363">
        <f>IF(OR(B363="", C363=""), "", (C363 - B363))</f>
        <v>88</v>
      </c>
      <c r="E363" t="str">
        <f>IF(C363&lt;B363, "INVALID: Ship date before order date", "")</f>
        <v/>
      </c>
      <c r="F363" t="str">
        <f>IF(B363="", "", TEXT(B363, "mmmm"))</f>
        <v>January</v>
      </c>
      <c r="G363">
        <f>IF(B363="", "", YEAR(B363))</f>
        <v>2025</v>
      </c>
      <c r="H363" t="s">
        <v>1169</v>
      </c>
      <c r="I363" t="s">
        <v>139</v>
      </c>
      <c r="J363" t="s">
        <v>89</v>
      </c>
      <c r="K363" t="s">
        <v>37</v>
      </c>
      <c r="L363" t="s">
        <v>38</v>
      </c>
      <c r="M363" t="s">
        <v>39</v>
      </c>
      <c r="N363" t="s">
        <v>40</v>
      </c>
      <c r="O363" t="s">
        <v>65</v>
      </c>
      <c r="P363" t="s">
        <v>1170</v>
      </c>
      <c r="Q363" t="s">
        <v>30</v>
      </c>
      <c r="R363">
        <v>9</v>
      </c>
      <c r="S363" s="15">
        <v>4165.58</v>
      </c>
      <c r="T363" s="4">
        <v>0.05</v>
      </c>
      <c r="U363" s="3" t="str">
        <f>IF(T363&lt;0, "negative_discount", IF(AND(T363&gt;0.5, T363&lt;=1), "high_discount", ""))</f>
        <v/>
      </c>
      <c r="V363" s="11">
        <v>35615.71</v>
      </c>
      <c r="W363" s="12">
        <v>35615.71</v>
      </c>
      <c r="X363" s="11">
        <v>20389.71</v>
      </c>
      <c r="Y363" s="11">
        <v>15226</v>
      </c>
      <c r="Z363" s="11">
        <f>ROUND(W363-X363,2)</f>
        <v>15226</v>
      </c>
      <c r="AA363" s="4">
        <f>IF(W363=0,0,Z363/W363)</f>
        <v>0.42750797330728491</v>
      </c>
      <c r="AB363" t="s">
        <v>109</v>
      </c>
      <c r="AC363" t="s">
        <v>100</v>
      </c>
      <c r="AD363" t="str">
        <f>IF(AND(E363="", T363&gt;=0, T363&lt;=0.5, K363&lt;&gt;"Unknown", Q363&lt;&gt;"Unknown"), "CLEAN", _xlfn.CONCAT("WARNING: ", IF(E363&lt;&gt;"","invalid_date",""), IF(T363&lt;0,"negative_discount",""), IF(AND(T363&gt;0.5,T363&lt;=1),"high_discount",""), IF(K363="Unknown","missing_region",""), IF(Q363="Unknown","missing_ship_mode","")))</f>
        <v>CLEAN</v>
      </c>
      <c r="AE363" t="str">
        <f>IF(COUNTIF($AF$2:$AF$926,AF363)&gt;1,"DUPLICATE","UNIQUE")</f>
        <v>UNIQUE</v>
      </c>
      <c r="AF363" t="str">
        <f>A363&amp;"|"&amp;B363&amp;"|"&amp;H363&amp;"|"&amp;I363&amp;"|"&amp;R363&amp;"|"&amp;S363&amp;"|"&amp;V363</f>
        <v>ORD-2025-10362|2025-01-04|CUST-2909|Rohan Mehta|9|4165.58|35615.71</v>
      </c>
      <c r="AG363" t="str">
        <f>IF(COUNTIF($A$2:$A$913,A363)&gt;1,"TRUE","FALSE")</f>
        <v>FALSE</v>
      </c>
    </row>
    <row r="364" spans="1:33">
      <c r="A364" t="s">
        <v>1171</v>
      </c>
      <c r="B364" t="s">
        <v>1256</v>
      </c>
      <c r="C364" t="s">
        <v>2829</v>
      </c>
      <c r="D364">
        <f>IF(OR(B364="", C364=""), "", (C364 - B364))</f>
        <v>2</v>
      </c>
      <c r="E364" t="str">
        <f>IF(C364&lt;B364, "INVALID: Ship date before order date", "")</f>
        <v/>
      </c>
      <c r="F364" t="str">
        <f>IF(B364="", "", TEXT(B364, "mmmm"))</f>
        <v>August</v>
      </c>
      <c r="G364">
        <f>IF(B364="", "", YEAR(B364))</f>
        <v>2024</v>
      </c>
      <c r="H364" t="s">
        <v>1172</v>
      </c>
      <c r="I364" t="s">
        <v>71</v>
      </c>
      <c r="J364" t="s">
        <v>23</v>
      </c>
      <c r="K364" t="s">
        <v>62</v>
      </c>
      <c r="L364" t="s">
        <v>185</v>
      </c>
      <c r="M364" t="s">
        <v>186</v>
      </c>
      <c r="N364" t="s">
        <v>74</v>
      </c>
      <c r="O364" t="s">
        <v>272</v>
      </c>
      <c r="P364" t="s">
        <v>1173</v>
      </c>
      <c r="Q364" t="s">
        <v>43</v>
      </c>
      <c r="R364">
        <v>4</v>
      </c>
      <c r="S364" s="15">
        <v>491.16</v>
      </c>
      <c r="T364" s="4">
        <v>0.05</v>
      </c>
      <c r="U364" s="3" t="str">
        <f>IF(T364&lt;0, "negative_discount", IF(AND(T364&gt;0.5, T364&lt;=1), "high_discount", ""))</f>
        <v/>
      </c>
      <c r="V364" s="11">
        <v>1866.41</v>
      </c>
      <c r="W364" s="12">
        <v>1866.41</v>
      </c>
      <c r="X364" s="11">
        <v>1576.49</v>
      </c>
      <c r="Y364" s="11">
        <v>289.92</v>
      </c>
      <c r="Z364" s="11">
        <f>ROUND(W364-X364,2)</f>
        <v>289.92</v>
      </c>
      <c r="AA364" s="4">
        <f>IF(W364=0,0,Z364/W364)</f>
        <v>0.15533564436538597</v>
      </c>
      <c r="AB364" t="s">
        <v>31</v>
      </c>
      <c r="AC364" t="s">
        <v>32</v>
      </c>
      <c r="AD364" t="str">
        <f>IF(AND(E364="", T364&gt;=0, T364&lt;=0.5, K364&lt;&gt;"Unknown", Q364&lt;&gt;"Unknown"), "CLEAN", _xlfn.CONCAT("WARNING: ", IF(E364&lt;&gt;"","invalid_date",""), IF(T364&lt;0,"negative_discount",""), IF(AND(T364&gt;0.5,T364&lt;=1),"high_discount",""), IF(K364="Unknown","missing_region",""), IF(Q364="Unknown","missing_ship_mode","")))</f>
        <v>CLEAN</v>
      </c>
      <c r="AE364" t="str">
        <f>IF(COUNTIF($AF$2:$AF$926,AF364)&gt;1,"DUPLICATE","UNIQUE")</f>
        <v>UNIQUE</v>
      </c>
      <c r="AF364" t="str">
        <f>A364&amp;"|"&amp;B364&amp;"|"&amp;H364&amp;"|"&amp;I364&amp;"|"&amp;R364&amp;"|"&amp;S364&amp;"|"&amp;V364</f>
        <v>ORD-2024-10363|2024-08-23|CUST-6755|Vikram Iyer|4|491.16|1866.41</v>
      </c>
      <c r="AG364" t="str">
        <f>IF(COUNTIF($A$2:$A$913,A364)&gt;1,"TRUE","FALSE")</f>
        <v>FALSE</v>
      </c>
    </row>
    <row r="365" spans="1:33">
      <c r="A365" t="s">
        <v>3136</v>
      </c>
      <c r="B365" t="s">
        <v>1626</v>
      </c>
      <c r="C365" t="s">
        <v>1012</v>
      </c>
      <c r="D365">
        <f>IF(OR(B365="", C365=""), "", (C365 - B365))</f>
        <v>5</v>
      </c>
      <c r="E365" t="str">
        <f>IF(C365&lt;B365, "INVALID: Ship date before order date", "")</f>
        <v/>
      </c>
      <c r="F365" t="str">
        <f>IF(B365="", "", TEXT(B365, "mmmm"))</f>
        <v>July</v>
      </c>
      <c r="G365">
        <f>IF(B365="", "", YEAR(B365))</f>
        <v>2025</v>
      </c>
      <c r="H365" t="s">
        <v>1174</v>
      </c>
      <c r="I365" t="s">
        <v>158</v>
      </c>
      <c r="J365" t="s">
        <v>89</v>
      </c>
      <c r="K365" t="s">
        <v>37</v>
      </c>
      <c r="L365" t="s">
        <v>96</v>
      </c>
      <c r="M365" t="s">
        <v>97</v>
      </c>
      <c r="N365" t="s">
        <v>40</v>
      </c>
      <c r="O365" t="s">
        <v>41</v>
      </c>
      <c r="P365" t="s">
        <v>1175</v>
      </c>
      <c r="Q365" t="s">
        <v>30</v>
      </c>
      <c r="R365">
        <v>5</v>
      </c>
      <c r="S365" s="15">
        <v>1831.37</v>
      </c>
      <c r="T365" s="4">
        <v>0.25</v>
      </c>
      <c r="U365" s="3" t="str">
        <f>IF(T365&lt;0, "negative_discount", IF(AND(T365&gt;0.5, T365&lt;=1), "high_discount", ""))</f>
        <v/>
      </c>
      <c r="V365" s="11">
        <v>6867.64</v>
      </c>
      <c r="W365" s="12">
        <v>6867.64</v>
      </c>
      <c r="X365" s="11">
        <v>5205.3599999999997</v>
      </c>
      <c r="Y365" s="11">
        <v>1662.28</v>
      </c>
      <c r="Z365" s="11">
        <f>ROUND(W365-X365,2)</f>
        <v>1662.28</v>
      </c>
      <c r="AA365" s="4">
        <f>IF(W365=0,0,Z365/W365)</f>
        <v>0.24204530231637067</v>
      </c>
      <c r="AB365" t="s">
        <v>31</v>
      </c>
      <c r="AC365" t="s">
        <v>32</v>
      </c>
      <c r="AD365" t="str">
        <f>IF(AND(E365="", T365&gt;=0, T365&lt;=0.5, K365&lt;&gt;"Unknown", Q365&lt;&gt;"Unknown"), "CLEAN", _xlfn.CONCAT("WARNING: ", IF(E365&lt;&gt;"","invalid_date",""), IF(T365&lt;0,"negative_discount",""), IF(AND(T365&gt;0.5,T365&lt;=1),"high_discount",""), IF(K365="Unknown","missing_region",""), IF(Q365="Unknown","missing_ship_mode","")))</f>
        <v>CLEAN</v>
      </c>
      <c r="AE365" t="str">
        <f>IF(COUNTIF($AF$2:$AF$926,AF365)&gt;1,"DUPLICATE","UNIQUE")</f>
        <v>UNIQUE</v>
      </c>
      <c r="AF365" t="str">
        <f>A365&amp;"|"&amp;B365&amp;"|"&amp;H365&amp;"|"&amp;I365&amp;"|"&amp;R365&amp;"|"&amp;S365&amp;"|"&amp;V365</f>
        <v>ORD-2025-10364|2025-07-07|CUST-1832|Diya Patel|5|1831.37|6867.64</v>
      </c>
      <c r="AG365" t="str">
        <f>IF(COUNTIF($A$2:$A$913,A365)&gt;1,"TRUE","FALSE")</f>
        <v>FALSE</v>
      </c>
    </row>
    <row r="366" spans="1:33">
      <c r="A366" t="s">
        <v>3137</v>
      </c>
      <c r="B366" t="s">
        <v>2005</v>
      </c>
      <c r="C366" t="s">
        <v>1176</v>
      </c>
      <c r="D366">
        <f>IF(OR(B366="", C366=""), "", (C366 - B366))</f>
        <v>3</v>
      </c>
      <c r="E366" t="str">
        <f>IF(C366&lt;B366, "INVALID: Ship date before order date", "")</f>
        <v/>
      </c>
      <c r="F366" t="str">
        <f>IF(B366="", "", TEXT(B366, "mmmm"))</f>
        <v>March</v>
      </c>
      <c r="G366">
        <f>IF(B366="", "", YEAR(B366))</f>
        <v>2025</v>
      </c>
      <c r="H366" t="s">
        <v>1177</v>
      </c>
      <c r="I366" t="s">
        <v>126</v>
      </c>
      <c r="J366" t="s">
        <v>36</v>
      </c>
      <c r="K366" t="s">
        <v>53</v>
      </c>
      <c r="L366" t="s">
        <v>83</v>
      </c>
      <c r="M366" t="s">
        <v>84</v>
      </c>
      <c r="N366" t="s">
        <v>40</v>
      </c>
      <c r="O366" t="s">
        <v>65</v>
      </c>
      <c r="P366" t="s">
        <v>1178</v>
      </c>
      <c r="Q366" t="s">
        <v>30</v>
      </c>
      <c r="R366">
        <v>5</v>
      </c>
      <c r="S366" s="15">
        <v>1239.1500000000001</v>
      </c>
      <c r="T366" s="4">
        <v>0</v>
      </c>
      <c r="U366" s="3" t="str">
        <f>IF(T366&lt;0, "negative_discount", IF(AND(T366&gt;0.5, T366&lt;=1), "high_discount", ""))</f>
        <v/>
      </c>
      <c r="V366" s="11">
        <v>6195.75</v>
      </c>
      <c r="W366" s="12">
        <v>6195.75</v>
      </c>
      <c r="X366" s="11">
        <v>3967.02</v>
      </c>
      <c r="Y366" s="11">
        <v>2228.73</v>
      </c>
      <c r="Z366" s="11">
        <f>ROUND(W366-X366,2)</f>
        <v>2228.73</v>
      </c>
      <c r="AA366" s="4">
        <f>IF(W366=0,0,Z366/W366)</f>
        <v>0.35971916232901585</v>
      </c>
      <c r="AB366" t="s">
        <v>31</v>
      </c>
      <c r="AC366" t="s">
        <v>32</v>
      </c>
      <c r="AD366" t="str">
        <f>IF(AND(E366="", T366&gt;=0, T366&lt;=0.5, K366&lt;&gt;"Unknown", Q366&lt;&gt;"Unknown"), "CLEAN", _xlfn.CONCAT("WARNING: ", IF(E366&lt;&gt;"","invalid_date",""), IF(T366&lt;0,"negative_discount",""), IF(AND(T366&gt;0.5,T366&lt;=1),"high_discount",""), IF(K366="Unknown","missing_region",""), IF(Q366="Unknown","missing_ship_mode","")))</f>
        <v>CLEAN</v>
      </c>
      <c r="AE366" t="str">
        <f>IF(COUNTIF($AF$2:$AF$926,AF366)&gt;1,"DUPLICATE","UNIQUE")</f>
        <v>UNIQUE</v>
      </c>
      <c r="AF366" t="str">
        <f>A366&amp;"|"&amp;B366&amp;"|"&amp;H366&amp;"|"&amp;I366&amp;"|"&amp;R366&amp;"|"&amp;S366&amp;"|"&amp;V366</f>
        <v>ORD-2025-10365|2025-03-21|CUST-4452|Aarav Sharma|5|1239.15|6195.75</v>
      </c>
      <c r="AG366" t="str">
        <f>IF(COUNTIF($A$2:$A$913,A366)&gt;1,"TRUE","FALSE")</f>
        <v>FALSE</v>
      </c>
    </row>
    <row r="367" spans="1:33">
      <c r="A367" t="s">
        <v>1179</v>
      </c>
      <c r="B367" t="s">
        <v>548</v>
      </c>
      <c r="C367" t="s">
        <v>2756</v>
      </c>
      <c r="D367">
        <f>IF(OR(B367="", C367=""), "", (C367 - B367))</f>
        <v>6</v>
      </c>
      <c r="E367" t="str">
        <f>IF(C367&lt;B367, "INVALID: Ship date before order date", "")</f>
        <v/>
      </c>
      <c r="F367" t="str">
        <f>IF(B367="", "", TEXT(B367, "mmmm"))</f>
        <v>June</v>
      </c>
      <c r="G367">
        <f>IF(B367="", "", YEAR(B367))</f>
        <v>2024</v>
      </c>
      <c r="H367" t="s">
        <v>1180</v>
      </c>
      <c r="I367" t="s">
        <v>88</v>
      </c>
      <c r="J367" t="s">
        <v>89</v>
      </c>
      <c r="K367" t="s">
        <v>62</v>
      </c>
      <c r="L367" t="s">
        <v>185</v>
      </c>
      <c r="M367" t="s">
        <v>186</v>
      </c>
      <c r="N367" t="s">
        <v>74</v>
      </c>
      <c r="O367" t="s">
        <v>75</v>
      </c>
      <c r="P367" t="s">
        <v>1181</v>
      </c>
      <c r="Q367" t="s">
        <v>49</v>
      </c>
      <c r="R367">
        <v>8</v>
      </c>
      <c r="S367" s="15">
        <v>1706.4</v>
      </c>
      <c r="T367" s="4">
        <v>0</v>
      </c>
      <c r="U367" s="3" t="str">
        <f>IF(T367&lt;0, "negative_discount", IF(AND(T367&gt;0.5, T367&lt;=1), "high_discount", ""))</f>
        <v/>
      </c>
      <c r="V367" s="11">
        <v>12968.64</v>
      </c>
      <c r="W367" s="12">
        <v>13651.2</v>
      </c>
      <c r="X367" s="11">
        <v>10119.61</v>
      </c>
      <c r="Y367" s="11">
        <v>2849.03</v>
      </c>
      <c r="Z367" s="11">
        <f>ROUND(W367-X367,2)</f>
        <v>3531.59</v>
      </c>
      <c r="AA367" s="4">
        <f>IF(W367=0,0,Z367/W367)</f>
        <v>0.2587017991092358</v>
      </c>
      <c r="AB367" t="s">
        <v>31</v>
      </c>
      <c r="AC367" t="s">
        <v>32</v>
      </c>
      <c r="AD367" t="str">
        <f>IF(AND(E367="", T367&gt;=0, T367&lt;=0.5, K367&lt;&gt;"Unknown", Q367&lt;&gt;"Unknown"), "CLEAN", _xlfn.CONCAT("WARNING: ", IF(E367&lt;&gt;"","invalid_date",""), IF(T367&lt;0,"negative_discount",""), IF(AND(T367&gt;0.5,T367&lt;=1),"high_discount",""), IF(K367="Unknown","missing_region",""), IF(Q367="Unknown","missing_ship_mode","")))</f>
        <v>CLEAN</v>
      </c>
      <c r="AE367" t="str">
        <f>IF(COUNTIF($AF$2:$AF$926,AF367)&gt;1,"DUPLICATE","UNIQUE")</f>
        <v>UNIQUE</v>
      </c>
      <c r="AF367" t="str">
        <f>A367&amp;"|"&amp;B367&amp;"|"&amp;H367&amp;"|"&amp;I367&amp;"|"&amp;R367&amp;"|"&amp;S367&amp;"|"&amp;V367</f>
        <v>ORD-2024-10366|2024-06-15|CUST-2203|Aditi Sen|8|1706.4|12968.64</v>
      </c>
      <c r="AG367" t="str">
        <f>IF(COUNTIF($A$2:$A$913,A367)&gt;1,"TRUE","FALSE")</f>
        <v>FALSE</v>
      </c>
    </row>
    <row r="368" spans="1:33">
      <c r="A368" t="s">
        <v>3138</v>
      </c>
      <c r="B368" t="s">
        <v>1182</v>
      </c>
      <c r="C368" t="s">
        <v>1183</v>
      </c>
      <c r="D368">
        <f>IF(OR(B368="", C368=""), "", (C368 - B368))</f>
        <v>6</v>
      </c>
      <c r="E368" t="str">
        <f>IF(C368&lt;B368, "INVALID: Ship date before order date", "")</f>
        <v/>
      </c>
      <c r="F368" t="str">
        <f>IF(B368="", "", TEXT(B368, "mmmm"))</f>
        <v>January</v>
      </c>
      <c r="G368">
        <f>IF(B368="", "", YEAR(B368))</f>
        <v>2025</v>
      </c>
      <c r="H368" t="s">
        <v>1184</v>
      </c>
      <c r="I368" t="s">
        <v>131</v>
      </c>
      <c r="J368" t="s">
        <v>89</v>
      </c>
      <c r="K368" t="s">
        <v>24</v>
      </c>
      <c r="L368" t="s">
        <v>25</v>
      </c>
      <c r="M368" t="s">
        <v>26</v>
      </c>
      <c r="N368" t="s">
        <v>40</v>
      </c>
      <c r="O368" t="s">
        <v>41</v>
      </c>
      <c r="P368" t="s">
        <v>1185</v>
      </c>
      <c r="Q368" t="s">
        <v>43</v>
      </c>
      <c r="R368">
        <v>2</v>
      </c>
      <c r="S368" s="15">
        <v>4418.28</v>
      </c>
      <c r="T368" s="4">
        <v>0</v>
      </c>
      <c r="U368" s="3" t="str">
        <f>IF(T368&lt;0, "negative_discount", IF(AND(T368&gt;0.5, T368&lt;=1), "high_discount", ""))</f>
        <v/>
      </c>
      <c r="V368" s="11">
        <v>8836.56</v>
      </c>
      <c r="W368" s="12">
        <v>8836.56</v>
      </c>
      <c r="X368" s="11">
        <v>5867.75</v>
      </c>
      <c r="Y368" s="11">
        <v>2968.81</v>
      </c>
      <c r="Z368" s="11">
        <f>ROUND(W368-X368,2)</f>
        <v>2968.81</v>
      </c>
      <c r="AA368" s="4">
        <f>IF(W368=0,0,Z368/W368)</f>
        <v>0.33596897435201029</v>
      </c>
      <c r="AB368" t="s">
        <v>31</v>
      </c>
      <c r="AC368" t="s">
        <v>32</v>
      </c>
      <c r="AD368" t="str">
        <f>IF(AND(E368="", T368&gt;=0, T368&lt;=0.5, K368&lt;&gt;"Unknown", Q368&lt;&gt;"Unknown"), "CLEAN", _xlfn.CONCAT("WARNING: ", IF(E368&lt;&gt;"","invalid_date",""), IF(T368&lt;0,"negative_discount",""), IF(AND(T368&gt;0.5,T368&lt;=1),"high_discount",""), IF(K368="Unknown","missing_region",""), IF(Q368="Unknown","missing_ship_mode","")))</f>
        <v>CLEAN</v>
      </c>
      <c r="AE368" t="str">
        <f>IF(COUNTIF($AF$2:$AF$926,AF368)&gt;1,"DUPLICATE","UNIQUE")</f>
        <v>UNIQUE</v>
      </c>
      <c r="AF368" t="str">
        <f>A368&amp;"|"&amp;B368&amp;"|"&amp;H368&amp;"|"&amp;I368&amp;"|"&amp;R368&amp;"|"&amp;S368&amp;"|"&amp;V368</f>
        <v>ORD-2025-10367|2025-01-16|CUST-5397|Sneha Kapoor|2|4418.28|8836.56</v>
      </c>
      <c r="AG368" t="str">
        <f>IF(COUNTIF($A$2:$A$913,A368)&gt;1,"TRUE","FALSE")</f>
        <v>FALSE</v>
      </c>
    </row>
    <row r="369" spans="1:33">
      <c r="A369" t="s">
        <v>1186</v>
      </c>
      <c r="B369" t="s">
        <v>644</v>
      </c>
      <c r="C369" t="s">
        <v>2935</v>
      </c>
      <c r="D369">
        <f>IF(OR(B369="", C369=""), "", (C369 - B369))</f>
        <v>1</v>
      </c>
      <c r="E369" t="str">
        <f>IF(C369&lt;B369, "INVALID: Ship date before order date", "")</f>
        <v/>
      </c>
      <c r="F369" t="str">
        <f>IF(B369="", "", TEXT(B369, "mmmm"))</f>
        <v>March</v>
      </c>
      <c r="G369">
        <f>IF(B369="", "", YEAR(B369))</f>
        <v>2024</v>
      </c>
      <c r="H369" t="s">
        <v>1187</v>
      </c>
      <c r="I369" t="s">
        <v>139</v>
      </c>
      <c r="J369" t="s">
        <v>23</v>
      </c>
      <c r="K369" t="s">
        <v>24</v>
      </c>
      <c r="L369" t="s">
        <v>353</v>
      </c>
      <c r="M369" t="s">
        <v>354</v>
      </c>
      <c r="N369" t="s">
        <v>27</v>
      </c>
      <c r="O369" t="s">
        <v>47</v>
      </c>
      <c r="P369" t="s">
        <v>1188</v>
      </c>
      <c r="Q369" t="s">
        <v>58</v>
      </c>
      <c r="R369">
        <v>6</v>
      </c>
      <c r="S369" s="15">
        <v>3815.09</v>
      </c>
      <c r="T369" s="4">
        <v>0.15</v>
      </c>
      <c r="U369" s="3" t="str">
        <f>IF(T369&lt;0, "negative_discount", IF(AND(T369&gt;0.5, T369&lt;=1), "high_discount", ""))</f>
        <v/>
      </c>
      <c r="V369" s="11">
        <v>19456.96</v>
      </c>
      <c r="W369" s="12">
        <v>19456.96</v>
      </c>
      <c r="X369" s="11">
        <v>14520.06</v>
      </c>
      <c r="Y369" s="11">
        <v>4936.8999999999996</v>
      </c>
      <c r="Z369" s="11">
        <f>ROUND(W369-X369,2)</f>
        <v>4936.8999999999996</v>
      </c>
      <c r="AA369" s="4">
        <f>IF(W369=0,0,Z369/W369)</f>
        <v>0.25373439632912848</v>
      </c>
      <c r="AB369" t="s">
        <v>151</v>
      </c>
      <c r="AC369" t="s">
        <v>67</v>
      </c>
      <c r="AD369" t="str">
        <f>IF(AND(E369="", T369&gt;=0, T369&lt;=0.5, K369&lt;&gt;"Unknown", Q369&lt;&gt;"Unknown"), "CLEAN", _xlfn.CONCAT("WARNING: ", IF(E369&lt;&gt;"","invalid_date",""), IF(T369&lt;0,"negative_discount",""), IF(AND(T369&gt;0.5,T369&lt;=1),"high_discount",""), IF(K369="Unknown","missing_region",""), IF(Q369="Unknown","missing_ship_mode","")))</f>
        <v>CLEAN</v>
      </c>
      <c r="AE369" t="str">
        <f>IF(COUNTIF($AF$2:$AF$926,AF369)&gt;1,"DUPLICATE","UNIQUE")</f>
        <v>UNIQUE</v>
      </c>
      <c r="AF369" t="str">
        <f>A369&amp;"|"&amp;B369&amp;"|"&amp;H369&amp;"|"&amp;I369&amp;"|"&amp;R369&amp;"|"&amp;S369&amp;"|"&amp;V369</f>
        <v>ORD-2024-10368|2024-03-15|CUST-4696|Rohan Mehta|6|3815.09|19456.96</v>
      </c>
      <c r="AG369" t="str">
        <f>IF(COUNTIF($A$2:$A$913,A369)&gt;1,"TRUE","FALSE")</f>
        <v>FALSE</v>
      </c>
    </row>
    <row r="370" spans="1:33">
      <c r="A370" t="s">
        <v>3139</v>
      </c>
      <c r="B370" t="s">
        <v>2783</v>
      </c>
      <c r="C370" t="s">
        <v>2783</v>
      </c>
      <c r="D370">
        <f>IF(OR(B370="", C370=""), "", (C370 - B370))</f>
        <v>0</v>
      </c>
      <c r="E370" t="str">
        <f>IF(C370&lt;B370, "INVALID: Ship date before order date", "")</f>
        <v/>
      </c>
      <c r="F370" t="str">
        <f>IF(B370="", "", TEXT(B370, "mmmm"))</f>
        <v>June</v>
      </c>
      <c r="G370">
        <f>IF(B370="", "", YEAR(B370))</f>
        <v>2025</v>
      </c>
      <c r="H370" t="s">
        <v>1189</v>
      </c>
      <c r="I370" t="s">
        <v>126</v>
      </c>
      <c r="J370" t="s">
        <v>93</v>
      </c>
      <c r="K370" t="s">
        <v>24</v>
      </c>
      <c r="L370" t="s">
        <v>25</v>
      </c>
      <c r="M370" t="s">
        <v>26</v>
      </c>
      <c r="N370" t="s">
        <v>74</v>
      </c>
      <c r="O370" t="s">
        <v>75</v>
      </c>
      <c r="P370" t="s">
        <v>1190</v>
      </c>
      <c r="Q370" t="s">
        <v>43</v>
      </c>
      <c r="R370">
        <v>9</v>
      </c>
      <c r="S370" s="15">
        <v>243.19</v>
      </c>
      <c r="T370" s="4">
        <v>0.05</v>
      </c>
      <c r="U370" s="3" t="str">
        <f>IF(T370&lt;0, "negative_discount", IF(AND(T370&gt;0.5, T370&lt;=1), "high_discount", ""))</f>
        <v/>
      </c>
      <c r="V370" s="11">
        <v>2079.27</v>
      </c>
      <c r="W370" s="12">
        <v>2079.27</v>
      </c>
      <c r="X370" s="11">
        <v>1512.17</v>
      </c>
      <c r="Y370" s="11">
        <v>567.1</v>
      </c>
      <c r="Z370" s="11">
        <f>ROUND(W370-X370,2)</f>
        <v>567.1</v>
      </c>
      <c r="AA370" s="4">
        <f>IF(W370=0,0,Z370/W370)</f>
        <v>0.27273995200238549</v>
      </c>
      <c r="AB370" t="s">
        <v>99</v>
      </c>
      <c r="AC370" t="s">
        <v>100</v>
      </c>
      <c r="AD370" t="str">
        <f>IF(AND(E370="", T370&gt;=0, T370&lt;=0.5, K370&lt;&gt;"Unknown", Q370&lt;&gt;"Unknown"), "CLEAN", _xlfn.CONCAT("WARNING: ", IF(E370&lt;&gt;"","invalid_date",""), IF(T370&lt;0,"negative_discount",""), IF(AND(T370&gt;0.5,T370&lt;=1),"high_discount",""), IF(K370="Unknown","missing_region",""), IF(Q370="Unknown","missing_ship_mode","")))</f>
        <v>CLEAN</v>
      </c>
      <c r="AE370" t="str">
        <f>IF(COUNTIF($AF$2:$AF$926,AF370)&gt;1,"DUPLICATE","UNIQUE")</f>
        <v>UNIQUE</v>
      </c>
      <c r="AF370" t="str">
        <f>A370&amp;"|"&amp;B370&amp;"|"&amp;H370&amp;"|"&amp;I370&amp;"|"&amp;R370&amp;"|"&amp;S370&amp;"|"&amp;V370</f>
        <v>ORD-2025-10369|2025-06-07|CUST-8246|Aarav Sharma|9|243.19|2079.27</v>
      </c>
      <c r="AG370" t="str">
        <f>IF(COUNTIF($A$2:$A$913,A370)&gt;1,"TRUE","FALSE")</f>
        <v>FALSE</v>
      </c>
    </row>
    <row r="371" spans="1:33">
      <c r="A371" t="s">
        <v>3140</v>
      </c>
      <c r="B371" t="s">
        <v>2701</v>
      </c>
      <c r="C371" t="s">
        <v>590</v>
      </c>
      <c r="D371">
        <f>IF(OR(B371="", C371=""), "", (C371 - B371))</f>
        <v>7</v>
      </c>
      <c r="E371" t="str">
        <f>IF(C371&lt;B371, "INVALID: Ship date before order date", "")</f>
        <v/>
      </c>
      <c r="F371" t="str">
        <f>IF(B371="", "", TEXT(B371, "mmmm"))</f>
        <v>January</v>
      </c>
      <c r="G371">
        <f>IF(B371="", "", YEAR(B371))</f>
        <v>2025</v>
      </c>
      <c r="H371" t="s">
        <v>1191</v>
      </c>
      <c r="I371" t="s">
        <v>112</v>
      </c>
      <c r="J371" t="s">
        <v>23</v>
      </c>
      <c r="K371" t="s">
        <v>24</v>
      </c>
      <c r="L371" t="s">
        <v>353</v>
      </c>
      <c r="M371" t="s">
        <v>354</v>
      </c>
      <c r="N371" t="s">
        <v>27</v>
      </c>
      <c r="O371" t="s">
        <v>90</v>
      </c>
      <c r="P371" t="s">
        <v>1192</v>
      </c>
      <c r="Q371" t="s">
        <v>58</v>
      </c>
      <c r="R371">
        <v>9</v>
      </c>
      <c r="S371" s="15">
        <v>1169.3699999999999</v>
      </c>
      <c r="T371" s="4">
        <v>0.15</v>
      </c>
      <c r="U371" s="3" t="str">
        <f>IF(T371&lt;0, "negative_discount", IF(AND(T371&gt;0.5, T371&lt;=1), "high_discount", ""))</f>
        <v/>
      </c>
      <c r="V371" s="11">
        <v>8945.68</v>
      </c>
      <c r="W371" s="12">
        <v>8945.68</v>
      </c>
      <c r="X371" s="11">
        <v>6740.35</v>
      </c>
      <c r="Y371" s="11">
        <v>2205.33</v>
      </c>
      <c r="Z371" s="11">
        <f>ROUND(W371-X371,2)</f>
        <v>2205.33</v>
      </c>
      <c r="AA371" s="4">
        <f>IF(W371=0,0,Z371/W371)</f>
        <v>0.24652457946181844</v>
      </c>
      <c r="AB371" t="s">
        <v>31</v>
      </c>
      <c r="AC371" t="s">
        <v>32</v>
      </c>
      <c r="AD371" t="str">
        <f>IF(AND(E371="", T371&gt;=0, T371&lt;=0.5, K371&lt;&gt;"Unknown", Q371&lt;&gt;"Unknown"), "CLEAN", _xlfn.CONCAT("WARNING: ", IF(E371&lt;&gt;"","invalid_date",""), IF(T371&lt;0,"negative_discount",""), IF(AND(T371&gt;0.5,T371&lt;=1),"high_discount",""), IF(K371="Unknown","missing_region",""), IF(Q371="Unknown","missing_ship_mode","")))</f>
        <v>CLEAN</v>
      </c>
      <c r="AE371" t="str">
        <f>IF(COUNTIF($AF$2:$AF$926,AF371)&gt;1,"DUPLICATE","UNIQUE")</f>
        <v>UNIQUE</v>
      </c>
      <c r="AF371" t="str">
        <f>A371&amp;"|"&amp;B371&amp;"|"&amp;H371&amp;"|"&amp;I371&amp;"|"&amp;R371&amp;"|"&amp;S371&amp;"|"&amp;V371</f>
        <v>ORD-2025-10370|2025-01-23|CUST-5672|Priya Menon|9|1169.37|8945.68</v>
      </c>
      <c r="AG371" t="str">
        <f>IF(COUNTIF($A$2:$A$913,A371)&gt;1,"TRUE","FALSE")</f>
        <v>FALSE</v>
      </c>
    </row>
    <row r="372" spans="1:33">
      <c r="A372" t="s">
        <v>1193</v>
      </c>
      <c r="B372" t="s">
        <v>2709</v>
      </c>
      <c r="C372" t="s">
        <v>2773</v>
      </c>
      <c r="D372">
        <f>IF(OR(B372="", C372=""), "", (C372 - B372))</f>
        <v>6</v>
      </c>
      <c r="E372" t="str">
        <f>IF(C372&lt;B372, "INVALID: Ship date before order date", "")</f>
        <v/>
      </c>
      <c r="F372" t="str">
        <f>IF(B372="", "", TEXT(B372, "mmmm"))</f>
        <v>August</v>
      </c>
      <c r="G372">
        <f>IF(B372="", "", YEAR(B372))</f>
        <v>2024</v>
      </c>
      <c r="H372" t="s">
        <v>1194</v>
      </c>
      <c r="I372" t="s">
        <v>61</v>
      </c>
      <c r="J372" t="s">
        <v>36</v>
      </c>
      <c r="K372" t="s">
        <v>62</v>
      </c>
      <c r="L372" t="s">
        <v>25</v>
      </c>
      <c r="M372" t="s">
        <v>107</v>
      </c>
      <c r="N372" t="s">
        <v>74</v>
      </c>
      <c r="O372" t="s">
        <v>79</v>
      </c>
      <c r="P372" t="s">
        <v>1195</v>
      </c>
      <c r="Q372" t="s">
        <v>49</v>
      </c>
      <c r="R372">
        <v>7</v>
      </c>
      <c r="S372" s="15">
        <v>2333.81</v>
      </c>
      <c r="T372" s="4">
        <v>0.2</v>
      </c>
      <c r="U372" s="3" t="str">
        <f>IF(T372&lt;0, "negative_discount", IF(AND(T372&gt;0.5, T372&lt;=1), "high_discount", ""))</f>
        <v/>
      </c>
      <c r="V372" s="11">
        <v>13069.34</v>
      </c>
      <c r="W372" s="12">
        <v>13069.34</v>
      </c>
      <c r="X372" s="11">
        <v>8768.59</v>
      </c>
      <c r="Y372" s="11">
        <v>4300.75</v>
      </c>
      <c r="Z372" s="11">
        <f>ROUND(W372-X372,2)</f>
        <v>4300.75</v>
      </c>
      <c r="AA372" s="4">
        <f>IF(W372=0,0,Z372/W372)</f>
        <v>0.32907170522765494</v>
      </c>
      <c r="AB372" t="s">
        <v>31</v>
      </c>
      <c r="AC372" t="s">
        <v>32</v>
      </c>
      <c r="AD372" t="str">
        <f>IF(AND(E372="", T372&gt;=0, T372&lt;=0.5, K372&lt;&gt;"Unknown", Q372&lt;&gt;"Unknown"), "CLEAN", _xlfn.CONCAT("WARNING: ", IF(E372&lt;&gt;"","invalid_date",""), IF(T372&lt;0,"negative_discount",""), IF(AND(T372&gt;0.5,T372&lt;=1),"high_discount",""), IF(K372="Unknown","missing_region",""), IF(Q372="Unknown","missing_ship_mode","")))</f>
        <v>CLEAN</v>
      </c>
      <c r="AE372" t="str">
        <f>IF(COUNTIF($AF$2:$AF$926,AF372)&gt;1,"DUPLICATE","UNIQUE")</f>
        <v>UNIQUE</v>
      </c>
      <c r="AF372" t="str">
        <f>A372&amp;"|"&amp;B372&amp;"|"&amp;H372&amp;"|"&amp;I372&amp;"|"&amp;R372&amp;"|"&amp;S372&amp;"|"&amp;V372</f>
        <v>ORD-2024-10371|2024-08-15|CUST-8521|Ananya Rao|7|2333.81|13069.34</v>
      </c>
      <c r="AG372" t="str">
        <f>IF(COUNTIF($A$2:$A$913,A372)&gt;1,"TRUE","FALSE")</f>
        <v>FALSE</v>
      </c>
    </row>
    <row r="373" spans="1:33">
      <c r="A373" t="s">
        <v>1196</v>
      </c>
      <c r="B373" t="s">
        <v>1312</v>
      </c>
      <c r="C373" t="s">
        <v>1197</v>
      </c>
      <c r="D373">
        <f>IF(OR(B373="", C373=""), "", (C373 - B373))</f>
        <v>2</v>
      </c>
      <c r="E373" t="str">
        <f>IF(C373&lt;B373, "INVALID: Ship date before order date", "")</f>
        <v/>
      </c>
      <c r="F373" t="str">
        <f>IF(B373="", "", TEXT(B373, "mmmm"))</f>
        <v>January</v>
      </c>
      <c r="G373">
        <f>IF(B373="", "", YEAR(B373))</f>
        <v>2024</v>
      </c>
      <c r="H373" t="s">
        <v>1198</v>
      </c>
      <c r="I373" t="s">
        <v>158</v>
      </c>
      <c r="J373" t="s">
        <v>93</v>
      </c>
      <c r="K373" t="s">
        <v>62</v>
      </c>
      <c r="L373" t="s">
        <v>63</v>
      </c>
      <c r="M373" t="s">
        <v>64</v>
      </c>
      <c r="N373" t="s">
        <v>27</v>
      </c>
      <c r="O373" t="s">
        <v>47</v>
      </c>
      <c r="P373" t="s">
        <v>1199</v>
      </c>
      <c r="Q373" t="s">
        <v>58</v>
      </c>
      <c r="R373">
        <v>6</v>
      </c>
      <c r="S373" s="15">
        <v>1026.06</v>
      </c>
      <c r="T373" s="4">
        <v>0</v>
      </c>
      <c r="U373" s="3" t="str">
        <f>IF(T373&lt;0, "negative_discount", IF(AND(T373&gt;0.5, T373&lt;=1), "high_discount", ""))</f>
        <v/>
      </c>
      <c r="V373" s="11">
        <v>4617.2700000000004</v>
      </c>
      <c r="W373" s="12">
        <v>6156.36</v>
      </c>
      <c r="X373" s="11">
        <v>2981.94</v>
      </c>
      <c r="Y373" s="11">
        <v>1635.33</v>
      </c>
      <c r="Z373" s="11">
        <f>ROUND(W373-X373,2)</f>
        <v>3174.42</v>
      </c>
      <c r="AA373" s="4">
        <f>IF(W373=0,0,Z373/W373)</f>
        <v>0.51563261407714955</v>
      </c>
      <c r="AB373" t="s">
        <v>99</v>
      </c>
      <c r="AC373" t="s">
        <v>67</v>
      </c>
      <c r="AD373" t="str">
        <f>IF(AND(E373="", T373&gt;=0, T373&lt;=0.5, K373&lt;&gt;"Unknown", Q373&lt;&gt;"Unknown"), "CLEAN", _xlfn.CONCAT("WARNING: ", IF(E373&lt;&gt;"","invalid_date",""), IF(T373&lt;0,"negative_discount",""), IF(AND(T373&gt;0.5,T373&lt;=1),"high_discount",""), IF(K373="Unknown","missing_region",""), IF(Q373="Unknown","missing_ship_mode","")))</f>
        <v>CLEAN</v>
      </c>
      <c r="AE373" t="str">
        <f>IF(COUNTIF($AF$2:$AF$926,AF373)&gt;1,"DUPLICATE","UNIQUE")</f>
        <v>UNIQUE</v>
      </c>
      <c r="AF373" t="str">
        <f>A373&amp;"|"&amp;B373&amp;"|"&amp;H373&amp;"|"&amp;I373&amp;"|"&amp;R373&amp;"|"&amp;S373&amp;"|"&amp;V373</f>
        <v>ORD-2024-10372|2024-01-22|CUST-2204|Diya Patel|6|1026.06|4617.27</v>
      </c>
      <c r="AG373" t="str">
        <f>IF(COUNTIF($A$2:$A$913,A373)&gt;1,"TRUE","FALSE")</f>
        <v>FALSE</v>
      </c>
    </row>
    <row r="374" spans="1:33">
      <c r="A374" t="s">
        <v>3141</v>
      </c>
      <c r="B374" t="s">
        <v>1200</v>
      </c>
      <c r="C374" t="s">
        <v>611</v>
      </c>
      <c r="D374">
        <f>IF(OR(B374="", C374=""), "", (C374 - B374))</f>
        <v>2</v>
      </c>
      <c r="E374" t="str">
        <f>IF(C374&lt;B374, "INVALID: Ship date before order date", "")</f>
        <v/>
      </c>
      <c r="F374" t="str">
        <f>IF(B374="", "", TEXT(B374, "mmmm"))</f>
        <v>August</v>
      </c>
      <c r="G374">
        <f>IF(B374="", "", YEAR(B374))</f>
        <v>2025</v>
      </c>
      <c r="H374" t="s">
        <v>637</v>
      </c>
      <c r="I374" t="s">
        <v>263</v>
      </c>
      <c r="J374" t="s">
        <v>23</v>
      </c>
      <c r="K374" t="s">
        <v>37</v>
      </c>
      <c r="L374" t="s">
        <v>226</v>
      </c>
      <c r="M374" t="s">
        <v>227</v>
      </c>
      <c r="N374" t="s">
        <v>40</v>
      </c>
      <c r="O374" t="s">
        <v>65</v>
      </c>
      <c r="P374" t="s">
        <v>1201</v>
      </c>
      <c r="Q374" t="s">
        <v>43</v>
      </c>
      <c r="R374">
        <v>5</v>
      </c>
      <c r="S374" s="15">
        <v>1530.36</v>
      </c>
      <c r="T374" s="4">
        <v>0</v>
      </c>
      <c r="U374" s="3" t="str">
        <f>IF(T374&lt;0, "negative_discount", IF(AND(T374&gt;0.5, T374&lt;=1), "high_discount", ""))</f>
        <v/>
      </c>
      <c r="V374" s="11">
        <v>7651.8</v>
      </c>
      <c r="W374" s="12">
        <v>7651.8</v>
      </c>
      <c r="X374" s="11">
        <v>5171.78</v>
      </c>
      <c r="Y374" s="11">
        <v>2480.02</v>
      </c>
      <c r="Z374" s="11">
        <f>ROUND(W374-X374,2)</f>
        <v>2480.02</v>
      </c>
      <c r="AA374" s="4">
        <f>IF(W374=0,0,Z374/W374)</f>
        <v>0.32410935988917638</v>
      </c>
      <c r="AB374" t="s">
        <v>31</v>
      </c>
      <c r="AC374" t="s">
        <v>32</v>
      </c>
      <c r="AD374" t="str">
        <f>IF(AND(E374="", T374&gt;=0, T374&lt;=0.5, K374&lt;&gt;"Unknown", Q374&lt;&gt;"Unknown"), "CLEAN", _xlfn.CONCAT("WARNING: ", IF(E374&lt;&gt;"","invalid_date",""), IF(T374&lt;0,"negative_discount",""), IF(AND(T374&gt;0.5,T374&lt;=1),"high_discount",""), IF(K374="Unknown","missing_region",""), IF(Q374="Unknown","missing_ship_mode","")))</f>
        <v>CLEAN</v>
      </c>
      <c r="AE374" t="str">
        <f>IF(COUNTIF($AF$2:$AF$926,AF374)&gt;1,"DUPLICATE","UNIQUE")</f>
        <v>UNIQUE</v>
      </c>
      <c r="AF374" t="str">
        <f>A374&amp;"|"&amp;B374&amp;"|"&amp;H374&amp;"|"&amp;I374&amp;"|"&amp;R374&amp;"|"&amp;S374&amp;"|"&amp;V374</f>
        <v>ORD-2025-10373|2025-08-16|CUST-4399|Kabir Singh|5|1530.36|7651.8</v>
      </c>
      <c r="AG374" t="str">
        <f>IF(COUNTIF($A$2:$A$913,A374)&gt;1,"TRUE","FALSE")</f>
        <v>FALSE</v>
      </c>
    </row>
    <row r="375" spans="1:33">
      <c r="A375" t="s">
        <v>3142</v>
      </c>
      <c r="B375" t="s">
        <v>1202</v>
      </c>
      <c r="C375" t="s">
        <v>1202</v>
      </c>
      <c r="D375">
        <f>IF(OR(B375="", C375=""), "", (C375 - B375))</f>
        <v>0</v>
      </c>
      <c r="E375" t="str">
        <f>IF(C375&lt;B375, "INVALID: Ship date before order date", "")</f>
        <v/>
      </c>
      <c r="F375" t="str">
        <f>IF(B375="", "", TEXT(B375, "mmmm"))</f>
        <v>April</v>
      </c>
      <c r="G375">
        <f>IF(B375="", "", YEAR(B375))</f>
        <v>2025</v>
      </c>
      <c r="H375" t="s">
        <v>1203</v>
      </c>
      <c r="I375" t="s">
        <v>131</v>
      </c>
      <c r="J375" t="s">
        <v>36</v>
      </c>
      <c r="K375" t="s">
        <v>24</v>
      </c>
      <c r="L375" t="s">
        <v>134</v>
      </c>
      <c r="M375" t="s">
        <v>135</v>
      </c>
      <c r="N375" t="s">
        <v>27</v>
      </c>
      <c r="O375" t="s">
        <v>122</v>
      </c>
      <c r="P375" t="s">
        <v>1204</v>
      </c>
      <c r="Q375" t="s">
        <v>30</v>
      </c>
      <c r="R375">
        <v>9</v>
      </c>
      <c r="S375" s="15">
        <v>1118.68</v>
      </c>
      <c r="T375" s="4">
        <v>0</v>
      </c>
      <c r="U375" s="3" t="str">
        <f>IF(T375&lt;0, "negative_discount", IF(AND(T375&gt;0.5, T375&lt;=1), "high_discount", ""))</f>
        <v/>
      </c>
      <c r="V375" s="11">
        <v>10068.120000000001</v>
      </c>
      <c r="W375" s="12">
        <v>10068.120000000001</v>
      </c>
      <c r="X375" s="11">
        <v>8595.3700000000008</v>
      </c>
      <c r="Y375" s="11">
        <v>1472.75</v>
      </c>
      <c r="Z375" s="11">
        <f>ROUND(W375-X375,2)</f>
        <v>1472.75</v>
      </c>
      <c r="AA375" s="4">
        <f>IF(W375=0,0,Z375/W375)</f>
        <v>0.14627855051389932</v>
      </c>
      <c r="AB375" t="s">
        <v>31</v>
      </c>
      <c r="AC375" t="s">
        <v>32</v>
      </c>
      <c r="AD375" t="str">
        <f>IF(AND(E375="", T375&gt;=0, T375&lt;=0.5, K375&lt;&gt;"Unknown", Q375&lt;&gt;"Unknown"), "CLEAN", _xlfn.CONCAT("WARNING: ", IF(E375&lt;&gt;"","invalid_date",""), IF(T375&lt;0,"negative_discount",""), IF(AND(T375&gt;0.5,T375&lt;=1),"high_discount",""), IF(K375="Unknown","missing_region",""), IF(Q375="Unknown","missing_ship_mode","")))</f>
        <v>CLEAN</v>
      </c>
      <c r="AE375" t="str">
        <f>IF(COUNTIF($AF$2:$AF$926,AF375)&gt;1,"DUPLICATE","UNIQUE")</f>
        <v>UNIQUE</v>
      </c>
      <c r="AF375" t="str">
        <f>A375&amp;"|"&amp;B375&amp;"|"&amp;H375&amp;"|"&amp;I375&amp;"|"&amp;R375&amp;"|"&amp;S375&amp;"|"&amp;V375</f>
        <v>ORD-2025-10374|2025-04-13|CUST-8566|Sneha Kapoor|9|1118.68|10068.12</v>
      </c>
      <c r="AG375" t="str">
        <f>IF(COUNTIF($A$2:$A$913,A375)&gt;1,"TRUE","FALSE")</f>
        <v>TRUE</v>
      </c>
    </row>
    <row r="376" spans="1:33">
      <c r="A376" t="s">
        <v>3143</v>
      </c>
      <c r="B376" t="s">
        <v>1205</v>
      </c>
      <c r="C376" t="s">
        <v>2766</v>
      </c>
      <c r="D376">
        <f>IF(OR(B376="", C376=""), "", (C376 - B376))</f>
        <v>1</v>
      </c>
      <c r="E376" t="str">
        <f>IF(C376&lt;B376, "INVALID: Ship date before order date", "")</f>
        <v/>
      </c>
      <c r="F376" t="str">
        <f>IF(B376="", "", TEXT(B376, "mmmm"))</f>
        <v>February</v>
      </c>
      <c r="G376">
        <f>IF(B376="", "", YEAR(B376))</f>
        <v>2025</v>
      </c>
      <c r="H376" t="s">
        <v>1206</v>
      </c>
      <c r="I376" t="s">
        <v>88</v>
      </c>
      <c r="J376" t="s">
        <v>36</v>
      </c>
      <c r="K376" t="s">
        <v>24</v>
      </c>
      <c r="L376" t="s">
        <v>134</v>
      </c>
      <c r="M376" t="s">
        <v>135</v>
      </c>
      <c r="N376" t="s">
        <v>27</v>
      </c>
      <c r="O376" t="s">
        <v>90</v>
      </c>
      <c r="P376" t="s">
        <v>1207</v>
      </c>
      <c r="Q376" t="s">
        <v>58</v>
      </c>
      <c r="R376">
        <v>6</v>
      </c>
      <c r="S376" s="15">
        <v>2393.25</v>
      </c>
      <c r="T376" s="4">
        <v>0</v>
      </c>
      <c r="U376" s="3" t="str">
        <f>IF(T376&lt;0, "negative_discount", IF(AND(T376&gt;0.5, T376&lt;=1), "high_discount", ""))</f>
        <v/>
      </c>
      <c r="V376" s="11">
        <v>14359.5</v>
      </c>
      <c r="W376" s="12">
        <v>14359.5</v>
      </c>
      <c r="X376" s="11">
        <v>8117.71</v>
      </c>
      <c r="Y376" s="11">
        <v>6241.79</v>
      </c>
      <c r="Z376" s="11">
        <f>ROUND(W376-X376,2)</f>
        <v>6241.79</v>
      </c>
      <c r="AA376" s="4">
        <f>IF(W376=0,0,Z376/W376)</f>
        <v>0.43468017688638183</v>
      </c>
      <c r="AB376" t="s">
        <v>31</v>
      </c>
      <c r="AC376" t="s">
        <v>32</v>
      </c>
      <c r="AD376" t="str">
        <f>IF(AND(E376="", T376&gt;=0, T376&lt;=0.5, K376&lt;&gt;"Unknown", Q376&lt;&gt;"Unknown"), "CLEAN", _xlfn.CONCAT("WARNING: ", IF(E376&lt;&gt;"","invalid_date",""), IF(T376&lt;0,"negative_discount",""), IF(AND(T376&gt;0.5,T376&lt;=1),"high_discount",""), IF(K376="Unknown","missing_region",""), IF(Q376="Unknown","missing_ship_mode","")))</f>
        <v>CLEAN</v>
      </c>
      <c r="AE376" t="str">
        <f>IF(COUNTIF($AF$2:$AF$926,AF376)&gt;1,"DUPLICATE","UNIQUE")</f>
        <v>UNIQUE</v>
      </c>
      <c r="AF376" t="str">
        <f>A376&amp;"|"&amp;B376&amp;"|"&amp;H376&amp;"|"&amp;I376&amp;"|"&amp;R376&amp;"|"&amp;S376&amp;"|"&amp;V376</f>
        <v>ORD-2025-10375|2025-02-27|CUST-2358|Aditi Sen|6|2393.25|14359.5</v>
      </c>
      <c r="AG376" t="str">
        <f>IF(COUNTIF($A$2:$A$913,A376)&gt;1,"TRUE","FALSE")</f>
        <v>FALSE</v>
      </c>
    </row>
    <row r="377" spans="1:33">
      <c r="A377" t="s">
        <v>1208</v>
      </c>
      <c r="B377" t="s">
        <v>1147</v>
      </c>
      <c r="C377" t="s">
        <v>875</v>
      </c>
      <c r="D377">
        <f>IF(OR(B377="", C377=""), "", (C377 - B377))</f>
        <v>4</v>
      </c>
      <c r="E377" t="str">
        <f>IF(C377&lt;B377, "INVALID: Ship date before order date", "")</f>
        <v/>
      </c>
      <c r="F377" t="str">
        <f>IF(B377="", "", TEXT(B377, "mmmm"))</f>
        <v>December</v>
      </c>
      <c r="G377">
        <f>IF(B377="", "", YEAR(B377))</f>
        <v>2024</v>
      </c>
      <c r="H377" t="s">
        <v>1209</v>
      </c>
      <c r="I377" t="s">
        <v>71</v>
      </c>
      <c r="J377" t="s">
        <v>23</v>
      </c>
      <c r="K377" t="s">
        <v>24</v>
      </c>
      <c r="L377" t="s">
        <v>353</v>
      </c>
      <c r="M377" t="s">
        <v>354</v>
      </c>
      <c r="N377" t="s">
        <v>40</v>
      </c>
      <c r="O377" t="s">
        <v>65</v>
      </c>
      <c r="P377" t="s">
        <v>1210</v>
      </c>
      <c r="Q377" t="s">
        <v>43</v>
      </c>
      <c r="R377">
        <v>3</v>
      </c>
      <c r="S377" s="15">
        <v>1166.6099999999999</v>
      </c>
      <c r="T377" s="4">
        <v>0.25</v>
      </c>
      <c r="U377" s="3" t="str">
        <f>IF(T377&lt;0, "negative_discount", IF(AND(T377&gt;0.5, T377&lt;=1), "high_discount", ""))</f>
        <v/>
      </c>
      <c r="V377" s="11">
        <v>2624.87</v>
      </c>
      <c r="W377" s="12">
        <v>2624.87</v>
      </c>
      <c r="X377" s="11">
        <v>2253.88</v>
      </c>
      <c r="Y377" s="11">
        <v>370.99</v>
      </c>
      <c r="Z377" s="11">
        <f>ROUND(W377-X377,2)</f>
        <v>370.99</v>
      </c>
      <c r="AA377" s="4">
        <f>IF(W377=0,0,Z377/W377)</f>
        <v>0.14133652333258409</v>
      </c>
      <c r="AB377" t="s">
        <v>31</v>
      </c>
      <c r="AC377" t="s">
        <v>32</v>
      </c>
      <c r="AD377" t="str">
        <f>IF(AND(E377="", T377&gt;=0, T377&lt;=0.5, K377&lt;&gt;"Unknown", Q377&lt;&gt;"Unknown"), "CLEAN", _xlfn.CONCAT("WARNING: ", IF(E377&lt;&gt;"","invalid_date",""), IF(T377&lt;0,"negative_discount",""), IF(AND(T377&gt;0.5,T377&lt;=1),"high_discount",""), IF(K377="Unknown","missing_region",""), IF(Q377="Unknown","missing_ship_mode","")))</f>
        <v>CLEAN</v>
      </c>
      <c r="AE377" t="str">
        <f>IF(COUNTIF($AF$2:$AF$926,AF377)&gt;1,"DUPLICATE","UNIQUE")</f>
        <v>UNIQUE</v>
      </c>
      <c r="AF377" t="str">
        <f>A377&amp;"|"&amp;B377&amp;"|"&amp;H377&amp;"|"&amp;I377&amp;"|"&amp;R377&amp;"|"&amp;S377&amp;"|"&amp;V377</f>
        <v>ORD-2024-10376|2024-12-31|CUST-2810|Vikram Iyer|3|1166.61|2624.87</v>
      </c>
      <c r="AG377" t="str">
        <f>IF(COUNTIF($A$2:$A$913,A377)&gt;1,"TRUE","FALSE")</f>
        <v>FALSE</v>
      </c>
    </row>
    <row r="378" spans="1:33">
      <c r="A378" t="s">
        <v>1211</v>
      </c>
      <c r="B378" t="s">
        <v>2784</v>
      </c>
      <c r="C378" t="s">
        <v>1147</v>
      </c>
      <c r="D378">
        <f>IF(OR(B378="", C378=""), "", (C378 - B378))</f>
        <v>2</v>
      </c>
      <c r="E378" t="str">
        <f>IF(C378&lt;B378, "INVALID: Ship date before order date", "")</f>
        <v/>
      </c>
      <c r="F378" t="str">
        <f>IF(B378="", "", TEXT(B378, "mmmm"))</f>
        <v>December</v>
      </c>
      <c r="G378">
        <f>IF(B378="", "", YEAR(B378))</f>
        <v>2024</v>
      </c>
      <c r="H378" t="s">
        <v>1212</v>
      </c>
      <c r="I378" t="s">
        <v>46</v>
      </c>
      <c r="J378" t="s">
        <v>36</v>
      </c>
      <c r="K378" t="s">
        <v>37</v>
      </c>
      <c r="L378" t="s">
        <v>142</v>
      </c>
      <c r="M378" t="s">
        <v>143</v>
      </c>
      <c r="N378" t="s">
        <v>40</v>
      </c>
      <c r="O378" t="s">
        <v>65</v>
      </c>
      <c r="P378" t="s">
        <v>1213</v>
      </c>
      <c r="Q378" t="s">
        <v>49</v>
      </c>
      <c r="R378">
        <v>6</v>
      </c>
      <c r="S378" s="15">
        <v>1844.78</v>
      </c>
      <c r="T378" s="4">
        <v>0.2</v>
      </c>
      <c r="U378" s="3" t="str">
        <f>IF(T378&lt;0, "negative_discount", IF(AND(T378&gt;0.5, T378&lt;=1), "high_discount", ""))</f>
        <v/>
      </c>
      <c r="V378" s="11">
        <v>8854.94</v>
      </c>
      <c r="W378" s="12">
        <v>8854.94</v>
      </c>
      <c r="X378" s="11">
        <v>7433.95</v>
      </c>
      <c r="Y378" s="11">
        <v>1420.99</v>
      </c>
      <c r="Z378" s="11">
        <f>ROUND(W378-X378,2)</f>
        <v>1420.99</v>
      </c>
      <c r="AA378" s="4">
        <f>IF(W378=0,0,Z378/W378)</f>
        <v>0.16047426634172562</v>
      </c>
      <c r="AB378" t="s">
        <v>31</v>
      </c>
      <c r="AC378" t="s">
        <v>32</v>
      </c>
      <c r="AD378" t="str">
        <f>IF(AND(E378="", T378&gt;=0, T378&lt;=0.5, K378&lt;&gt;"Unknown", Q378&lt;&gt;"Unknown"), "CLEAN", _xlfn.CONCAT("WARNING: ", IF(E378&lt;&gt;"","invalid_date",""), IF(T378&lt;0,"negative_discount",""), IF(AND(T378&gt;0.5,T378&lt;=1),"high_discount",""), IF(K378="Unknown","missing_region",""), IF(Q378="Unknown","missing_ship_mode","")))</f>
        <v>CLEAN</v>
      </c>
      <c r="AE378" t="str">
        <f>IF(COUNTIF($AF$2:$AF$926,AF378)&gt;1,"DUPLICATE","UNIQUE")</f>
        <v>UNIQUE</v>
      </c>
      <c r="AF378" t="str">
        <f>A378&amp;"|"&amp;B378&amp;"|"&amp;H378&amp;"|"&amp;I378&amp;"|"&amp;R378&amp;"|"&amp;S378&amp;"|"&amp;V378</f>
        <v>ORD-2024-10377|2024-12-29|CUST-5166|Isha Nair|6|1844.78|8854.94</v>
      </c>
      <c r="AG378" t="str">
        <f>IF(COUNTIF($A$2:$A$913,A378)&gt;1,"TRUE","FALSE")</f>
        <v>FALSE</v>
      </c>
    </row>
    <row r="379" spans="1:33">
      <c r="A379" t="s">
        <v>3144</v>
      </c>
      <c r="B379" t="s">
        <v>2767</v>
      </c>
      <c r="C379" t="s">
        <v>1031</v>
      </c>
      <c r="D379">
        <f>IF(OR(B379="", C379=""), "", (C379 - B379))</f>
        <v>6</v>
      </c>
      <c r="E379" t="str">
        <f>IF(C379&lt;B379, "INVALID: Ship date before order date", "")</f>
        <v/>
      </c>
      <c r="F379" t="str">
        <f>IF(B379="", "", TEXT(B379, "mmmm"))</f>
        <v>May</v>
      </c>
      <c r="G379">
        <f>IF(B379="", "", YEAR(B379))</f>
        <v>2025</v>
      </c>
      <c r="H379" t="s">
        <v>1214</v>
      </c>
      <c r="I379" t="s">
        <v>263</v>
      </c>
      <c r="J379" t="s">
        <v>36</v>
      </c>
      <c r="K379" t="s">
        <v>37</v>
      </c>
      <c r="L379" t="s">
        <v>38</v>
      </c>
      <c r="M379" t="s">
        <v>39</v>
      </c>
      <c r="N379" t="s">
        <v>27</v>
      </c>
      <c r="O379" t="s">
        <v>122</v>
      </c>
      <c r="P379" t="s">
        <v>1215</v>
      </c>
      <c r="Q379" t="s">
        <v>43</v>
      </c>
      <c r="R379">
        <v>1</v>
      </c>
      <c r="S379" s="15">
        <v>2564.7399999999998</v>
      </c>
      <c r="T379" s="4">
        <v>0</v>
      </c>
      <c r="U379" s="3" t="str">
        <f>IF(T379&lt;0, "negative_discount", IF(AND(T379&gt;0.5, T379&lt;=1), "high_discount", ""))</f>
        <v/>
      </c>
      <c r="V379" s="11">
        <v>2564.7399999999998</v>
      </c>
      <c r="W379" s="12">
        <v>2564.7399999999998</v>
      </c>
      <c r="X379" s="11">
        <v>1754.58</v>
      </c>
      <c r="Y379" s="11">
        <v>810.16</v>
      </c>
      <c r="Z379" s="11">
        <f>ROUND(W379-X379,2)</f>
        <v>810.16</v>
      </c>
      <c r="AA379" s="4">
        <f>IF(W379=0,0,Z379/W379)</f>
        <v>0.31588387126960238</v>
      </c>
      <c r="AB379" t="s">
        <v>31</v>
      </c>
      <c r="AC379" t="s">
        <v>32</v>
      </c>
      <c r="AD379" t="str">
        <f>IF(AND(E379="", T379&gt;=0, T379&lt;=0.5, K379&lt;&gt;"Unknown", Q379&lt;&gt;"Unknown"), "CLEAN", _xlfn.CONCAT("WARNING: ", IF(E379&lt;&gt;"","invalid_date",""), IF(T379&lt;0,"negative_discount",""), IF(AND(T379&gt;0.5,T379&lt;=1),"high_discount",""), IF(K379="Unknown","missing_region",""), IF(Q379="Unknown","missing_ship_mode","")))</f>
        <v>CLEAN</v>
      </c>
      <c r="AE379" t="str">
        <f>IF(COUNTIF($AF$2:$AF$926,AF379)&gt;1,"DUPLICATE","UNIQUE")</f>
        <v>UNIQUE</v>
      </c>
      <c r="AF379" t="str">
        <f>A379&amp;"|"&amp;B379&amp;"|"&amp;H379&amp;"|"&amp;I379&amp;"|"&amp;R379&amp;"|"&amp;S379&amp;"|"&amp;V379</f>
        <v>ORD-2025-10378|2025-05-24|CUST-4875|Kabir Singh|1|2564.74|2564.74</v>
      </c>
      <c r="AG379" t="str">
        <f>IF(COUNTIF($A$2:$A$913,A379)&gt;1,"TRUE","FALSE")</f>
        <v>FALSE</v>
      </c>
    </row>
    <row r="380" spans="1:33">
      <c r="A380" t="s">
        <v>3145</v>
      </c>
      <c r="B380" t="s">
        <v>2785</v>
      </c>
      <c r="C380" t="s">
        <v>2785</v>
      </c>
      <c r="D380">
        <f>IF(OR(B380="", C380=""), "", (C380 - B380))</f>
        <v>0</v>
      </c>
      <c r="E380" t="str">
        <f>IF(C380&lt;B380, "INVALID: Ship date before order date", "")</f>
        <v/>
      </c>
      <c r="F380" t="str">
        <f>IF(B380="", "", TEXT(B380, "mmmm"))</f>
        <v>May</v>
      </c>
      <c r="G380">
        <f>IF(B380="", "", YEAR(B380))</f>
        <v>2025</v>
      </c>
      <c r="H380" t="s">
        <v>1216</v>
      </c>
      <c r="I380" t="s">
        <v>35</v>
      </c>
      <c r="J380" t="s">
        <v>23</v>
      </c>
      <c r="K380" t="s">
        <v>62</v>
      </c>
      <c r="L380" t="s">
        <v>185</v>
      </c>
      <c r="M380" t="s">
        <v>186</v>
      </c>
      <c r="N380" t="s">
        <v>74</v>
      </c>
      <c r="O380" t="s">
        <v>75</v>
      </c>
      <c r="P380" t="s">
        <v>1217</v>
      </c>
      <c r="Q380" t="s">
        <v>58</v>
      </c>
      <c r="R380">
        <v>2</v>
      </c>
      <c r="S380" s="15">
        <v>3910.61</v>
      </c>
      <c r="T380" s="4">
        <v>0</v>
      </c>
      <c r="U380" s="3" t="str">
        <f>IF(T380&lt;0, "negative_discount", IF(AND(T380&gt;0.5, T380&lt;=1), "high_discount", ""))</f>
        <v/>
      </c>
      <c r="V380" s="11">
        <v>7821.22</v>
      </c>
      <c r="W380" s="12">
        <v>7821.22</v>
      </c>
      <c r="X380" s="11">
        <v>4994.46</v>
      </c>
      <c r="Y380" s="11">
        <v>2826.76</v>
      </c>
      <c r="Z380" s="11">
        <f>ROUND(W380-X380,2)</f>
        <v>2826.76</v>
      </c>
      <c r="AA380" s="4">
        <f>IF(W380=0,0,Z380/W380)</f>
        <v>0.36142187535959863</v>
      </c>
      <c r="AB380" t="s">
        <v>31</v>
      </c>
      <c r="AC380" t="s">
        <v>32</v>
      </c>
      <c r="AD380" t="str">
        <f>IF(AND(E380="", T380&gt;=0, T380&lt;=0.5, K380&lt;&gt;"Unknown", Q380&lt;&gt;"Unknown"), "CLEAN", _xlfn.CONCAT("WARNING: ", IF(E380&lt;&gt;"","invalid_date",""), IF(T380&lt;0,"negative_discount",""), IF(AND(T380&gt;0.5,T380&lt;=1),"high_discount",""), IF(K380="Unknown","missing_region",""), IF(Q380="Unknown","missing_ship_mode","")))</f>
        <v>CLEAN</v>
      </c>
      <c r="AE380" t="str">
        <f>IF(COUNTIF($AF$2:$AF$926,AF380)&gt;1,"DUPLICATE","UNIQUE")</f>
        <v>UNIQUE</v>
      </c>
      <c r="AF380" t="str">
        <f>A380&amp;"|"&amp;B380&amp;"|"&amp;H380&amp;"|"&amp;I380&amp;"|"&amp;R380&amp;"|"&amp;S380&amp;"|"&amp;V380</f>
        <v>ORD-2025-10379|2025-05-22|CUST-3154|Mira Das|2|3910.61|7821.22</v>
      </c>
      <c r="AG380" t="str">
        <f>IF(COUNTIF($A$2:$A$913,A380)&gt;1,"TRUE","FALSE")</f>
        <v>FALSE</v>
      </c>
    </row>
    <row r="381" spans="1:33">
      <c r="A381" t="s">
        <v>1218</v>
      </c>
      <c r="B381" t="s">
        <v>1851</v>
      </c>
      <c r="C381" t="s">
        <v>1699</v>
      </c>
      <c r="D381">
        <f>IF(OR(B381="", C381=""), "", (C381 - B381))</f>
        <v>4</v>
      </c>
      <c r="E381" t="str">
        <f>IF(C381&lt;B381, "INVALID: Ship date before order date", "")</f>
        <v/>
      </c>
      <c r="F381" t="str">
        <f>IF(B381="", "", TEXT(B381, "mmmm"))</f>
        <v>September</v>
      </c>
      <c r="G381">
        <f>IF(B381="", "", YEAR(B381))</f>
        <v>2024</v>
      </c>
      <c r="H381" t="s">
        <v>1219</v>
      </c>
      <c r="I381" t="s">
        <v>35</v>
      </c>
      <c r="J381" t="s">
        <v>36</v>
      </c>
      <c r="K381" t="s">
        <v>53</v>
      </c>
      <c r="L381" t="s">
        <v>180</v>
      </c>
      <c r="M381" t="s">
        <v>181</v>
      </c>
      <c r="N381" t="s">
        <v>27</v>
      </c>
      <c r="O381" t="s">
        <v>28</v>
      </c>
      <c r="P381" t="s">
        <v>1220</v>
      </c>
      <c r="Q381" t="s">
        <v>58</v>
      </c>
      <c r="R381">
        <v>7</v>
      </c>
      <c r="S381" s="15">
        <v>1136.68</v>
      </c>
      <c r="T381" s="4">
        <v>0</v>
      </c>
      <c r="U381" s="3" t="str">
        <f>IF(T381&lt;0, "negative_discount", IF(AND(T381&gt;0.5, T381&lt;=1), "high_discount", ""))</f>
        <v/>
      </c>
      <c r="V381" s="11">
        <v>7956.76</v>
      </c>
      <c r="W381" s="12">
        <v>7956.76</v>
      </c>
      <c r="X381" s="11">
        <v>4799.54</v>
      </c>
      <c r="Y381" s="11">
        <v>3157.22</v>
      </c>
      <c r="Z381" s="11">
        <f>ROUND(W381-X381,2)</f>
        <v>3157.22</v>
      </c>
      <c r="AA381" s="4">
        <f>IF(W381=0,0,Z381/W381)</f>
        <v>0.39679718880549364</v>
      </c>
      <c r="AB381" t="s">
        <v>31</v>
      </c>
      <c r="AC381" t="s">
        <v>32</v>
      </c>
      <c r="AD381" t="str">
        <f>IF(AND(E381="", T381&gt;=0, T381&lt;=0.5, K381&lt;&gt;"Unknown", Q381&lt;&gt;"Unknown"), "CLEAN", _xlfn.CONCAT("WARNING: ", IF(E381&lt;&gt;"","invalid_date",""), IF(T381&lt;0,"negative_discount",""), IF(AND(T381&gt;0.5,T381&lt;=1),"high_discount",""), IF(K381="Unknown","missing_region",""), IF(Q381="Unknown","missing_ship_mode","")))</f>
        <v>CLEAN</v>
      </c>
      <c r="AE381" t="str">
        <f>IF(COUNTIF($AF$2:$AF$926,AF381)&gt;1,"DUPLICATE","UNIQUE")</f>
        <v>UNIQUE</v>
      </c>
      <c r="AF381" t="str">
        <f>A381&amp;"|"&amp;B381&amp;"|"&amp;H381&amp;"|"&amp;I381&amp;"|"&amp;R381&amp;"|"&amp;S381&amp;"|"&amp;V381</f>
        <v>ORD-2024-10380|2024-09-19|CUST-6405|Mira Das|7|1136.68|7956.76</v>
      </c>
      <c r="AG381" t="str">
        <f>IF(COUNTIF($A$2:$A$913,A381)&gt;1,"TRUE","FALSE")</f>
        <v>FALSE</v>
      </c>
    </row>
    <row r="382" spans="1:33">
      <c r="A382" t="s">
        <v>1221</v>
      </c>
      <c r="B382" t="s">
        <v>2769</v>
      </c>
      <c r="C382" t="s">
        <v>2532</v>
      </c>
      <c r="D382">
        <f>IF(OR(B382="", C382=""), "", (C382 - B382))</f>
        <v>7</v>
      </c>
      <c r="E382" t="str">
        <f>IF(C382&lt;B382, "INVALID: Ship date before order date", "")</f>
        <v/>
      </c>
      <c r="F382" t="str">
        <f>IF(B382="", "", TEXT(B382, "mmmm"))</f>
        <v>April</v>
      </c>
      <c r="G382">
        <f>IF(B382="", "", YEAR(B382))</f>
        <v>2024</v>
      </c>
      <c r="H382" t="s">
        <v>1222</v>
      </c>
      <c r="I382" t="s">
        <v>71</v>
      </c>
      <c r="J382" t="s">
        <v>23</v>
      </c>
      <c r="K382" t="s">
        <v>62</v>
      </c>
      <c r="L382" t="s">
        <v>63</v>
      </c>
      <c r="M382" t="s">
        <v>64</v>
      </c>
      <c r="N382" t="s">
        <v>40</v>
      </c>
      <c r="O382" t="s">
        <v>153</v>
      </c>
      <c r="P382" t="s">
        <v>1223</v>
      </c>
      <c r="Q382" t="s">
        <v>43</v>
      </c>
      <c r="R382">
        <v>5</v>
      </c>
      <c r="S382" s="15">
        <v>2235.85</v>
      </c>
      <c r="T382" s="4">
        <v>0.25</v>
      </c>
      <c r="U382" s="3" t="str">
        <f>IF(T382&lt;0, "negative_discount", IF(AND(T382&gt;0.5, T382&lt;=1), "high_discount", ""))</f>
        <v/>
      </c>
      <c r="V382" s="11">
        <v>8384.44</v>
      </c>
      <c r="W382" s="12">
        <v>8384.44</v>
      </c>
      <c r="X382" s="11">
        <v>4765.96</v>
      </c>
      <c r="Y382" s="11">
        <v>3618.48</v>
      </c>
      <c r="Z382" s="11">
        <f>ROUND(W382-X382,2)</f>
        <v>3618.48</v>
      </c>
      <c r="AA382" s="4">
        <f>IF(W382=0,0,Z382/W382)</f>
        <v>0.43157086221620045</v>
      </c>
      <c r="AB382" t="s">
        <v>31</v>
      </c>
      <c r="AC382" t="s">
        <v>100</v>
      </c>
      <c r="AD382" t="str">
        <f>IF(AND(E382="", T382&gt;=0, T382&lt;=0.5, K382&lt;&gt;"Unknown", Q382&lt;&gt;"Unknown"), "CLEAN", _xlfn.CONCAT("WARNING: ", IF(E382&lt;&gt;"","invalid_date",""), IF(T382&lt;0,"negative_discount",""), IF(AND(T382&gt;0.5,T382&lt;=1),"high_discount",""), IF(K382="Unknown","missing_region",""), IF(Q382="Unknown","missing_ship_mode","")))</f>
        <v>CLEAN</v>
      </c>
      <c r="AE382" t="str">
        <f>IF(COUNTIF($AF$2:$AF$926,AF382)&gt;1,"DUPLICATE","UNIQUE")</f>
        <v>UNIQUE</v>
      </c>
      <c r="AF382" t="str">
        <f>A382&amp;"|"&amp;B382&amp;"|"&amp;H382&amp;"|"&amp;I382&amp;"|"&amp;R382&amp;"|"&amp;S382&amp;"|"&amp;V382</f>
        <v>ORD-2024-10381|2024-04-07|CUST-5779|Vikram Iyer|5|2235.85|8384.44</v>
      </c>
      <c r="AG382" t="str">
        <f>IF(COUNTIF($A$2:$A$913,A382)&gt;1,"TRUE","FALSE")</f>
        <v>FALSE</v>
      </c>
    </row>
    <row r="383" spans="1:33">
      <c r="A383" t="s">
        <v>3146</v>
      </c>
      <c r="B383" t="s">
        <v>1224</v>
      </c>
      <c r="C383" t="s">
        <v>881</v>
      </c>
      <c r="D383">
        <f>IF(OR(B383="", C383=""), "", (C383 - B383))</f>
        <v>4</v>
      </c>
      <c r="E383" t="str">
        <f>IF(C383&lt;B383, "INVALID: Ship date before order date", "")</f>
        <v/>
      </c>
      <c r="F383" t="str">
        <f>IF(B383="", "", TEXT(B383, "mmmm"))</f>
        <v>September</v>
      </c>
      <c r="G383">
        <f>IF(B383="", "", YEAR(B383))</f>
        <v>2025</v>
      </c>
      <c r="H383" t="s">
        <v>1225</v>
      </c>
      <c r="I383" t="s">
        <v>52</v>
      </c>
      <c r="J383" t="s">
        <v>93</v>
      </c>
      <c r="K383" t="s">
        <v>24</v>
      </c>
      <c r="L383" t="s">
        <v>353</v>
      </c>
      <c r="M383" t="s">
        <v>354</v>
      </c>
      <c r="N383" t="s">
        <v>27</v>
      </c>
      <c r="O383" t="s">
        <v>149</v>
      </c>
      <c r="P383" t="s">
        <v>1226</v>
      </c>
      <c r="Q383" t="s">
        <v>58</v>
      </c>
      <c r="R383">
        <v>4</v>
      </c>
      <c r="S383" s="15">
        <v>4387.1499999999996</v>
      </c>
      <c r="T383" s="4">
        <v>0.05</v>
      </c>
      <c r="U383" s="3" t="str">
        <f>IF(T383&lt;0, "negative_discount", IF(AND(T383&gt;0.5, T383&lt;=1), "high_discount", ""))</f>
        <v/>
      </c>
      <c r="V383" s="11">
        <v>16671.169999999998</v>
      </c>
      <c r="W383" s="12">
        <v>16671.169999999998</v>
      </c>
      <c r="X383" s="11">
        <v>10833.19</v>
      </c>
      <c r="Y383" s="11">
        <v>5837.98</v>
      </c>
      <c r="Z383" s="11">
        <f>ROUND(W383-X383,2)</f>
        <v>5837.98</v>
      </c>
      <c r="AA383" s="4">
        <f>IF(W383=0,0,Z383/W383)</f>
        <v>0.35018418023450065</v>
      </c>
      <c r="AB383" t="s">
        <v>151</v>
      </c>
      <c r="AC383" t="s">
        <v>67</v>
      </c>
      <c r="AD383" t="str">
        <f>IF(AND(E383="", T383&gt;=0, T383&lt;=0.5, K383&lt;&gt;"Unknown", Q383&lt;&gt;"Unknown"), "CLEAN", _xlfn.CONCAT("WARNING: ", IF(E383&lt;&gt;"","invalid_date",""), IF(T383&lt;0,"negative_discount",""), IF(AND(T383&gt;0.5,T383&lt;=1),"high_discount",""), IF(K383="Unknown","missing_region",""), IF(Q383="Unknown","missing_ship_mode","")))</f>
        <v>CLEAN</v>
      </c>
      <c r="AE383" t="str">
        <f>IF(COUNTIF($AF$2:$AF$926,AF383)&gt;1,"DUPLICATE","UNIQUE")</f>
        <v>UNIQUE</v>
      </c>
      <c r="AF383" t="str">
        <f>A383&amp;"|"&amp;B383&amp;"|"&amp;H383&amp;"|"&amp;I383&amp;"|"&amp;R383&amp;"|"&amp;S383&amp;"|"&amp;V383</f>
        <v>ORD-2025-10382|2025-09-19|CUST-9943|Arjun Bose|4|4387.15|16671.17</v>
      </c>
      <c r="AG383" t="str">
        <f>IF(COUNTIF($A$2:$A$913,A383)&gt;1,"TRUE","FALSE")</f>
        <v>FALSE</v>
      </c>
    </row>
    <row r="384" spans="1:33">
      <c r="A384" t="s">
        <v>3147</v>
      </c>
      <c r="B384" t="s">
        <v>2786</v>
      </c>
      <c r="C384" t="s">
        <v>2576</v>
      </c>
      <c r="D384">
        <f>IF(OR(B384="", C384=""), "", (C384 - B384))</f>
        <v>4</v>
      </c>
      <c r="E384" t="str">
        <f>IF(C384&lt;B384, "INVALID: Ship date before order date", "")</f>
        <v/>
      </c>
      <c r="F384" t="str">
        <f>IF(B384="", "", TEXT(B384, "mmmm"))</f>
        <v>March</v>
      </c>
      <c r="G384">
        <f>IF(B384="", "", YEAR(B384))</f>
        <v>2025</v>
      </c>
      <c r="H384" t="s">
        <v>152</v>
      </c>
      <c r="I384" t="s">
        <v>52</v>
      </c>
      <c r="J384" t="s">
        <v>36</v>
      </c>
      <c r="K384" t="s">
        <v>37</v>
      </c>
      <c r="L384" t="s">
        <v>142</v>
      </c>
      <c r="M384" t="s">
        <v>143</v>
      </c>
      <c r="N384" t="s">
        <v>74</v>
      </c>
      <c r="O384" t="s">
        <v>168</v>
      </c>
      <c r="P384" t="s">
        <v>1227</v>
      </c>
      <c r="Q384" t="s">
        <v>49</v>
      </c>
      <c r="R384">
        <v>3</v>
      </c>
      <c r="S384" s="15">
        <v>4361.8500000000004</v>
      </c>
      <c r="T384" s="4">
        <v>0.2</v>
      </c>
      <c r="U384" s="3" t="str">
        <f>IF(T384&lt;0, "negative_discount", IF(AND(T384&gt;0.5, T384&lt;=1), "high_discount", ""))</f>
        <v/>
      </c>
      <c r="V384" s="11">
        <v>10468.44</v>
      </c>
      <c r="W384" s="12">
        <v>10468.44</v>
      </c>
      <c r="X384" s="11">
        <v>8399.8700000000008</v>
      </c>
      <c r="Y384" s="11">
        <v>2068.5700000000002</v>
      </c>
      <c r="Z384" s="11">
        <f>ROUND(W384-X384,2)</f>
        <v>2068.5700000000002</v>
      </c>
      <c r="AA384" s="4">
        <f>IF(W384=0,0,Z384/W384)</f>
        <v>0.19760059760575596</v>
      </c>
      <c r="AB384" t="s">
        <v>31</v>
      </c>
      <c r="AC384" t="s">
        <v>32</v>
      </c>
      <c r="AD384" t="str">
        <f>IF(AND(E384="", T384&gt;=0, T384&lt;=0.5, K384&lt;&gt;"Unknown", Q384&lt;&gt;"Unknown"), "CLEAN", _xlfn.CONCAT("WARNING: ", IF(E384&lt;&gt;"","invalid_date",""), IF(T384&lt;0,"negative_discount",""), IF(AND(T384&gt;0.5,T384&lt;=1),"high_discount",""), IF(K384="Unknown","missing_region",""), IF(Q384="Unknown","missing_ship_mode","")))</f>
        <v>CLEAN</v>
      </c>
      <c r="AE384" t="str">
        <f>IF(COUNTIF($AF$2:$AF$926,AF384)&gt;1,"DUPLICATE","UNIQUE")</f>
        <v>UNIQUE</v>
      </c>
      <c r="AF384" t="str">
        <f>A384&amp;"|"&amp;B384&amp;"|"&amp;H384&amp;"|"&amp;I384&amp;"|"&amp;R384&amp;"|"&amp;S384&amp;"|"&amp;V384</f>
        <v>ORD-2025-10383|2025-03-04|CUST-7098|Arjun Bose|3|4361.85|10468.44</v>
      </c>
      <c r="AG384" t="str">
        <f>IF(COUNTIF($A$2:$A$913,A384)&gt;1,"TRUE","FALSE")</f>
        <v>FALSE</v>
      </c>
    </row>
    <row r="385" spans="1:33">
      <c r="A385" t="s">
        <v>3148</v>
      </c>
      <c r="B385" t="s">
        <v>785</v>
      </c>
      <c r="C385" t="s">
        <v>2916</v>
      </c>
      <c r="D385">
        <f>IF(OR(B385="", C385=""), "", (C385 - B385))</f>
        <v>7</v>
      </c>
      <c r="E385" t="str">
        <f>IF(C385&lt;B385, "INVALID: Ship date before order date", "")</f>
        <v/>
      </c>
      <c r="F385" t="str">
        <f>IF(B385="", "", TEXT(B385, "mmmm"))</f>
        <v>June</v>
      </c>
      <c r="G385">
        <f>IF(B385="", "", YEAR(B385))</f>
        <v>2025</v>
      </c>
      <c r="H385" t="s">
        <v>1228</v>
      </c>
      <c r="I385" t="s">
        <v>71</v>
      </c>
      <c r="J385" t="s">
        <v>89</v>
      </c>
      <c r="K385" t="s">
        <v>37</v>
      </c>
      <c r="L385" t="s">
        <v>96</v>
      </c>
      <c r="M385" t="s">
        <v>97</v>
      </c>
      <c r="N385" t="s">
        <v>27</v>
      </c>
      <c r="O385" t="s">
        <v>47</v>
      </c>
      <c r="P385" t="s">
        <v>1229</v>
      </c>
      <c r="Q385" t="s">
        <v>49</v>
      </c>
      <c r="R385">
        <v>2</v>
      </c>
      <c r="S385" s="15">
        <v>2242.75</v>
      </c>
      <c r="T385" s="4">
        <v>0</v>
      </c>
      <c r="U385" s="3" t="str">
        <f>IF(T385&lt;0, "negative_discount", IF(AND(T385&gt;0.5, T385&lt;=1), "high_discount", ""))</f>
        <v/>
      </c>
      <c r="V385" s="11">
        <v>4485.5</v>
      </c>
      <c r="W385" s="12">
        <v>4485.5</v>
      </c>
      <c r="X385" s="11">
        <v>3131.86</v>
      </c>
      <c r="Y385" s="11">
        <v>1353.64</v>
      </c>
      <c r="Z385" s="11">
        <f>ROUND(W385-X385,2)</f>
        <v>1353.64</v>
      </c>
      <c r="AA385" s="4">
        <f>IF(W385=0,0,Z385/W385)</f>
        <v>0.30178129528480663</v>
      </c>
      <c r="AB385" t="s">
        <v>31</v>
      </c>
      <c r="AC385" t="s">
        <v>67</v>
      </c>
      <c r="AD385" t="str">
        <f>IF(AND(E385="", T385&gt;=0, T385&lt;=0.5, K385&lt;&gt;"Unknown", Q385&lt;&gt;"Unknown"), "CLEAN", _xlfn.CONCAT("WARNING: ", IF(E385&lt;&gt;"","invalid_date",""), IF(T385&lt;0,"negative_discount",""), IF(AND(T385&gt;0.5,T385&lt;=1),"high_discount",""), IF(K385="Unknown","missing_region",""), IF(Q385="Unknown","missing_ship_mode","")))</f>
        <v>CLEAN</v>
      </c>
      <c r="AE385" t="str">
        <f>IF(COUNTIF($AF$2:$AF$926,AF385)&gt;1,"DUPLICATE","UNIQUE")</f>
        <v>UNIQUE</v>
      </c>
      <c r="AF385" t="str">
        <f>A385&amp;"|"&amp;B385&amp;"|"&amp;H385&amp;"|"&amp;I385&amp;"|"&amp;R385&amp;"|"&amp;S385&amp;"|"&amp;V385</f>
        <v>ORD-2025-10384|2025-06-28|CUST-7438|Vikram Iyer|2|2242.75|4485.5</v>
      </c>
      <c r="AG385" t="str">
        <f>IF(COUNTIF($A$2:$A$913,A385)&gt;1,"TRUE","FALSE")</f>
        <v>FALSE</v>
      </c>
    </row>
    <row r="386" spans="1:33">
      <c r="A386" t="s">
        <v>1230</v>
      </c>
      <c r="B386" t="s">
        <v>644</v>
      </c>
      <c r="C386" t="s">
        <v>1231</v>
      </c>
      <c r="D386">
        <f>IF(OR(B386="", C386=""), "", (C386 - B386))</f>
        <v>5</v>
      </c>
      <c r="E386" t="str">
        <f>IF(C386&lt;B386, "INVALID: Ship date before order date", "")</f>
        <v/>
      </c>
      <c r="F386" t="str">
        <f>IF(B386="", "", TEXT(B386, "mmmm"))</f>
        <v>March</v>
      </c>
      <c r="G386">
        <f>IF(B386="", "", YEAR(B386))</f>
        <v>2024</v>
      </c>
      <c r="H386" t="s">
        <v>1232</v>
      </c>
      <c r="I386" t="s">
        <v>139</v>
      </c>
      <c r="J386" t="s">
        <v>23</v>
      </c>
      <c r="K386" t="s">
        <v>37</v>
      </c>
      <c r="L386" t="s">
        <v>226</v>
      </c>
      <c r="M386" t="s">
        <v>227</v>
      </c>
      <c r="N386" t="s">
        <v>74</v>
      </c>
      <c r="O386" t="s">
        <v>79</v>
      </c>
      <c r="P386" t="s">
        <v>1233</v>
      </c>
      <c r="Q386" t="s">
        <v>58</v>
      </c>
      <c r="R386">
        <v>2</v>
      </c>
      <c r="S386" s="15">
        <v>1881.4</v>
      </c>
      <c r="T386" s="4">
        <v>0.25</v>
      </c>
      <c r="U386" s="3" t="str">
        <f>IF(T386&lt;0, "negative_discount", IF(AND(T386&gt;0.5, T386&lt;=1), "high_discount", ""))</f>
        <v/>
      </c>
      <c r="V386" s="11">
        <v>2822.1</v>
      </c>
      <c r="W386" s="12">
        <v>2822.1</v>
      </c>
      <c r="X386" s="11">
        <v>1624.57</v>
      </c>
      <c r="Y386" s="11">
        <v>1197.53</v>
      </c>
      <c r="Z386" s="11">
        <f>ROUND(W386-X386,2)</f>
        <v>1197.53</v>
      </c>
      <c r="AA386" s="4">
        <f>IF(W386=0,0,Z386/W386)</f>
        <v>0.42434003047376068</v>
      </c>
      <c r="AB386" t="s">
        <v>31</v>
      </c>
      <c r="AC386" t="s">
        <v>100</v>
      </c>
      <c r="AD386" t="str">
        <f>IF(AND(E386="", T386&gt;=0, T386&lt;=0.5, K386&lt;&gt;"Unknown", Q386&lt;&gt;"Unknown"), "CLEAN", _xlfn.CONCAT("WARNING: ", IF(E386&lt;&gt;"","invalid_date",""), IF(T386&lt;0,"negative_discount",""), IF(AND(T386&gt;0.5,T386&lt;=1),"high_discount",""), IF(K386="Unknown","missing_region",""), IF(Q386="Unknown","missing_ship_mode","")))</f>
        <v>CLEAN</v>
      </c>
      <c r="AE386" t="str">
        <f>IF(COUNTIF($AF$2:$AF$926,AF386)&gt;1,"DUPLICATE","UNIQUE")</f>
        <v>UNIQUE</v>
      </c>
      <c r="AF386" t="str">
        <f>A386&amp;"|"&amp;B386&amp;"|"&amp;H386&amp;"|"&amp;I386&amp;"|"&amp;R386&amp;"|"&amp;S386&amp;"|"&amp;V386</f>
        <v>ORD-2024-10385|2024-03-15|CUST-8432|Rohan Mehta|2|1881.4|2822.1</v>
      </c>
      <c r="AG386" t="str">
        <f>IF(COUNTIF($A$2:$A$913,A386)&gt;1,"TRUE","FALSE")</f>
        <v>FALSE</v>
      </c>
    </row>
    <row r="387" spans="1:33">
      <c r="A387" t="s">
        <v>3149</v>
      </c>
      <c r="B387" t="s">
        <v>656</v>
      </c>
      <c r="C387" t="s">
        <v>444</v>
      </c>
      <c r="D387">
        <f>IF(OR(B387="", C387=""), "", (C387 - B387))</f>
        <v>6</v>
      </c>
      <c r="E387" t="str">
        <f>IF(C387&lt;B387, "INVALID: Ship date before order date", "")</f>
        <v/>
      </c>
      <c r="F387" t="str">
        <f>IF(B387="", "", TEXT(B387, "mmmm"))</f>
        <v>June</v>
      </c>
      <c r="G387">
        <f>IF(B387="", "", YEAR(B387))</f>
        <v>2025</v>
      </c>
      <c r="H387" t="s">
        <v>1234</v>
      </c>
      <c r="I387" t="s">
        <v>52</v>
      </c>
      <c r="J387" t="s">
        <v>23</v>
      </c>
      <c r="K387" t="s">
        <v>24</v>
      </c>
      <c r="L387" t="s">
        <v>234</v>
      </c>
      <c r="M387" t="s">
        <v>235</v>
      </c>
      <c r="N387" t="s">
        <v>27</v>
      </c>
      <c r="O387" t="s">
        <v>90</v>
      </c>
      <c r="P387" t="s">
        <v>1235</v>
      </c>
      <c r="Q387" t="s">
        <v>58</v>
      </c>
      <c r="R387">
        <v>6</v>
      </c>
      <c r="S387" s="15">
        <v>365.76</v>
      </c>
      <c r="T387" s="4">
        <v>0.1</v>
      </c>
      <c r="U387" s="3" t="str">
        <f>IF(T387&lt;0, "negative_discount", IF(AND(T387&gt;0.5, T387&lt;=1), "high_discount", ""))</f>
        <v/>
      </c>
      <c r="V387" s="11">
        <v>1975.1</v>
      </c>
      <c r="W387" s="12">
        <v>1975.1</v>
      </c>
      <c r="X387" s="11">
        <v>1115.3499999999999</v>
      </c>
      <c r="Y387" s="11">
        <v>859.75</v>
      </c>
      <c r="Z387" s="11">
        <f>ROUND(W387-X387,2)</f>
        <v>859.75</v>
      </c>
      <c r="AA387" s="4">
        <f>IF(W387=0,0,Z387/W387)</f>
        <v>0.43529441547263431</v>
      </c>
      <c r="AB387" t="s">
        <v>31</v>
      </c>
      <c r="AC387" t="s">
        <v>32</v>
      </c>
      <c r="AD387" t="str">
        <f>IF(AND(E387="", T387&gt;=0, T387&lt;=0.5, K387&lt;&gt;"Unknown", Q387&lt;&gt;"Unknown"), "CLEAN", _xlfn.CONCAT("WARNING: ", IF(E387&lt;&gt;"","invalid_date",""), IF(T387&lt;0,"negative_discount",""), IF(AND(T387&gt;0.5,T387&lt;=1),"high_discount",""), IF(K387="Unknown","missing_region",""), IF(Q387="Unknown","missing_ship_mode","")))</f>
        <v>CLEAN</v>
      </c>
      <c r="AE387" t="str">
        <f>IF(COUNTIF($AF$2:$AF$926,AF387)&gt;1,"DUPLICATE","UNIQUE")</f>
        <v>UNIQUE</v>
      </c>
      <c r="AF387" t="str">
        <f>A387&amp;"|"&amp;B387&amp;"|"&amp;H387&amp;"|"&amp;I387&amp;"|"&amp;R387&amp;"|"&amp;S387&amp;"|"&amp;V387</f>
        <v>ORD-2025-10386|2025-06-24|CUST-2834|Arjun Bose|6|365.76|1975.1</v>
      </c>
      <c r="AG387" t="str">
        <f>IF(COUNTIF($A$2:$A$913,A387)&gt;1,"TRUE","FALSE")</f>
        <v>FALSE</v>
      </c>
    </row>
    <row r="388" spans="1:33">
      <c r="A388" t="s">
        <v>3150</v>
      </c>
      <c r="B388" t="s">
        <v>1582</v>
      </c>
      <c r="C388" t="s">
        <v>1785</v>
      </c>
      <c r="D388">
        <f>IF(OR(B388="", C388=""), "", (C388 - B388))</f>
        <v>2</v>
      </c>
      <c r="E388" t="str">
        <f>IF(C388&lt;B388, "INVALID: Ship date before order date", "")</f>
        <v/>
      </c>
      <c r="F388" t="str">
        <f>IF(B388="", "", TEXT(B388, "mmmm"))</f>
        <v>February</v>
      </c>
      <c r="G388">
        <f>IF(B388="", "", YEAR(B388))</f>
        <v>2025</v>
      </c>
      <c r="H388" t="s">
        <v>1236</v>
      </c>
      <c r="I388" t="s">
        <v>131</v>
      </c>
      <c r="J388" t="s">
        <v>23</v>
      </c>
      <c r="K388" t="s">
        <v>62</v>
      </c>
      <c r="L388" t="s">
        <v>63</v>
      </c>
      <c r="M388" t="s">
        <v>64</v>
      </c>
      <c r="N388" t="s">
        <v>40</v>
      </c>
      <c r="O388" t="s">
        <v>56</v>
      </c>
      <c r="P388" t="s">
        <v>1237</v>
      </c>
      <c r="Q388" t="s">
        <v>30</v>
      </c>
      <c r="R388">
        <v>8</v>
      </c>
      <c r="S388" s="15">
        <v>2786.66</v>
      </c>
      <c r="T388" s="4">
        <v>0.1</v>
      </c>
      <c r="U388" s="3" t="str">
        <f>IF(T388&lt;0, "negative_discount", IF(AND(T388&gt;0.5, T388&lt;=1), "high_discount", ""))</f>
        <v/>
      </c>
      <c r="V388" s="11">
        <v>20063.95</v>
      </c>
      <c r="W388" s="12">
        <v>20063.95</v>
      </c>
      <c r="X388" s="11">
        <v>14363.38</v>
      </c>
      <c r="Y388" s="11">
        <v>5700.57</v>
      </c>
      <c r="Z388" s="11">
        <f>ROUND(W388-X388,2)</f>
        <v>5700.57</v>
      </c>
      <c r="AA388" s="4">
        <f>IF(W388=0,0,Z388/W388)</f>
        <v>0.28412002621617377</v>
      </c>
      <c r="AB388" t="s">
        <v>31</v>
      </c>
      <c r="AC388" t="s">
        <v>32</v>
      </c>
      <c r="AD388" t="str">
        <f>IF(AND(E388="", T388&gt;=0, T388&lt;=0.5, K388&lt;&gt;"Unknown", Q388&lt;&gt;"Unknown"), "CLEAN", _xlfn.CONCAT("WARNING: ", IF(E388&lt;&gt;"","invalid_date",""), IF(T388&lt;0,"negative_discount",""), IF(AND(T388&gt;0.5,T388&lt;=1),"high_discount",""), IF(K388="Unknown","missing_region",""), IF(Q388="Unknown","missing_ship_mode","")))</f>
        <v>CLEAN</v>
      </c>
      <c r="AE388" t="str">
        <f>IF(COUNTIF($AF$2:$AF$926,AF388)&gt;1,"DUPLICATE","UNIQUE")</f>
        <v>UNIQUE</v>
      </c>
      <c r="AF388" t="str">
        <f>A388&amp;"|"&amp;B388&amp;"|"&amp;H388&amp;"|"&amp;I388&amp;"|"&amp;R388&amp;"|"&amp;S388&amp;"|"&amp;V388</f>
        <v>ORD-2025-10387|2025-02-12|CUST-4222|Sneha Kapoor|8|2786.66|20063.95</v>
      </c>
      <c r="AG388" t="str">
        <f>IF(COUNTIF($A$2:$A$913,A388)&gt;1,"TRUE","FALSE")</f>
        <v>FALSE</v>
      </c>
    </row>
    <row r="389" spans="1:33">
      <c r="A389" t="s">
        <v>3151</v>
      </c>
      <c r="B389" t="s">
        <v>2415</v>
      </c>
      <c r="C389" t="s">
        <v>2683</v>
      </c>
      <c r="D389">
        <f>IF(OR(B389="", C389=""), "", (C389 - B389))</f>
        <v>-56</v>
      </c>
      <c r="E389" t="str">
        <f>IF(C389&lt;B389, "INVALID: Ship date before order date", "")</f>
        <v>INVALID: Ship date before order date</v>
      </c>
      <c r="F389" t="str">
        <f>IF(B389="", "", TEXT(B389, "mmmm"))</f>
        <v>October</v>
      </c>
      <c r="G389">
        <f>IF(B389="", "", YEAR(B389))</f>
        <v>2025</v>
      </c>
      <c r="H389" t="s">
        <v>1238</v>
      </c>
      <c r="I389" t="s">
        <v>112</v>
      </c>
      <c r="J389" t="s">
        <v>36</v>
      </c>
      <c r="K389" t="s">
        <v>62</v>
      </c>
      <c r="L389" t="s">
        <v>72</v>
      </c>
      <c r="M389" t="s">
        <v>73</v>
      </c>
      <c r="N389" t="s">
        <v>40</v>
      </c>
      <c r="O389" t="s">
        <v>65</v>
      </c>
      <c r="P389" t="s">
        <v>1239</v>
      </c>
      <c r="Q389" t="s">
        <v>58</v>
      </c>
      <c r="R389">
        <v>5</v>
      </c>
      <c r="S389" s="15">
        <v>352.86</v>
      </c>
      <c r="T389" s="4">
        <v>0</v>
      </c>
      <c r="U389" s="3" t="str">
        <f>IF(T389&lt;0, "negative_discount", IF(AND(T389&gt;0.5, T389&lt;=1), "high_discount", ""))</f>
        <v/>
      </c>
      <c r="V389" s="11">
        <v>1764.3</v>
      </c>
      <c r="W389" s="12">
        <v>1764.3</v>
      </c>
      <c r="X389" s="11">
        <v>1332.49</v>
      </c>
      <c r="Y389" s="11">
        <v>431.81</v>
      </c>
      <c r="Z389" s="11">
        <f>ROUND(W389-X389,2)</f>
        <v>431.81</v>
      </c>
      <c r="AA389" s="4">
        <f>IF(W389=0,0,Z389/W389)</f>
        <v>0.24474862551720231</v>
      </c>
      <c r="AB389" t="s">
        <v>109</v>
      </c>
      <c r="AC389" t="s">
        <v>67</v>
      </c>
      <c r="AD389" t="str">
        <f>IF(AND(E389="", T389&gt;=0, T389&lt;=0.5, K389&lt;&gt;"Unknown", Q389&lt;&gt;"Unknown"), "CLEAN", _xlfn.CONCAT("WARNING: ", IF(E389&lt;&gt;"","invalid_date",""), IF(T389&lt;0,"negative_discount",""), IF(AND(T389&gt;0.5,T389&lt;=1),"high_discount",""), IF(K389="Unknown","missing_region",""), IF(Q389="Unknown","missing_ship_mode","")))</f>
        <v>WARNING: invalid_date</v>
      </c>
      <c r="AE389" t="str">
        <f>IF(COUNTIF($AF$2:$AF$926,AF389)&gt;1,"DUPLICATE","UNIQUE")</f>
        <v>UNIQUE</v>
      </c>
      <c r="AF389" t="str">
        <f>A389&amp;"|"&amp;B389&amp;"|"&amp;H389&amp;"|"&amp;I389&amp;"|"&amp;R389&amp;"|"&amp;S389&amp;"|"&amp;V389</f>
        <v>ORD-2025-10388|2025-10-08|CUST-1053|Priya Menon|5|352.86|1764.3</v>
      </c>
      <c r="AG389" t="str">
        <f>IF(COUNTIF($A$2:$A$913,A389)&gt;1,"TRUE","FALSE")</f>
        <v>FALSE</v>
      </c>
    </row>
    <row r="390" spans="1:33">
      <c r="A390" t="s">
        <v>1240</v>
      </c>
      <c r="B390" t="s">
        <v>1241</v>
      </c>
      <c r="C390" t="s">
        <v>2067</v>
      </c>
      <c r="D390">
        <f>IF(OR(B390="", C390=""), "", (C390 - B390))</f>
        <v>5</v>
      </c>
      <c r="E390" t="str">
        <f>IF(C390&lt;B390, "INVALID: Ship date before order date", "")</f>
        <v/>
      </c>
      <c r="F390" t="str">
        <f>IF(B390="", "", TEXT(B390, "mmmm"))</f>
        <v>May</v>
      </c>
      <c r="G390">
        <f>IF(B390="", "", YEAR(B390))</f>
        <v>2024</v>
      </c>
      <c r="H390" t="s">
        <v>1242</v>
      </c>
      <c r="I390" t="s">
        <v>46</v>
      </c>
      <c r="J390" t="s">
        <v>36</v>
      </c>
      <c r="K390" t="s">
        <v>62</v>
      </c>
      <c r="L390" t="s">
        <v>176</v>
      </c>
      <c r="M390" t="s">
        <v>177</v>
      </c>
      <c r="N390" t="s">
        <v>40</v>
      </c>
      <c r="O390" t="s">
        <v>65</v>
      </c>
      <c r="P390" t="s">
        <v>1243</v>
      </c>
      <c r="Q390" t="s">
        <v>58</v>
      </c>
      <c r="R390">
        <v>3</v>
      </c>
      <c r="S390" s="15">
        <v>3128.59</v>
      </c>
      <c r="T390" s="4">
        <v>0</v>
      </c>
      <c r="U390" s="3" t="str">
        <f>IF(T390&lt;0, "negative_discount", IF(AND(T390&gt;0.5, T390&lt;=1), "high_discount", ""))</f>
        <v/>
      </c>
      <c r="V390" s="11">
        <v>9385.77</v>
      </c>
      <c r="W390" s="12">
        <v>9385.77</v>
      </c>
      <c r="X390" s="11">
        <v>6872.44</v>
      </c>
      <c r="Y390" s="11">
        <v>2783.66</v>
      </c>
      <c r="Z390" s="11">
        <f>ROUND(W390-X390,2)</f>
        <v>2513.33</v>
      </c>
      <c r="AA390" s="4">
        <f>IF(W390=0,0,Z390/W390)</f>
        <v>0.2677809066277993</v>
      </c>
      <c r="AB390" t="s">
        <v>31</v>
      </c>
      <c r="AC390" t="s">
        <v>32</v>
      </c>
      <c r="AD390" t="str">
        <f>IF(AND(E390="", T390&gt;=0, T390&lt;=0.5, K390&lt;&gt;"Unknown", Q390&lt;&gt;"Unknown"), "CLEAN", _xlfn.CONCAT("WARNING: ", IF(E390&lt;&gt;"","invalid_date",""), IF(T390&lt;0,"negative_discount",""), IF(AND(T390&gt;0.5,T390&lt;=1),"high_discount",""), IF(K390="Unknown","missing_region",""), IF(Q390="Unknown","missing_ship_mode","")))</f>
        <v>CLEAN</v>
      </c>
      <c r="AE390" t="str">
        <f>IF(COUNTIF($AF$2:$AF$926,AF390)&gt;1,"DUPLICATE","UNIQUE")</f>
        <v>UNIQUE</v>
      </c>
      <c r="AF390" t="str">
        <f>A390&amp;"|"&amp;B390&amp;"|"&amp;H390&amp;"|"&amp;I390&amp;"|"&amp;R390&amp;"|"&amp;S390&amp;"|"&amp;V390</f>
        <v>ORD-2024-10389|2024-05-13|CUST-1457|Isha Nair|3|3128.59|9385.77</v>
      </c>
      <c r="AG390" t="str">
        <f>IF(COUNTIF($A$2:$A$913,A390)&gt;1,"TRUE","FALSE")</f>
        <v>FALSE</v>
      </c>
    </row>
    <row r="391" spans="1:33">
      <c r="A391" t="s">
        <v>1244</v>
      </c>
      <c r="B391" t="s">
        <v>2765</v>
      </c>
      <c r="C391" t="s">
        <v>2856</v>
      </c>
      <c r="D391">
        <f>IF(OR(B391="", C391=""), "", (C391 - B391))</f>
        <v>8</v>
      </c>
      <c r="E391" t="str">
        <f>IF(C391&lt;B391, "INVALID: Ship date before order date", "")</f>
        <v/>
      </c>
      <c r="F391" t="str">
        <f>IF(B391="", "", TEXT(B391, "mmmm"))</f>
        <v>April</v>
      </c>
      <c r="G391">
        <f>IF(B391="", "", YEAR(B391))</f>
        <v>2024</v>
      </c>
      <c r="H391" t="s">
        <v>1245</v>
      </c>
      <c r="I391" t="s">
        <v>158</v>
      </c>
      <c r="J391" t="s">
        <v>89</v>
      </c>
      <c r="K391" t="s">
        <v>62</v>
      </c>
      <c r="L391" t="s">
        <v>176</v>
      </c>
      <c r="M391" t="s">
        <v>177</v>
      </c>
      <c r="N391" t="s">
        <v>74</v>
      </c>
      <c r="O391" t="s">
        <v>272</v>
      </c>
      <c r="P391" t="s">
        <v>1246</v>
      </c>
      <c r="Q391" t="s">
        <v>30</v>
      </c>
      <c r="R391">
        <v>5</v>
      </c>
      <c r="S391" s="15">
        <v>1937.54</v>
      </c>
      <c r="T391" s="4">
        <v>0.2</v>
      </c>
      <c r="U391" s="3" t="str">
        <f>IF(T391&lt;0, "negative_discount", IF(AND(T391&gt;0.5, T391&lt;=1), "high_discount", ""))</f>
        <v/>
      </c>
      <c r="V391" s="11">
        <v>7750.16</v>
      </c>
      <c r="W391" s="12">
        <v>7750.16</v>
      </c>
      <c r="X391" s="11">
        <v>5434.3</v>
      </c>
      <c r="Y391" s="11">
        <v>2315.86</v>
      </c>
      <c r="Z391" s="11">
        <f>ROUND(W391-X391,2)</f>
        <v>2315.86</v>
      </c>
      <c r="AA391" s="4">
        <f>IF(W391=0,0,Z391/W391)</f>
        <v>0.29881447608823564</v>
      </c>
      <c r="AB391" t="s">
        <v>109</v>
      </c>
      <c r="AC391" t="s">
        <v>67</v>
      </c>
      <c r="AD391" t="str">
        <f>IF(AND(E391="", T391&gt;=0, T391&lt;=0.5, K391&lt;&gt;"Unknown", Q391&lt;&gt;"Unknown"), "CLEAN", _xlfn.CONCAT("WARNING: ", IF(E391&lt;&gt;"","invalid_date",""), IF(T391&lt;0,"negative_discount",""), IF(AND(T391&gt;0.5,T391&lt;=1),"high_discount",""), IF(K391="Unknown","missing_region",""), IF(Q391="Unknown","missing_ship_mode","")))</f>
        <v>CLEAN</v>
      </c>
      <c r="AE391" t="str">
        <f>IF(COUNTIF($AF$2:$AF$926,AF391)&gt;1,"DUPLICATE","UNIQUE")</f>
        <v>UNIQUE</v>
      </c>
      <c r="AF391" t="str">
        <f>A391&amp;"|"&amp;B391&amp;"|"&amp;H391&amp;"|"&amp;I391&amp;"|"&amp;R391&amp;"|"&amp;S391&amp;"|"&amp;V391</f>
        <v>ORD-2024-10390|2024-04-05|CUST-3930|Diya Patel|5|1937.54|7750.16</v>
      </c>
      <c r="AG391" t="str">
        <f>IF(COUNTIF($A$2:$A$913,A391)&gt;1,"TRUE","FALSE")</f>
        <v>FALSE</v>
      </c>
    </row>
    <row r="392" spans="1:33">
      <c r="A392" t="s">
        <v>1247</v>
      </c>
      <c r="B392" t="s">
        <v>2787</v>
      </c>
      <c r="C392" t="s">
        <v>2903</v>
      </c>
      <c r="D392">
        <f>IF(OR(B392="", C392=""), "", (C392 - B392))</f>
        <v>5</v>
      </c>
      <c r="E392" t="str">
        <f>IF(C392&lt;B392, "INVALID: Ship date before order date", "")</f>
        <v/>
      </c>
      <c r="F392" t="str">
        <f>IF(B392="", "", TEXT(B392, "mmmm"))</f>
        <v>November</v>
      </c>
      <c r="G392">
        <f>IF(B392="", "", YEAR(B392))</f>
        <v>2024</v>
      </c>
      <c r="H392" t="s">
        <v>1248</v>
      </c>
      <c r="I392" t="s">
        <v>46</v>
      </c>
      <c r="J392" t="s">
        <v>23</v>
      </c>
      <c r="K392" t="s">
        <v>62</v>
      </c>
      <c r="L392" t="s">
        <v>176</v>
      </c>
      <c r="M392" t="s">
        <v>177</v>
      </c>
      <c r="N392" t="s">
        <v>40</v>
      </c>
      <c r="O392" t="s">
        <v>56</v>
      </c>
      <c r="P392" t="s">
        <v>1249</v>
      </c>
      <c r="Q392" t="s">
        <v>58</v>
      </c>
      <c r="R392">
        <v>4</v>
      </c>
      <c r="S392" s="15">
        <v>1917.26</v>
      </c>
      <c r="T392" s="4">
        <v>0.2</v>
      </c>
      <c r="U392" s="3" t="str">
        <f>IF(T392&lt;0, "negative_discount", IF(AND(T392&gt;0.5, T392&lt;=1), "high_discount", ""))</f>
        <v/>
      </c>
      <c r="V392" s="11">
        <v>6135.23</v>
      </c>
      <c r="W392" s="12">
        <v>6135.23</v>
      </c>
      <c r="X392" s="11">
        <v>3439.79</v>
      </c>
      <c r="Y392" s="11">
        <v>2695.44</v>
      </c>
      <c r="Z392" s="11">
        <f>ROUND(W392-X392,2)</f>
        <v>2695.44</v>
      </c>
      <c r="AA392" s="4">
        <f>IF(W392=0,0,Z392/W392)</f>
        <v>0.43933805252614822</v>
      </c>
      <c r="AB392" t="s">
        <v>31</v>
      </c>
      <c r="AC392" t="s">
        <v>32</v>
      </c>
      <c r="AD392" t="str">
        <f>IF(AND(E392="", T392&gt;=0, T392&lt;=0.5, K392&lt;&gt;"Unknown", Q392&lt;&gt;"Unknown"), "CLEAN", _xlfn.CONCAT("WARNING: ", IF(E392&lt;&gt;"","invalid_date",""), IF(T392&lt;0,"negative_discount",""), IF(AND(T392&gt;0.5,T392&lt;=1),"high_discount",""), IF(K392="Unknown","missing_region",""), IF(Q392="Unknown","missing_ship_mode","")))</f>
        <v>CLEAN</v>
      </c>
      <c r="AE392" t="str">
        <f>IF(COUNTIF($AF$2:$AF$926,AF392)&gt;1,"DUPLICATE","UNIQUE")</f>
        <v>UNIQUE</v>
      </c>
      <c r="AF392" t="str">
        <f>A392&amp;"|"&amp;B392&amp;"|"&amp;H392&amp;"|"&amp;I392&amp;"|"&amp;R392&amp;"|"&amp;S392&amp;"|"&amp;V392</f>
        <v>ORD-2024-10391|2024-11-06|CUST-7853|Isha Nair|4|1917.26|6135.23</v>
      </c>
      <c r="AG392" t="str">
        <f>IF(COUNTIF($A$2:$A$913,A392)&gt;1,"TRUE","FALSE")</f>
        <v>FALSE</v>
      </c>
    </row>
    <row r="393" spans="1:33">
      <c r="A393" t="s">
        <v>3152</v>
      </c>
      <c r="B393" t="s">
        <v>1785</v>
      </c>
      <c r="C393" t="s">
        <v>1785</v>
      </c>
      <c r="D393">
        <f>IF(OR(B393="", C393=""), "", (C393 - B393))</f>
        <v>0</v>
      </c>
      <c r="E393" t="str">
        <f>IF(C393&lt;B393, "INVALID: Ship date before order date", "")</f>
        <v/>
      </c>
      <c r="F393" t="str">
        <f>IF(B393="", "", TEXT(B393, "mmmm"))</f>
        <v>February</v>
      </c>
      <c r="G393">
        <f>IF(B393="", "", YEAR(B393))</f>
        <v>2025</v>
      </c>
      <c r="H393" t="s">
        <v>1250</v>
      </c>
      <c r="I393" t="s">
        <v>158</v>
      </c>
      <c r="J393" t="s">
        <v>23</v>
      </c>
      <c r="K393" t="s">
        <v>53</v>
      </c>
      <c r="L393" t="s">
        <v>171</v>
      </c>
      <c r="M393" t="s">
        <v>172</v>
      </c>
      <c r="N393" t="s">
        <v>27</v>
      </c>
      <c r="O393" t="s">
        <v>122</v>
      </c>
      <c r="P393" t="s">
        <v>1251</v>
      </c>
      <c r="Q393" t="s">
        <v>49</v>
      </c>
      <c r="R393">
        <v>1</v>
      </c>
      <c r="S393" s="15">
        <v>714.43</v>
      </c>
      <c r="T393" s="4">
        <v>0</v>
      </c>
      <c r="U393" s="3" t="str">
        <f>IF(T393&lt;0, "negative_discount", IF(AND(T393&gt;0.5, T393&lt;=1), "high_discount", ""))</f>
        <v/>
      </c>
      <c r="V393" s="11">
        <v>714.43</v>
      </c>
      <c r="W393" s="12">
        <v>714.43</v>
      </c>
      <c r="X393" s="11">
        <v>565.44000000000005</v>
      </c>
      <c r="Y393" s="11">
        <v>148.99</v>
      </c>
      <c r="Z393" s="11">
        <f>ROUND(W393-X393,2)</f>
        <v>148.99</v>
      </c>
      <c r="AA393" s="4">
        <f>IF(W393=0,0,Z393/W393)</f>
        <v>0.20854387413742426</v>
      </c>
      <c r="AB393" t="s">
        <v>31</v>
      </c>
      <c r="AC393" t="s">
        <v>32</v>
      </c>
      <c r="AD393" t="str">
        <f>IF(AND(E393="", T393&gt;=0, T393&lt;=0.5, K393&lt;&gt;"Unknown", Q393&lt;&gt;"Unknown"), "CLEAN", _xlfn.CONCAT("WARNING: ", IF(E393&lt;&gt;"","invalid_date",""), IF(T393&lt;0,"negative_discount",""), IF(AND(T393&gt;0.5,T393&lt;=1),"high_discount",""), IF(K393="Unknown","missing_region",""), IF(Q393="Unknown","missing_ship_mode","")))</f>
        <v>CLEAN</v>
      </c>
      <c r="AE393" t="str">
        <f>IF(COUNTIF($AF$2:$AF$926,AF393)&gt;1,"DUPLICATE","UNIQUE")</f>
        <v>UNIQUE</v>
      </c>
      <c r="AF393" t="str">
        <f>A393&amp;"|"&amp;B393&amp;"|"&amp;H393&amp;"|"&amp;I393&amp;"|"&amp;R393&amp;"|"&amp;S393&amp;"|"&amp;V393</f>
        <v>ORD-2025-10392|2025-02-14|CUST-2267|Diya Patel|1|714.43|714.43</v>
      </c>
      <c r="AG393" t="str">
        <f>IF(COUNTIF($A$2:$A$913,A393)&gt;1,"TRUE","FALSE")</f>
        <v>FALSE</v>
      </c>
    </row>
    <row r="394" spans="1:33">
      <c r="A394" t="s">
        <v>1252</v>
      </c>
      <c r="B394" t="s">
        <v>2788</v>
      </c>
      <c r="C394" t="s">
        <v>1842</v>
      </c>
      <c r="D394">
        <f>IF(OR(B394="", C394=""), "", (C394 - B394))</f>
        <v>3</v>
      </c>
      <c r="E394" t="str">
        <f>IF(C394&lt;B394, "INVALID: Ship date before order date", "")</f>
        <v/>
      </c>
      <c r="F394" t="str">
        <f>IF(B394="", "", TEXT(B394, "mmmm"))</f>
        <v>February</v>
      </c>
      <c r="G394">
        <f>IF(B394="", "", YEAR(B394))</f>
        <v>2024</v>
      </c>
      <c r="H394" t="s">
        <v>1253</v>
      </c>
      <c r="I394" t="s">
        <v>88</v>
      </c>
      <c r="J394" t="s">
        <v>36</v>
      </c>
      <c r="K394" t="s">
        <v>53</v>
      </c>
      <c r="L394" t="s">
        <v>180</v>
      </c>
      <c r="M394" t="s">
        <v>181</v>
      </c>
      <c r="N394" t="s">
        <v>40</v>
      </c>
      <c r="O394" t="s">
        <v>56</v>
      </c>
      <c r="P394" t="s">
        <v>1254</v>
      </c>
      <c r="Q394" t="s">
        <v>43</v>
      </c>
      <c r="R394">
        <v>9</v>
      </c>
      <c r="S394" s="15">
        <v>4053.01</v>
      </c>
      <c r="T394" s="4">
        <v>0</v>
      </c>
      <c r="U394" s="3" t="str">
        <f>IF(T394&lt;0, "negative_discount", IF(AND(T394&gt;0.5, T394&lt;=1), "high_discount", ""))</f>
        <v/>
      </c>
      <c r="V394" s="11">
        <v>36477.089999999997</v>
      </c>
      <c r="W394" s="12">
        <v>36477.089999999997</v>
      </c>
      <c r="X394" s="11">
        <v>24525.48</v>
      </c>
      <c r="Y394" s="11">
        <v>11951.61</v>
      </c>
      <c r="Z394" s="11">
        <f>ROUND(W394-X394,2)</f>
        <v>11951.61</v>
      </c>
      <c r="AA394" s="4">
        <f>IF(W394=0,0,Z394/W394)</f>
        <v>0.32764702447481425</v>
      </c>
      <c r="AB394" t="s">
        <v>31</v>
      </c>
      <c r="AC394" t="s">
        <v>32</v>
      </c>
      <c r="AD394" t="str">
        <f>IF(AND(E394="", T394&gt;=0, T394&lt;=0.5, K394&lt;&gt;"Unknown", Q394&lt;&gt;"Unknown"), "CLEAN", _xlfn.CONCAT("WARNING: ", IF(E394&lt;&gt;"","invalid_date",""), IF(T394&lt;0,"negative_discount",""), IF(AND(T394&gt;0.5,T394&lt;=1),"high_discount",""), IF(K394="Unknown","missing_region",""), IF(Q394="Unknown","missing_ship_mode","")))</f>
        <v>CLEAN</v>
      </c>
      <c r="AE394" t="str">
        <f>IF(COUNTIF($AF$2:$AF$926,AF394)&gt;1,"DUPLICATE","UNIQUE")</f>
        <v>UNIQUE</v>
      </c>
      <c r="AF394" t="str">
        <f>A394&amp;"|"&amp;B394&amp;"|"&amp;H394&amp;"|"&amp;I394&amp;"|"&amp;R394&amp;"|"&amp;S394&amp;"|"&amp;V394</f>
        <v>ORD-2024-10393|2024-02-19|CUST-6866|Aditi Sen|9|4053.01|36477.09</v>
      </c>
      <c r="AG394" t="str">
        <f>IF(COUNTIF($A$2:$A$913,A394)&gt;1,"TRUE","FALSE")</f>
        <v>FALSE</v>
      </c>
    </row>
    <row r="395" spans="1:33">
      <c r="A395" t="s">
        <v>1255</v>
      </c>
      <c r="B395" t="s">
        <v>1256</v>
      </c>
      <c r="C395" t="s">
        <v>1318</v>
      </c>
      <c r="D395">
        <f>IF(OR(B395="", C395=""), "", (C395 - B395))</f>
        <v>6</v>
      </c>
      <c r="E395" t="str">
        <f>IF(C395&lt;B395, "INVALID: Ship date before order date", "")</f>
        <v/>
      </c>
      <c r="F395" t="str">
        <f>IF(B395="", "", TEXT(B395, "mmmm"))</f>
        <v>August</v>
      </c>
      <c r="G395">
        <f>IF(B395="", "", YEAR(B395))</f>
        <v>2024</v>
      </c>
      <c r="H395" t="s">
        <v>1257</v>
      </c>
      <c r="I395" t="s">
        <v>35</v>
      </c>
      <c r="J395" t="s">
        <v>89</v>
      </c>
      <c r="K395" t="s">
        <v>24</v>
      </c>
      <c r="L395" t="s">
        <v>134</v>
      </c>
      <c r="M395" t="s">
        <v>135</v>
      </c>
      <c r="N395" t="s">
        <v>27</v>
      </c>
      <c r="O395" t="s">
        <v>90</v>
      </c>
      <c r="P395" t="s">
        <v>1258</v>
      </c>
      <c r="Q395" t="s">
        <v>43</v>
      </c>
      <c r="R395">
        <v>2</v>
      </c>
      <c r="S395" s="15">
        <v>1936.91</v>
      </c>
      <c r="T395" s="4">
        <v>0.05</v>
      </c>
      <c r="U395" s="3" t="str">
        <f>IF(T395&lt;0, "negative_discount", IF(AND(T395&gt;0.5, T395&lt;=1), "high_discount", ""))</f>
        <v/>
      </c>
      <c r="V395" s="11">
        <v>3680.13</v>
      </c>
      <c r="W395" s="12">
        <v>3680.13</v>
      </c>
      <c r="X395" s="11">
        <v>2967.46</v>
      </c>
      <c r="Y395" s="11">
        <v>712.67</v>
      </c>
      <c r="Z395" s="11">
        <f>ROUND(W395-X395,2)</f>
        <v>712.67</v>
      </c>
      <c r="AA395" s="4">
        <f>IF(W395=0,0,Z395/W395)</f>
        <v>0.19365348506710359</v>
      </c>
      <c r="AB395" t="s">
        <v>31</v>
      </c>
      <c r="AC395" t="s">
        <v>32</v>
      </c>
      <c r="AD395" t="str">
        <f>IF(AND(E395="", T395&gt;=0, T395&lt;=0.5, K395&lt;&gt;"Unknown", Q395&lt;&gt;"Unknown"), "CLEAN", _xlfn.CONCAT("WARNING: ", IF(E395&lt;&gt;"","invalid_date",""), IF(T395&lt;0,"negative_discount",""), IF(AND(T395&gt;0.5,T395&lt;=1),"high_discount",""), IF(K395="Unknown","missing_region",""), IF(Q395="Unknown","missing_ship_mode","")))</f>
        <v>CLEAN</v>
      </c>
      <c r="AE395" t="str">
        <f>IF(COUNTIF($AF$2:$AF$926,AF395)&gt;1,"DUPLICATE","UNIQUE")</f>
        <v>UNIQUE</v>
      </c>
      <c r="AF395" t="str">
        <f>A395&amp;"|"&amp;B395&amp;"|"&amp;H395&amp;"|"&amp;I395&amp;"|"&amp;R395&amp;"|"&amp;S395&amp;"|"&amp;V395</f>
        <v>ORD-2024-10394|2024-08-23|CUST-3160|Mira Das|2|1936.91|3680.13</v>
      </c>
      <c r="AG395" t="str">
        <f>IF(COUNTIF($A$2:$A$913,A395)&gt;1,"TRUE","FALSE")</f>
        <v>FALSE</v>
      </c>
    </row>
    <row r="396" spans="1:33">
      <c r="A396" t="s">
        <v>1259</v>
      </c>
      <c r="B396" t="s">
        <v>156</v>
      </c>
      <c r="C396" t="s">
        <v>2805</v>
      </c>
      <c r="D396">
        <f>IF(OR(B396="", C396=""), "", (C396 - B396))</f>
        <v>31</v>
      </c>
      <c r="E396" t="str">
        <f>IF(C396&lt;B396, "INVALID: Ship date before order date", "")</f>
        <v/>
      </c>
      <c r="F396" t="str">
        <f>IF(B396="", "", TEXT(B396, "mmmm"))</f>
        <v>March</v>
      </c>
      <c r="G396">
        <f>IF(B396="", "", YEAR(B396))</f>
        <v>2024</v>
      </c>
      <c r="H396" t="s">
        <v>1260</v>
      </c>
      <c r="I396" t="s">
        <v>263</v>
      </c>
      <c r="J396" t="s">
        <v>23</v>
      </c>
      <c r="K396" t="s">
        <v>62</v>
      </c>
      <c r="L396" t="s">
        <v>63</v>
      </c>
      <c r="M396" t="s">
        <v>64</v>
      </c>
      <c r="N396" t="s">
        <v>40</v>
      </c>
      <c r="O396" t="s">
        <v>56</v>
      </c>
      <c r="P396" t="s">
        <v>1261</v>
      </c>
      <c r="Q396" t="s">
        <v>49</v>
      </c>
      <c r="R396">
        <v>7</v>
      </c>
      <c r="S396" s="15">
        <v>3945.21</v>
      </c>
      <c r="T396" s="4">
        <v>0</v>
      </c>
      <c r="U396" s="3" t="str">
        <f>IF(T396&lt;0, "negative_discount", IF(AND(T396&gt;0.5, T396&lt;=1), "high_discount", ""))</f>
        <v/>
      </c>
      <c r="V396" s="11">
        <v>27616.47</v>
      </c>
      <c r="W396" s="12">
        <v>27616.47</v>
      </c>
      <c r="X396" s="11">
        <v>21225.26</v>
      </c>
      <c r="Y396" s="11">
        <v>6391.21</v>
      </c>
      <c r="Z396" s="11">
        <f>ROUND(W396-X396,2)</f>
        <v>6391.21</v>
      </c>
      <c r="AA396" s="4">
        <f>IF(W396=0,0,Z396/W396)</f>
        <v>0.23142747787823714</v>
      </c>
      <c r="AB396" t="s">
        <v>31</v>
      </c>
      <c r="AC396" t="s">
        <v>32</v>
      </c>
      <c r="AD396" t="str">
        <f>IF(AND(E396="", T396&gt;=0, T396&lt;=0.5, K396&lt;&gt;"Unknown", Q396&lt;&gt;"Unknown"), "CLEAN", _xlfn.CONCAT("WARNING: ", IF(E396&lt;&gt;"","invalid_date",""), IF(T396&lt;0,"negative_discount",""), IF(AND(T396&gt;0.5,T396&lt;=1),"high_discount",""), IF(K396="Unknown","missing_region",""), IF(Q396="Unknown","missing_ship_mode","")))</f>
        <v>CLEAN</v>
      </c>
      <c r="AE396" t="str">
        <f>IF(COUNTIF($AF$2:$AF$926,AF396)&gt;1,"DUPLICATE","UNIQUE")</f>
        <v>UNIQUE</v>
      </c>
      <c r="AF396" t="str">
        <f>A396&amp;"|"&amp;B396&amp;"|"&amp;H396&amp;"|"&amp;I396&amp;"|"&amp;R396&amp;"|"&amp;S396&amp;"|"&amp;V396</f>
        <v>ORD-2024-10395|2024-03-04|CUST-8444|Kabir Singh|7|3945.21|27616.47</v>
      </c>
      <c r="AG396" t="str">
        <f>IF(COUNTIF($A$2:$A$913,A396)&gt;1,"TRUE","FALSE")</f>
        <v>FALSE</v>
      </c>
    </row>
    <row r="397" spans="1:33">
      <c r="A397" t="s">
        <v>1262</v>
      </c>
      <c r="B397" t="s">
        <v>2789</v>
      </c>
      <c r="C397" t="s">
        <v>2361</v>
      </c>
      <c r="D397">
        <f>IF(OR(B397="", C397=""), "", (C397 - B397))</f>
        <v>1</v>
      </c>
      <c r="E397" t="str">
        <f>IF(C397&lt;B397, "INVALID: Ship date before order date", "")</f>
        <v/>
      </c>
      <c r="F397" t="str">
        <f>IF(B397="", "", TEXT(B397, "mmmm"))</f>
        <v>June</v>
      </c>
      <c r="G397">
        <f>IF(B397="", "", YEAR(B397))</f>
        <v>2024</v>
      </c>
      <c r="H397" t="s">
        <v>1263</v>
      </c>
      <c r="I397" t="s">
        <v>116</v>
      </c>
      <c r="J397" t="s">
        <v>93</v>
      </c>
      <c r="K397" t="s">
        <v>53</v>
      </c>
      <c r="L397" t="s">
        <v>246</v>
      </c>
      <c r="M397" t="s">
        <v>247</v>
      </c>
      <c r="N397" t="s">
        <v>40</v>
      </c>
      <c r="O397" t="s">
        <v>41</v>
      </c>
      <c r="P397" t="s">
        <v>1264</v>
      </c>
      <c r="Q397" t="s">
        <v>43</v>
      </c>
      <c r="R397">
        <v>7</v>
      </c>
      <c r="S397" s="15">
        <v>861.91</v>
      </c>
      <c r="T397" s="4">
        <v>0.05</v>
      </c>
      <c r="U397" s="3" t="str">
        <f>IF(T397&lt;0, "negative_discount", IF(AND(T397&gt;0.5, T397&lt;=1), "high_discount", ""))</f>
        <v/>
      </c>
      <c r="V397" s="11">
        <v>5731.7</v>
      </c>
      <c r="W397" s="12">
        <v>5731.7</v>
      </c>
      <c r="X397" s="11">
        <v>4115.5600000000004</v>
      </c>
      <c r="Y397" s="11">
        <v>1616.14</v>
      </c>
      <c r="Z397" s="11">
        <f>ROUND(W397-X397,2)</f>
        <v>1616.14</v>
      </c>
      <c r="AA397" s="4">
        <f>IF(W397=0,0,Z397/W397)</f>
        <v>0.28196521101941835</v>
      </c>
      <c r="AB397" t="s">
        <v>31</v>
      </c>
      <c r="AC397" t="s">
        <v>32</v>
      </c>
      <c r="AD397" t="str">
        <f>IF(AND(E397="", T397&gt;=0, T397&lt;=0.5, K397&lt;&gt;"Unknown", Q397&lt;&gt;"Unknown"), "CLEAN", _xlfn.CONCAT("WARNING: ", IF(E397&lt;&gt;"","invalid_date",""), IF(T397&lt;0,"negative_discount",""), IF(AND(T397&gt;0.5,T397&lt;=1),"high_discount",""), IF(K397="Unknown","missing_region",""), IF(Q397="Unknown","missing_ship_mode","")))</f>
        <v>CLEAN</v>
      </c>
      <c r="AE397" t="str">
        <f>IF(COUNTIF($AF$2:$AF$926,AF397)&gt;1,"DUPLICATE","UNIQUE")</f>
        <v>UNIQUE</v>
      </c>
      <c r="AF397" t="str">
        <f>A397&amp;"|"&amp;B397&amp;"|"&amp;H397&amp;"|"&amp;I397&amp;"|"&amp;R397&amp;"|"&amp;S397&amp;"|"&amp;V397</f>
        <v>ORD-2024-10396|2024-06-06|CUST-4765|Rahul Verma|7|861.91|5731.7</v>
      </c>
      <c r="AG397" t="str">
        <f>IF(COUNTIF($A$2:$A$913,A397)&gt;1,"TRUE","FALSE")</f>
        <v>FALSE</v>
      </c>
    </row>
    <row r="398" spans="1:33">
      <c r="A398" t="s">
        <v>3153</v>
      </c>
      <c r="B398" t="s">
        <v>1265</v>
      </c>
      <c r="C398" t="s">
        <v>1355</v>
      </c>
      <c r="D398">
        <f>IF(OR(B398="", C398=""), "", (C398 - B398))</f>
        <v>8</v>
      </c>
      <c r="E398" t="str">
        <f>IF(C398&lt;B398, "INVALID: Ship date before order date", "")</f>
        <v/>
      </c>
      <c r="F398" t="str">
        <f>IF(B398="", "", TEXT(B398, "mmmm"))</f>
        <v>April</v>
      </c>
      <c r="G398">
        <f>IF(B398="", "", YEAR(B398))</f>
        <v>2025</v>
      </c>
      <c r="H398" t="s">
        <v>1266</v>
      </c>
      <c r="I398" t="s">
        <v>88</v>
      </c>
      <c r="J398" t="s">
        <v>36</v>
      </c>
      <c r="K398" t="s">
        <v>53</v>
      </c>
      <c r="L398" t="s">
        <v>171</v>
      </c>
      <c r="M398" t="s">
        <v>172</v>
      </c>
      <c r="N398" t="s">
        <v>74</v>
      </c>
      <c r="O398" t="s">
        <v>272</v>
      </c>
      <c r="P398" t="s">
        <v>1267</v>
      </c>
      <c r="Q398" t="s">
        <v>58</v>
      </c>
      <c r="R398">
        <v>2</v>
      </c>
      <c r="S398" s="15">
        <v>638.73</v>
      </c>
      <c r="T398" s="4">
        <v>0.05</v>
      </c>
      <c r="U398" s="3" t="str">
        <f>IF(T398&lt;0, "negative_discount", IF(AND(T398&gt;0.5, T398&lt;=1), "high_discount", ""))</f>
        <v/>
      </c>
      <c r="V398" s="11">
        <v>1213.5899999999999</v>
      </c>
      <c r="W398" s="12">
        <v>1213.5899999999999</v>
      </c>
      <c r="X398" s="11">
        <v>956.22</v>
      </c>
      <c r="Y398" s="11">
        <v>257.37</v>
      </c>
      <c r="Z398" s="11">
        <f>ROUND(W398-X398,2)</f>
        <v>257.37</v>
      </c>
      <c r="AA398" s="4">
        <f>IF(W398=0,0,Z398/W398)</f>
        <v>0.2120732702148172</v>
      </c>
      <c r="AB398" t="s">
        <v>31</v>
      </c>
      <c r="AC398" t="s">
        <v>32</v>
      </c>
      <c r="AD398" t="str">
        <f>IF(AND(E398="", T398&gt;=0, T398&lt;=0.5, K398&lt;&gt;"Unknown", Q398&lt;&gt;"Unknown"), "CLEAN", _xlfn.CONCAT("WARNING: ", IF(E398&lt;&gt;"","invalid_date",""), IF(T398&lt;0,"negative_discount",""), IF(AND(T398&gt;0.5,T398&lt;=1),"high_discount",""), IF(K398="Unknown","missing_region",""), IF(Q398="Unknown","missing_ship_mode","")))</f>
        <v>CLEAN</v>
      </c>
      <c r="AE398" t="str">
        <f>IF(COUNTIF($AF$2:$AF$926,AF398)&gt;1,"DUPLICATE","UNIQUE")</f>
        <v>UNIQUE</v>
      </c>
      <c r="AF398" t="str">
        <f>A398&amp;"|"&amp;B398&amp;"|"&amp;H398&amp;"|"&amp;I398&amp;"|"&amp;R398&amp;"|"&amp;S398&amp;"|"&amp;V398</f>
        <v>ORD-2025-10397|2025-04-14|CUST-2280|Aditi Sen|2|638.73|1213.59</v>
      </c>
      <c r="AG398" t="str">
        <f>IF(COUNTIF($A$2:$A$913,A398)&gt;1,"TRUE","FALSE")</f>
        <v>FALSE</v>
      </c>
    </row>
    <row r="399" spans="1:33">
      <c r="A399" t="s">
        <v>3154</v>
      </c>
      <c r="B399" t="s">
        <v>2018</v>
      </c>
      <c r="C399" t="s">
        <v>796</v>
      </c>
      <c r="D399">
        <f>IF(OR(B399="", C399=""), "", (C399 - B399))</f>
        <v>1</v>
      </c>
      <c r="E399" t="str">
        <f>IF(C399&lt;B399, "INVALID: Ship date before order date", "")</f>
        <v/>
      </c>
      <c r="F399" t="str">
        <f>IF(B399="", "", TEXT(B399, "mmmm"))</f>
        <v>June</v>
      </c>
      <c r="G399">
        <f>IF(B399="", "", YEAR(B399))</f>
        <v>2025</v>
      </c>
      <c r="H399" t="s">
        <v>1268</v>
      </c>
      <c r="I399" t="s">
        <v>131</v>
      </c>
      <c r="J399" t="s">
        <v>36</v>
      </c>
      <c r="K399" t="s">
        <v>24</v>
      </c>
      <c r="L399" t="s">
        <v>134</v>
      </c>
      <c r="M399" t="s">
        <v>135</v>
      </c>
      <c r="N399" t="s">
        <v>40</v>
      </c>
      <c r="O399" t="s">
        <v>41</v>
      </c>
      <c r="P399" t="s">
        <v>1269</v>
      </c>
      <c r="Q399" t="s">
        <v>30</v>
      </c>
      <c r="R399">
        <v>2</v>
      </c>
      <c r="S399" s="15">
        <v>1731.88</v>
      </c>
      <c r="T399" s="4">
        <v>0</v>
      </c>
      <c r="U399" s="3" t="str">
        <f>IF(T399&lt;0, "negative_discount", IF(AND(T399&gt;0.5, T399&lt;=1), "high_discount", ""))</f>
        <v/>
      </c>
      <c r="V399" s="11">
        <v>3463.76</v>
      </c>
      <c r="W399" s="12">
        <v>3463.76</v>
      </c>
      <c r="X399" s="11">
        <v>2143.7399999999998</v>
      </c>
      <c r="Y399" s="11">
        <v>1320.02</v>
      </c>
      <c r="Z399" s="11">
        <f>ROUND(W399-X399,2)</f>
        <v>1320.02</v>
      </c>
      <c r="AA399" s="4">
        <f>IF(W399=0,0,Z399/W399)</f>
        <v>0.38109453310852942</v>
      </c>
      <c r="AB399" t="s">
        <v>31</v>
      </c>
      <c r="AC399" t="s">
        <v>32</v>
      </c>
      <c r="AD399" t="str">
        <f>IF(AND(E399="", T399&gt;=0, T399&lt;=0.5, K399&lt;&gt;"Unknown", Q399&lt;&gt;"Unknown"), "CLEAN", _xlfn.CONCAT("WARNING: ", IF(E399&lt;&gt;"","invalid_date",""), IF(T399&lt;0,"negative_discount",""), IF(AND(T399&gt;0.5,T399&lt;=1),"high_discount",""), IF(K399="Unknown","missing_region",""), IF(Q399="Unknown","missing_ship_mode","")))</f>
        <v>CLEAN</v>
      </c>
      <c r="AE399" t="str">
        <f>IF(COUNTIF($AF$2:$AF$926,AF399)&gt;1,"DUPLICATE","UNIQUE")</f>
        <v>UNIQUE</v>
      </c>
      <c r="AF399" t="str">
        <f>A399&amp;"|"&amp;B399&amp;"|"&amp;H399&amp;"|"&amp;I399&amp;"|"&amp;R399&amp;"|"&amp;S399&amp;"|"&amp;V399</f>
        <v>ORD-2025-10398|2025-06-09|CUST-3177|Sneha Kapoor|2|1731.88|3463.76</v>
      </c>
      <c r="AG399" t="str">
        <f>IF(COUNTIF($A$2:$A$913,A399)&gt;1,"TRUE","FALSE")</f>
        <v>FALSE</v>
      </c>
    </row>
    <row r="400" spans="1:33">
      <c r="A400" t="s">
        <v>1270</v>
      </c>
      <c r="B400" t="s">
        <v>290</v>
      </c>
      <c r="C400" t="s">
        <v>1271</v>
      </c>
      <c r="D400">
        <f>IF(OR(B400="", C400=""), "", (C400 - B400))</f>
        <v>7</v>
      </c>
      <c r="E400" t="str">
        <f>IF(C400&lt;B400, "INVALID: Ship date before order date", "")</f>
        <v/>
      </c>
      <c r="F400" t="str">
        <f>IF(B400="", "", TEXT(B400, "mmmm"))</f>
        <v>July</v>
      </c>
      <c r="G400">
        <f>IF(B400="", "", YEAR(B400))</f>
        <v>2024</v>
      </c>
      <c r="H400" t="s">
        <v>1272</v>
      </c>
      <c r="I400" t="s">
        <v>71</v>
      </c>
      <c r="J400" t="s">
        <v>89</v>
      </c>
      <c r="K400" t="s">
        <v>24</v>
      </c>
      <c r="L400" t="s">
        <v>120</v>
      </c>
      <c r="M400" t="s">
        <v>121</v>
      </c>
      <c r="N400" t="s">
        <v>74</v>
      </c>
      <c r="O400" t="s">
        <v>272</v>
      </c>
      <c r="P400" t="s">
        <v>1273</v>
      </c>
      <c r="Q400" t="s">
        <v>43</v>
      </c>
      <c r="R400">
        <v>2</v>
      </c>
      <c r="S400" s="15">
        <v>1263.6500000000001</v>
      </c>
      <c r="T400" s="4">
        <v>0.2</v>
      </c>
      <c r="U400" s="3" t="str">
        <f>IF(T400&lt;0, "negative_discount", IF(AND(T400&gt;0.5, T400&lt;=1), "high_discount", ""))</f>
        <v/>
      </c>
      <c r="V400" s="11">
        <v>2021.84</v>
      </c>
      <c r="W400" s="12">
        <v>2021.84</v>
      </c>
      <c r="X400" s="11">
        <v>1355.22</v>
      </c>
      <c r="Y400" s="11">
        <v>666.62</v>
      </c>
      <c r="Z400" s="11">
        <f>ROUND(W400-X400,2)</f>
        <v>666.62</v>
      </c>
      <c r="AA400" s="4">
        <f>IF(W400=0,0,Z400/W400)</f>
        <v>0.32970957147944446</v>
      </c>
      <c r="AB400" t="s">
        <v>31</v>
      </c>
      <c r="AC400" t="s">
        <v>32</v>
      </c>
      <c r="AD400" t="str">
        <f>IF(AND(E400="", T400&gt;=0, T400&lt;=0.5, K400&lt;&gt;"Unknown", Q400&lt;&gt;"Unknown"), "CLEAN", _xlfn.CONCAT("WARNING: ", IF(E400&lt;&gt;"","invalid_date",""), IF(T400&lt;0,"negative_discount",""), IF(AND(T400&gt;0.5,T400&lt;=1),"high_discount",""), IF(K400="Unknown","missing_region",""), IF(Q400="Unknown","missing_ship_mode","")))</f>
        <v>CLEAN</v>
      </c>
      <c r="AE400" t="str">
        <f>IF(COUNTIF($AF$2:$AF$926,AF400)&gt;1,"DUPLICATE","UNIQUE")</f>
        <v>UNIQUE</v>
      </c>
      <c r="AF400" t="str">
        <f>A400&amp;"|"&amp;B400&amp;"|"&amp;H400&amp;"|"&amp;I400&amp;"|"&amp;R400&amp;"|"&amp;S400&amp;"|"&amp;V400</f>
        <v>ORD-2024-10399|2024-07-19|CUST-4718|Vikram Iyer|2|1263.65|2021.84</v>
      </c>
      <c r="AG400" t="str">
        <f>IF(COUNTIF($A$2:$A$913,A400)&gt;1,"TRUE","FALSE")</f>
        <v>FALSE</v>
      </c>
    </row>
    <row r="401" spans="1:33">
      <c r="A401" t="s">
        <v>3155</v>
      </c>
      <c r="B401" t="s">
        <v>2790</v>
      </c>
      <c r="C401" t="s">
        <v>1274</v>
      </c>
      <c r="D401">
        <f>IF(OR(B401="", C401=""), "", (C401 - B401))</f>
        <v>5</v>
      </c>
      <c r="E401" t="str">
        <f>IF(C401&lt;B401, "INVALID: Ship date before order date", "")</f>
        <v/>
      </c>
      <c r="F401" t="str">
        <f>IF(B401="", "", TEXT(B401, "mmmm"))</f>
        <v>April</v>
      </c>
      <c r="G401">
        <f>IF(B401="", "", YEAR(B401))</f>
        <v>2025</v>
      </c>
      <c r="H401" t="s">
        <v>1275</v>
      </c>
      <c r="I401" t="s">
        <v>158</v>
      </c>
      <c r="J401" t="s">
        <v>36</v>
      </c>
      <c r="K401" t="s">
        <v>53</v>
      </c>
      <c r="L401" t="s">
        <v>83</v>
      </c>
      <c r="M401" t="s">
        <v>84</v>
      </c>
      <c r="N401" t="s">
        <v>27</v>
      </c>
      <c r="O401" t="s">
        <v>28</v>
      </c>
      <c r="P401" t="s">
        <v>1276</v>
      </c>
      <c r="Q401" t="s">
        <v>43</v>
      </c>
      <c r="R401">
        <v>1</v>
      </c>
      <c r="S401" s="15">
        <v>4358.5</v>
      </c>
      <c r="T401" s="4">
        <v>0.25</v>
      </c>
      <c r="U401" s="3" t="str">
        <f>IF(T401&lt;0, "negative_discount", IF(AND(T401&gt;0.5, T401&lt;=1), "high_discount", ""))</f>
        <v/>
      </c>
      <c r="V401" s="11">
        <v>3268.88</v>
      </c>
      <c r="W401" s="12">
        <v>3268.88</v>
      </c>
      <c r="X401" s="11">
        <v>1993.74</v>
      </c>
      <c r="Y401" s="11">
        <v>1275.1400000000001</v>
      </c>
      <c r="Z401" s="11">
        <f>ROUND(W401-X401,2)</f>
        <v>1275.1400000000001</v>
      </c>
      <c r="AA401" s="4">
        <f>IF(W401=0,0,Z401/W401)</f>
        <v>0.39008467732067253</v>
      </c>
      <c r="AB401" t="s">
        <v>31</v>
      </c>
      <c r="AC401" t="s">
        <v>32</v>
      </c>
      <c r="AD401" t="str">
        <f>IF(AND(E401="", T401&gt;=0, T401&lt;=0.5, K401&lt;&gt;"Unknown", Q401&lt;&gt;"Unknown"), "CLEAN", _xlfn.CONCAT("WARNING: ", IF(E401&lt;&gt;"","invalid_date",""), IF(T401&lt;0,"negative_discount",""), IF(AND(T401&gt;0.5,T401&lt;=1),"high_discount",""), IF(K401="Unknown","missing_region",""), IF(Q401="Unknown","missing_ship_mode","")))</f>
        <v>CLEAN</v>
      </c>
      <c r="AE401" t="str">
        <f>IF(COUNTIF($AF$2:$AF$926,AF401)&gt;1,"DUPLICATE","UNIQUE")</f>
        <v>UNIQUE</v>
      </c>
      <c r="AF401" t="str">
        <f>A401&amp;"|"&amp;B401&amp;"|"&amp;H401&amp;"|"&amp;I401&amp;"|"&amp;R401&amp;"|"&amp;S401&amp;"|"&amp;V401</f>
        <v>ORD-2025-10400|2025-04-24|CUST-5647|Diya Patel|1|4358.5|3268.88</v>
      </c>
      <c r="AG401" t="str">
        <f>IF(COUNTIF($A$2:$A$913,A401)&gt;1,"TRUE","FALSE")</f>
        <v>FALSE</v>
      </c>
    </row>
    <row r="402" spans="1:33">
      <c r="A402" t="s">
        <v>3156</v>
      </c>
      <c r="B402" t="s">
        <v>2791</v>
      </c>
      <c r="C402" t="s">
        <v>1277</v>
      </c>
      <c r="D402">
        <f>IF(OR(B402="", C402=""), "", (C402 - B402))</f>
        <v>5</v>
      </c>
      <c r="E402" t="str">
        <f>IF(C402&lt;B402, "INVALID: Ship date before order date", "")</f>
        <v/>
      </c>
      <c r="F402" t="str">
        <f>IF(B402="", "", TEXT(B402, "mmmm"))</f>
        <v>June</v>
      </c>
      <c r="G402">
        <f>IF(B402="", "", YEAR(B402))</f>
        <v>2025</v>
      </c>
      <c r="H402" t="s">
        <v>1278</v>
      </c>
      <c r="I402" t="s">
        <v>131</v>
      </c>
      <c r="J402" t="s">
        <v>36</v>
      </c>
      <c r="K402" t="s">
        <v>24</v>
      </c>
      <c r="L402" t="s">
        <v>134</v>
      </c>
      <c r="M402" t="s">
        <v>135</v>
      </c>
      <c r="N402" t="s">
        <v>27</v>
      </c>
      <c r="O402" t="s">
        <v>28</v>
      </c>
      <c r="P402" t="s">
        <v>1279</v>
      </c>
      <c r="Q402" t="s">
        <v>43</v>
      </c>
      <c r="R402">
        <v>7</v>
      </c>
      <c r="S402" s="15">
        <v>878.09</v>
      </c>
      <c r="T402" s="4">
        <v>-0.1</v>
      </c>
      <c r="U402" s="3" t="str">
        <f>IF(T402&lt;0, "negative_discount", IF(AND(T402&gt;0.5, T402&lt;=1), "high_discount", ""))</f>
        <v>negative_discount</v>
      </c>
      <c r="V402" s="11">
        <v>5839.3</v>
      </c>
      <c r="W402" s="12">
        <v>6761.29</v>
      </c>
      <c r="X402" s="11">
        <v>4877.38</v>
      </c>
      <c r="Y402" s="11">
        <v>961.92</v>
      </c>
      <c r="Z402" s="11">
        <f>ROUND(W402-X402,2)</f>
        <v>1883.91</v>
      </c>
      <c r="AA402" s="4">
        <f>IF(W402=0,0,Z402/W402)</f>
        <v>0.27863174039273569</v>
      </c>
      <c r="AB402" t="s">
        <v>31</v>
      </c>
      <c r="AC402" t="s">
        <v>32</v>
      </c>
      <c r="AD402" t="str">
        <f>IF(AND(E402="", T402&gt;=0, T402&lt;=0.5, K402&lt;&gt;"Unknown", Q402&lt;&gt;"Unknown"), "CLEAN", _xlfn.CONCAT("WARNING: ", IF(E402&lt;&gt;"","invalid_date",""), IF(T402&lt;0,"negative_discount",""), IF(AND(T402&gt;0.5,T402&lt;=1),"high_discount",""), IF(K402="Unknown","missing_region",""), IF(Q402="Unknown","missing_ship_mode","")))</f>
        <v>WARNING: negative_discount</v>
      </c>
      <c r="AE402" t="str">
        <f>IF(COUNTIF($AF$2:$AF$926,AF402)&gt;1,"DUPLICATE","UNIQUE")</f>
        <v>UNIQUE</v>
      </c>
      <c r="AF402" t="str">
        <f>A402&amp;"|"&amp;B402&amp;"|"&amp;H402&amp;"|"&amp;I402&amp;"|"&amp;R402&amp;"|"&amp;S402&amp;"|"&amp;V402</f>
        <v>ORD-2025-10401|2025-06-06|CUST-7150|Sneha Kapoor|7|878.09|5839.3</v>
      </c>
      <c r="AG402" t="str">
        <f>IF(COUNTIF($A$2:$A$913,A402)&gt;1,"TRUE","FALSE")</f>
        <v>FALSE</v>
      </c>
    </row>
    <row r="403" spans="1:33">
      <c r="A403" t="s">
        <v>3157</v>
      </c>
      <c r="B403" t="s">
        <v>2577</v>
      </c>
      <c r="C403" t="s">
        <v>356</v>
      </c>
      <c r="D403">
        <f>IF(OR(B403="", C403=""), "", (C403 - B403))</f>
        <v>7</v>
      </c>
      <c r="E403" t="str">
        <f>IF(C403&lt;B403, "INVALID: Ship date before order date", "")</f>
        <v/>
      </c>
      <c r="F403" t="str">
        <f>IF(B403="", "", TEXT(B403, "mmmm"))</f>
        <v>March</v>
      </c>
      <c r="G403">
        <f>IF(B403="", "", YEAR(B403))</f>
        <v>2025</v>
      </c>
      <c r="H403" t="s">
        <v>1280</v>
      </c>
      <c r="I403" t="s">
        <v>52</v>
      </c>
      <c r="J403" t="s">
        <v>36</v>
      </c>
      <c r="K403" t="s">
        <v>37</v>
      </c>
      <c r="L403" t="s">
        <v>226</v>
      </c>
      <c r="M403" t="s">
        <v>227</v>
      </c>
      <c r="N403" t="s">
        <v>40</v>
      </c>
      <c r="O403" t="s">
        <v>41</v>
      </c>
      <c r="P403" t="s">
        <v>1281</v>
      </c>
      <c r="Q403" t="s">
        <v>43</v>
      </c>
      <c r="R403">
        <v>3</v>
      </c>
      <c r="S403" s="15">
        <v>2625.85</v>
      </c>
      <c r="T403" s="4">
        <v>0</v>
      </c>
      <c r="U403" s="3" t="str">
        <f>IF(T403&lt;0, "negative_discount", IF(AND(T403&gt;0.5, T403&lt;=1), "high_discount", ""))</f>
        <v/>
      </c>
      <c r="V403" s="11">
        <v>7877.55</v>
      </c>
      <c r="W403" s="12">
        <v>7877.55</v>
      </c>
      <c r="X403" s="11">
        <v>5562.77</v>
      </c>
      <c r="Y403" s="11">
        <v>2314.7800000000002</v>
      </c>
      <c r="Z403" s="11">
        <f>ROUND(W403-X403,2)</f>
        <v>2314.7800000000002</v>
      </c>
      <c r="AA403" s="4">
        <f>IF(W403=0,0,Z403/W403)</f>
        <v>0.29384516759652429</v>
      </c>
      <c r="AB403" t="s">
        <v>31</v>
      </c>
      <c r="AC403" t="s">
        <v>32</v>
      </c>
      <c r="AD403" t="str">
        <f>IF(AND(E403="", T403&gt;=0, T403&lt;=0.5, K403&lt;&gt;"Unknown", Q403&lt;&gt;"Unknown"), "CLEAN", _xlfn.CONCAT("WARNING: ", IF(E403&lt;&gt;"","invalid_date",""), IF(T403&lt;0,"negative_discount",""), IF(AND(T403&gt;0.5,T403&lt;=1),"high_discount",""), IF(K403="Unknown","missing_region",""), IF(Q403="Unknown","missing_ship_mode","")))</f>
        <v>CLEAN</v>
      </c>
      <c r="AE403" t="str">
        <f>IF(COUNTIF($AF$2:$AF$926,AF403)&gt;1,"DUPLICATE","UNIQUE")</f>
        <v>UNIQUE</v>
      </c>
      <c r="AF403" t="str">
        <f>A403&amp;"|"&amp;B403&amp;"|"&amp;H403&amp;"|"&amp;I403&amp;"|"&amp;R403&amp;"|"&amp;S403&amp;"|"&amp;V403</f>
        <v>ORD-2025-10402|2025-03-09|CUST-6694|Arjun Bose|3|2625.85|7877.55</v>
      </c>
      <c r="AG403" t="str">
        <f>IF(COUNTIF($A$2:$A$913,A403)&gt;1,"TRUE","FALSE")</f>
        <v>FALSE</v>
      </c>
    </row>
    <row r="404" spans="1:33">
      <c r="A404" t="s">
        <v>1282</v>
      </c>
      <c r="B404" t="s">
        <v>2056</v>
      </c>
      <c r="C404" t="s">
        <v>2056</v>
      </c>
      <c r="D404">
        <f>IF(OR(B404="", C404=""), "", (C404 - B404))</f>
        <v>0</v>
      </c>
      <c r="E404" t="str">
        <f>IF(C404&lt;B404, "INVALID: Ship date before order date", "")</f>
        <v/>
      </c>
      <c r="F404" t="str">
        <f>IF(B404="", "", TEXT(B404, "mmmm"))</f>
        <v>March</v>
      </c>
      <c r="G404">
        <f>IF(B404="", "", YEAR(B404))</f>
        <v>2024</v>
      </c>
      <c r="H404" t="s">
        <v>1283</v>
      </c>
      <c r="I404" t="s">
        <v>112</v>
      </c>
      <c r="J404" t="s">
        <v>36</v>
      </c>
      <c r="K404" t="s">
        <v>53</v>
      </c>
      <c r="L404" t="s">
        <v>171</v>
      </c>
      <c r="M404" t="s">
        <v>172</v>
      </c>
      <c r="N404" t="s">
        <v>40</v>
      </c>
      <c r="O404" t="s">
        <v>41</v>
      </c>
      <c r="P404" t="s">
        <v>1284</v>
      </c>
      <c r="Q404" t="s">
        <v>2970</v>
      </c>
      <c r="R404">
        <v>3</v>
      </c>
      <c r="S404" s="15">
        <v>1365.26</v>
      </c>
      <c r="T404" s="4">
        <v>0</v>
      </c>
      <c r="U404" s="3" t="str">
        <f>IF(T404&lt;0, "negative_discount", IF(AND(T404&gt;0.5, T404&lt;=1), "high_discount", ""))</f>
        <v/>
      </c>
      <c r="V404" s="11">
        <v>4095.78</v>
      </c>
      <c r="W404" s="12">
        <v>4095.78</v>
      </c>
      <c r="X404" s="11">
        <v>2807.77</v>
      </c>
      <c r="Y404" s="11">
        <v>1288.01</v>
      </c>
      <c r="Z404" s="11">
        <f>ROUND(W404-X404,2)</f>
        <v>1288.01</v>
      </c>
      <c r="AA404" s="4">
        <f>IF(W404=0,0,Z404/W404)</f>
        <v>0.31447245701673426</v>
      </c>
      <c r="AB404" t="s">
        <v>31</v>
      </c>
      <c r="AC404" t="s">
        <v>32</v>
      </c>
      <c r="AD404" t="str">
        <f>IF(AND(E404="", T404&gt;=0, T404&lt;=0.5, K404&lt;&gt;"Unknown", Q404&lt;&gt;"Unknown"), "CLEAN", _xlfn.CONCAT("WARNING: ", IF(E404&lt;&gt;"","invalid_date",""), IF(T404&lt;0,"negative_discount",""), IF(AND(T404&gt;0.5,T404&lt;=1),"high_discount",""), IF(K404="Unknown","missing_region",""), IF(Q404="Unknown","missing_ship_mode","")))</f>
        <v>WARNING: missing_ship_mode</v>
      </c>
      <c r="AE404" t="str">
        <f>IF(COUNTIF($AF$2:$AF$926,AF404)&gt;1,"DUPLICATE","UNIQUE")</f>
        <v>UNIQUE</v>
      </c>
      <c r="AF404" t="str">
        <f>A404&amp;"|"&amp;B404&amp;"|"&amp;H404&amp;"|"&amp;I404&amp;"|"&amp;R404&amp;"|"&amp;S404&amp;"|"&amp;V404</f>
        <v>ORD-2024-10403|2024-03-22|CUST-7680|Priya Menon|3|1365.26|4095.78</v>
      </c>
      <c r="AG404" t="str">
        <f>IF(COUNTIF($A$2:$A$913,A404)&gt;1,"TRUE","FALSE")</f>
        <v>FALSE</v>
      </c>
    </row>
    <row r="405" spans="1:33">
      <c r="A405" t="s">
        <v>1285</v>
      </c>
      <c r="B405" t="s">
        <v>640</v>
      </c>
      <c r="C405" t="s">
        <v>967</v>
      </c>
      <c r="D405">
        <f>IF(OR(B405="", C405=""), "", (C405 - B405))</f>
        <v>-173</v>
      </c>
      <c r="E405" t="str">
        <f>IF(C405&lt;B405, "INVALID: Ship date before order date", "")</f>
        <v>INVALID: Ship date before order date</v>
      </c>
      <c r="F405" t="str">
        <f>IF(B405="", "", TEXT(B405, "mmmm"))</f>
        <v>September</v>
      </c>
      <c r="G405">
        <f>IF(B405="", "", YEAR(B405))</f>
        <v>2024</v>
      </c>
      <c r="H405" t="s">
        <v>1286</v>
      </c>
      <c r="I405" t="s">
        <v>52</v>
      </c>
      <c r="J405" t="s">
        <v>36</v>
      </c>
      <c r="K405" t="s">
        <v>53</v>
      </c>
      <c r="L405" t="s">
        <v>180</v>
      </c>
      <c r="M405" t="s">
        <v>181</v>
      </c>
      <c r="N405" t="s">
        <v>27</v>
      </c>
      <c r="O405" t="s">
        <v>28</v>
      </c>
      <c r="P405" t="s">
        <v>1287</v>
      </c>
      <c r="Q405" t="s">
        <v>43</v>
      </c>
      <c r="R405">
        <v>5</v>
      </c>
      <c r="S405" s="15">
        <v>3512.25</v>
      </c>
      <c r="T405" s="4">
        <v>0.05</v>
      </c>
      <c r="U405" s="3" t="str">
        <f>IF(T405&lt;0, "negative_discount", IF(AND(T405&gt;0.5, T405&lt;=1), "high_discount", ""))</f>
        <v/>
      </c>
      <c r="V405" s="11">
        <v>16683.189999999999</v>
      </c>
      <c r="W405" s="12">
        <v>16683.189999999999</v>
      </c>
      <c r="X405" s="11">
        <v>10301.16</v>
      </c>
      <c r="Y405" s="11">
        <v>6382.03</v>
      </c>
      <c r="Z405" s="11">
        <f>ROUND(W405-X405,2)</f>
        <v>6382.03</v>
      </c>
      <c r="AA405" s="4">
        <f>IF(W405=0,0,Z405/W405)</f>
        <v>0.38254254731858839</v>
      </c>
      <c r="AB405" t="s">
        <v>31</v>
      </c>
      <c r="AC405" t="s">
        <v>100</v>
      </c>
      <c r="AD405" t="str">
        <f>IF(AND(E405="", T405&gt;=0, T405&lt;=0.5, K405&lt;&gt;"Unknown", Q405&lt;&gt;"Unknown"), "CLEAN", _xlfn.CONCAT("WARNING: ", IF(E405&lt;&gt;"","invalid_date",""), IF(T405&lt;0,"negative_discount",""), IF(AND(T405&gt;0.5,T405&lt;=1),"high_discount",""), IF(K405="Unknown","missing_region",""), IF(Q405="Unknown","missing_ship_mode","")))</f>
        <v>WARNING: invalid_date</v>
      </c>
      <c r="AE405" t="str">
        <f>IF(COUNTIF($AF$2:$AF$926,AF405)&gt;1,"DUPLICATE","UNIQUE")</f>
        <v>UNIQUE</v>
      </c>
      <c r="AF405" t="str">
        <f>A405&amp;"|"&amp;B405&amp;"|"&amp;H405&amp;"|"&amp;I405&amp;"|"&amp;R405&amp;"|"&amp;S405&amp;"|"&amp;V405</f>
        <v>ORD-2024-10404|2024-09-30|CUST-2700|Arjun Bose|5|3512.25|16683.19</v>
      </c>
      <c r="AG405" t="str">
        <f>IF(COUNTIF($A$2:$A$913,A405)&gt;1,"TRUE","FALSE")</f>
        <v>FALSE</v>
      </c>
    </row>
    <row r="406" spans="1:33">
      <c r="A406" t="s">
        <v>1288</v>
      </c>
      <c r="B406" t="s">
        <v>503</v>
      </c>
      <c r="C406" t="s">
        <v>631</v>
      </c>
      <c r="D406">
        <f>IF(OR(B406="", C406=""), "", (C406 - B406))</f>
        <v>7</v>
      </c>
      <c r="E406" t="str">
        <f>IF(C406&lt;B406, "INVALID: Ship date before order date", "")</f>
        <v/>
      </c>
      <c r="F406" t="str">
        <f>IF(B406="", "", TEXT(B406, "mmmm"))</f>
        <v>January</v>
      </c>
      <c r="G406">
        <f>IF(B406="", "", YEAR(B406))</f>
        <v>2024</v>
      </c>
      <c r="H406" t="s">
        <v>1289</v>
      </c>
      <c r="I406" t="s">
        <v>88</v>
      </c>
      <c r="J406" t="s">
        <v>89</v>
      </c>
      <c r="K406" t="s">
        <v>62</v>
      </c>
      <c r="L406" t="s">
        <v>25</v>
      </c>
      <c r="M406" t="s">
        <v>107</v>
      </c>
      <c r="N406" t="s">
        <v>40</v>
      </c>
      <c r="O406" t="s">
        <v>65</v>
      </c>
      <c r="P406" t="s">
        <v>1290</v>
      </c>
      <c r="Q406" t="s">
        <v>43</v>
      </c>
      <c r="R406">
        <v>3</v>
      </c>
      <c r="S406" s="15">
        <v>359.61</v>
      </c>
      <c r="T406" s="4">
        <v>0</v>
      </c>
      <c r="U406" s="3" t="str">
        <f>IF(T406&lt;0, "negative_discount", IF(AND(T406&gt;0.5, T406&lt;=1), "high_discount", ""))</f>
        <v/>
      </c>
      <c r="V406" s="11">
        <v>1078.83</v>
      </c>
      <c r="W406" s="12">
        <v>1078.83</v>
      </c>
      <c r="X406" s="11">
        <v>926.35</v>
      </c>
      <c r="Y406" s="11">
        <v>152.47999999999999</v>
      </c>
      <c r="Z406" s="11">
        <f>ROUND(W406-X406,2)</f>
        <v>152.47999999999999</v>
      </c>
      <c r="AA406" s="4">
        <f>IF(W406=0,0,Z406/W406)</f>
        <v>0.14133830167867042</v>
      </c>
      <c r="AB406" t="s">
        <v>31</v>
      </c>
      <c r="AC406" t="s">
        <v>32</v>
      </c>
      <c r="AD406" t="str">
        <f>IF(AND(E406="", T406&gt;=0, T406&lt;=0.5, K406&lt;&gt;"Unknown", Q406&lt;&gt;"Unknown"), "CLEAN", _xlfn.CONCAT("WARNING: ", IF(E406&lt;&gt;"","invalid_date",""), IF(T406&lt;0,"negative_discount",""), IF(AND(T406&gt;0.5,T406&lt;=1),"high_discount",""), IF(K406="Unknown","missing_region",""), IF(Q406="Unknown","missing_ship_mode","")))</f>
        <v>CLEAN</v>
      </c>
      <c r="AE406" t="str">
        <f>IF(COUNTIF($AF$2:$AF$926,AF406)&gt;1,"DUPLICATE","UNIQUE")</f>
        <v>UNIQUE</v>
      </c>
      <c r="AF406" t="str">
        <f>A406&amp;"|"&amp;B406&amp;"|"&amp;H406&amp;"|"&amp;I406&amp;"|"&amp;R406&amp;"|"&amp;S406&amp;"|"&amp;V406</f>
        <v>ORD-2024-10405|2024-01-27|CUST-2904|Aditi Sen|3|359.61|1078.83</v>
      </c>
      <c r="AG406" t="str">
        <f>IF(COUNTIF($A$2:$A$913,A406)&gt;1,"TRUE","FALSE")</f>
        <v>FALSE</v>
      </c>
    </row>
    <row r="407" spans="1:33">
      <c r="A407" t="s">
        <v>1291</v>
      </c>
      <c r="B407" t="s">
        <v>1699</v>
      </c>
      <c r="C407" t="s">
        <v>2936</v>
      </c>
      <c r="D407">
        <f>IF(OR(B407="", C407=""), "", (C407 - B407))</f>
        <v>1</v>
      </c>
      <c r="E407" t="str">
        <f>IF(C407&lt;B407, "INVALID: Ship date before order date", "")</f>
        <v/>
      </c>
      <c r="F407" t="str">
        <f>IF(B407="", "", TEXT(B407, "mmmm"))</f>
        <v>September</v>
      </c>
      <c r="G407">
        <f>IF(B407="", "", YEAR(B407))</f>
        <v>2024</v>
      </c>
      <c r="H407" t="s">
        <v>1292</v>
      </c>
      <c r="I407" t="s">
        <v>88</v>
      </c>
      <c r="J407" t="s">
        <v>93</v>
      </c>
      <c r="K407" t="s">
        <v>62</v>
      </c>
      <c r="L407" t="s">
        <v>176</v>
      </c>
      <c r="M407" t="s">
        <v>177</v>
      </c>
      <c r="N407" t="s">
        <v>40</v>
      </c>
      <c r="O407" t="s">
        <v>153</v>
      </c>
      <c r="P407" t="s">
        <v>1293</v>
      </c>
      <c r="Q407" t="s">
        <v>2970</v>
      </c>
      <c r="R407">
        <v>7</v>
      </c>
      <c r="S407" s="15">
        <v>3878.01</v>
      </c>
      <c r="T407" s="4">
        <v>0.1</v>
      </c>
      <c r="U407" s="3" t="str">
        <f>IF(T407&lt;0, "negative_discount", IF(AND(T407&gt;0.5, T407&lt;=1), "high_discount", ""))</f>
        <v/>
      </c>
      <c r="V407" s="11">
        <v>24431.46</v>
      </c>
      <c r="W407" s="12">
        <v>24431.46</v>
      </c>
      <c r="X407" s="11">
        <v>18202.36</v>
      </c>
      <c r="Y407" s="11">
        <v>6229.1</v>
      </c>
      <c r="Z407" s="11">
        <f>ROUND(W407-X407,2)</f>
        <v>6229.1</v>
      </c>
      <c r="AA407" s="4">
        <f>IF(W407=0,0,Z407/W407)</f>
        <v>0.25496224949307167</v>
      </c>
      <c r="AB407" t="s">
        <v>31</v>
      </c>
      <c r="AC407" t="s">
        <v>32</v>
      </c>
      <c r="AD407" t="str">
        <f>IF(AND(E407="", T407&gt;=0, T407&lt;=0.5, K407&lt;&gt;"Unknown", Q407&lt;&gt;"Unknown"), "CLEAN", _xlfn.CONCAT("WARNING: ", IF(E407&lt;&gt;"","invalid_date",""), IF(T407&lt;0,"negative_discount",""), IF(AND(T407&gt;0.5,T407&lt;=1),"high_discount",""), IF(K407="Unknown","missing_region",""), IF(Q407="Unknown","missing_ship_mode","")))</f>
        <v>WARNING: missing_ship_mode</v>
      </c>
      <c r="AE407" t="str">
        <f>IF(COUNTIF($AF$2:$AF$926,AF407)&gt;1,"DUPLICATE","UNIQUE")</f>
        <v>UNIQUE</v>
      </c>
      <c r="AF407" t="str">
        <f>A407&amp;"|"&amp;B407&amp;"|"&amp;H407&amp;"|"&amp;I407&amp;"|"&amp;R407&amp;"|"&amp;S407&amp;"|"&amp;V407</f>
        <v>ORD-2024-10406|2024-09-23|CUST-9961|Aditi Sen|7|3878.01|24431.46</v>
      </c>
      <c r="AG407" t="str">
        <f>IF(COUNTIF($A$2:$A$913,A407)&gt;1,"TRUE","FALSE")</f>
        <v>FALSE</v>
      </c>
    </row>
    <row r="408" spans="1:33">
      <c r="A408" t="s">
        <v>3158</v>
      </c>
      <c r="B408" t="s">
        <v>2792</v>
      </c>
      <c r="C408" t="s">
        <v>2792</v>
      </c>
      <c r="D408">
        <f>IF(OR(B408="", C408=""), "", (C408 - B408))</f>
        <v>0</v>
      </c>
      <c r="E408" t="str">
        <f>IF(C408&lt;B408, "INVALID: Ship date before order date", "")</f>
        <v/>
      </c>
      <c r="F408" t="str">
        <f>IF(B408="", "", TEXT(B408, "mmmm"))</f>
        <v>February</v>
      </c>
      <c r="G408">
        <f>IF(B408="", "", YEAR(B408))</f>
        <v>2025</v>
      </c>
      <c r="H408" t="s">
        <v>1294</v>
      </c>
      <c r="I408" t="s">
        <v>263</v>
      </c>
      <c r="J408" t="s">
        <v>36</v>
      </c>
      <c r="K408" t="s">
        <v>62</v>
      </c>
      <c r="L408" t="s">
        <v>185</v>
      </c>
      <c r="M408" t="s">
        <v>186</v>
      </c>
      <c r="N408" t="s">
        <v>40</v>
      </c>
      <c r="O408" t="s">
        <v>56</v>
      </c>
      <c r="P408" t="s">
        <v>1295</v>
      </c>
      <c r="Q408" t="s">
        <v>58</v>
      </c>
      <c r="R408">
        <v>2</v>
      </c>
      <c r="S408" s="15">
        <v>3924.2</v>
      </c>
      <c r="T408" s="4">
        <v>0.25</v>
      </c>
      <c r="U408" s="3" t="str">
        <f>IF(T408&lt;0, "negative_discount", IF(AND(T408&gt;0.5, T408&lt;=1), "high_discount", ""))</f>
        <v/>
      </c>
      <c r="V408" s="11">
        <v>5886.3</v>
      </c>
      <c r="W408" s="12">
        <v>5886.3</v>
      </c>
      <c r="X408" s="11">
        <v>3621.76</v>
      </c>
      <c r="Y408" s="11">
        <v>2264.54</v>
      </c>
      <c r="Z408" s="11">
        <f>ROUND(W408-X408,2)</f>
        <v>2264.54</v>
      </c>
      <c r="AA408" s="4">
        <f>IF(W408=0,0,Z408/W408)</f>
        <v>0.3847136571360617</v>
      </c>
      <c r="AB408" t="s">
        <v>109</v>
      </c>
      <c r="AC408" t="s">
        <v>100</v>
      </c>
      <c r="AD408" t="str">
        <f>IF(AND(E408="", T408&gt;=0, T408&lt;=0.5, K408&lt;&gt;"Unknown", Q408&lt;&gt;"Unknown"), "CLEAN", _xlfn.CONCAT("WARNING: ", IF(E408&lt;&gt;"","invalid_date",""), IF(T408&lt;0,"negative_discount",""), IF(AND(T408&gt;0.5,T408&lt;=1),"high_discount",""), IF(K408="Unknown","missing_region",""), IF(Q408="Unknown","missing_ship_mode","")))</f>
        <v>CLEAN</v>
      </c>
      <c r="AE408" t="str">
        <f>IF(COUNTIF($AF$2:$AF$926,AF408)&gt;1,"DUPLICATE","UNIQUE")</f>
        <v>UNIQUE</v>
      </c>
      <c r="AF408" t="str">
        <f>A408&amp;"|"&amp;B408&amp;"|"&amp;H408&amp;"|"&amp;I408&amp;"|"&amp;R408&amp;"|"&amp;S408&amp;"|"&amp;V408</f>
        <v>ORD-2025-10407|2025-02-25|CUST-9909|Kabir Singh|2|3924.2|5886.3</v>
      </c>
      <c r="AG408" t="str">
        <f>IF(COUNTIF($A$2:$A$913,A408)&gt;1,"TRUE","FALSE")</f>
        <v>FALSE</v>
      </c>
    </row>
    <row r="409" spans="1:33">
      <c r="A409" t="s">
        <v>1296</v>
      </c>
      <c r="B409" t="s">
        <v>2793</v>
      </c>
      <c r="C409" t="s">
        <v>1241</v>
      </c>
      <c r="D409">
        <f>IF(OR(B409="", C409=""), "", (C409 - B409))</f>
        <v>1</v>
      </c>
      <c r="E409" t="str">
        <f>IF(C409&lt;B409, "INVALID: Ship date before order date", "")</f>
        <v/>
      </c>
      <c r="F409" t="str">
        <f>IF(B409="", "", TEXT(B409, "mmmm"))</f>
        <v>May</v>
      </c>
      <c r="G409">
        <f>IF(B409="", "", YEAR(B409))</f>
        <v>2024</v>
      </c>
      <c r="H409" t="s">
        <v>1297</v>
      </c>
      <c r="I409" t="s">
        <v>116</v>
      </c>
      <c r="J409" t="s">
        <v>89</v>
      </c>
      <c r="K409" t="s">
        <v>62</v>
      </c>
      <c r="L409" t="s">
        <v>185</v>
      </c>
      <c r="M409" t="s">
        <v>186</v>
      </c>
      <c r="N409" t="s">
        <v>27</v>
      </c>
      <c r="O409" t="s">
        <v>90</v>
      </c>
      <c r="P409" t="s">
        <v>1298</v>
      </c>
      <c r="Q409" t="s">
        <v>30</v>
      </c>
      <c r="R409">
        <v>3</v>
      </c>
      <c r="S409" s="15">
        <v>2644.55</v>
      </c>
      <c r="T409" s="4">
        <v>0</v>
      </c>
      <c r="U409" s="3" t="str">
        <f>IF(T409&lt;0, "negative_discount", IF(AND(T409&gt;0.5, T409&lt;=1), "high_discount", ""))</f>
        <v/>
      </c>
      <c r="V409" s="11">
        <v>7933.65</v>
      </c>
      <c r="W409" s="12">
        <v>7933.65</v>
      </c>
      <c r="X409" s="11">
        <v>5698.42</v>
      </c>
      <c r="Y409" s="11">
        <v>2235.23</v>
      </c>
      <c r="Z409" s="11">
        <f>ROUND(W409-X409,2)</f>
        <v>2235.23</v>
      </c>
      <c r="AA409" s="4">
        <f>IF(W409=0,0,Z409/W409)</f>
        <v>0.2817404347305465</v>
      </c>
      <c r="AB409" t="s">
        <v>31</v>
      </c>
      <c r="AC409" t="s">
        <v>32</v>
      </c>
      <c r="AD409" t="str">
        <f>IF(AND(E409="", T409&gt;=0, T409&lt;=0.5, K409&lt;&gt;"Unknown", Q409&lt;&gt;"Unknown"), "CLEAN", _xlfn.CONCAT("WARNING: ", IF(E409&lt;&gt;"","invalid_date",""), IF(T409&lt;0,"negative_discount",""), IF(AND(T409&gt;0.5,T409&lt;=1),"high_discount",""), IF(K409="Unknown","missing_region",""), IF(Q409="Unknown","missing_ship_mode","")))</f>
        <v>CLEAN</v>
      </c>
      <c r="AE409" t="str">
        <f>IF(COUNTIF($AF$2:$AF$926,AF409)&gt;1,"DUPLICATE","UNIQUE")</f>
        <v>UNIQUE</v>
      </c>
      <c r="AF409" t="str">
        <f>A409&amp;"|"&amp;B409&amp;"|"&amp;H409&amp;"|"&amp;I409&amp;"|"&amp;R409&amp;"|"&amp;S409&amp;"|"&amp;V409</f>
        <v>ORD-2024-10408|2024-05-12|CUST-8520|Rahul Verma|3|2644.55|7933.65</v>
      </c>
      <c r="AG409" t="str">
        <f>IF(COUNTIF($A$2:$A$913,A409)&gt;1,"TRUE","FALSE")</f>
        <v>FALSE</v>
      </c>
    </row>
    <row r="410" spans="1:33">
      <c r="A410" t="s">
        <v>3159</v>
      </c>
      <c r="B410" t="s">
        <v>2754</v>
      </c>
      <c r="C410" t="s">
        <v>2288</v>
      </c>
      <c r="D410">
        <f>IF(OR(B410="", C410=""), "", (C410 - B410))</f>
        <v>2</v>
      </c>
      <c r="E410" t="str">
        <f>IF(C410&lt;B410, "INVALID: Ship date before order date", "")</f>
        <v/>
      </c>
      <c r="F410" t="str">
        <f>IF(B410="", "", TEXT(B410, "mmmm"))</f>
        <v>August</v>
      </c>
      <c r="G410">
        <f>IF(B410="", "", YEAR(B410))</f>
        <v>2025</v>
      </c>
      <c r="H410" t="s">
        <v>1299</v>
      </c>
      <c r="I410" t="s">
        <v>131</v>
      </c>
      <c r="J410" t="s">
        <v>23</v>
      </c>
      <c r="K410" t="s">
        <v>62</v>
      </c>
      <c r="L410" t="s">
        <v>63</v>
      </c>
      <c r="M410" t="s">
        <v>64</v>
      </c>
      <c r="N410" t="s">
        <v>40</v>
      </c>
      <c r="O410" t="s">
        <v>65</v>
      </c>
      <c r="P410" t="s">
        <v>1300</v>
      </c>
      <c r="Q410" t="s">
        <v>49</v>
      </c>
      <c r="R410">
        <v>4</v>
      </c>
      <c r="S410" s="15">
        <v>1773.46</v>
      </c>
      <c r="T410" s="4">
        <v>0</v>
      </c>
      <c r="U410" s="3" t="str">
        <f>IF(T410&lt;0, "negative_discount", IF(AND(T410&gt;0.5, T410&lt;=1), "high_discount", ""))</f>
        <v/>
      </c>
      <c r="V410" s="11">
        <v>7093.84</v>
      </c>
      <c r="W410" s="12">
        <v>7093.84</v>
      </c>
      <c r="X410" s="11">
        <v>4587.49</v>
      </c>
      <c r="Y410" s="11">
        <v>2506.35</v>
      </c>
      <c r="Z410" s="11">
        <f>ROUND(W410-X410,2)</f>
        <v>2506.35</v>
      </c>
      <c r="AA410" s="4">
        <f>IF(W410=0,0,Z410/W410)</f>
        <v>0.35331357910525185</v>
      </c>
      <c r="AB410" t="s">
        <v>151</v>
      </c>
      <c r="AC410" t="s">
        <v>100</v>
      </c>
      <c r="AD410" t="str">
        <f>IF(AND(E410="", T410&gt;=0, T410&lt;=0.5, K410&lt;&gt;"Unknown", Q410&lt;&gt;"Unknown"), "CLEAN", _xlfn.CONCAT("WARNING: ", IF(E410&lt;&gt;"","invalid_date",""), IF(T410&lt;0,"negative_discount",""), IF(AND(T410&gt;0.5,T410&lt;=1),"high_discount",""), IF(K410="Unknown","missing_region",""), IF(Q410="Unknown","missing_ship_mode","")))</f>
        <v>CLEAN</v>
      </c>
      <c r="AE410" t="str">
        <f>IF(COUNTIF($AF$2:$AF$926,AF410)&gt;1,"DUPLICATE","UNIQUE")</f>
        <v>UNIQUE</v>
      </c>
      <c r="AF410" t="str">
        <f>A410&amp;"|"&amp;B410&amp;"|"&amp;H410&amp;"|"&amp;I410&amp;"|"&amp;R410&amp;"|"&amp;S410&amp;"|"&amp;V410</f>
        <v>ORD-2025-10409|2025-08-01|CUST-5036|Sneha Kapoor|4|1773.46|7093.84</v>
      </c>
      <c r="AG410" t="str">
        <f>IF(COUNTIF($A$2:$A$913,A410)&gt;1,"TRUE","FALSE")</f>
        <v>FALSE</v>
      </c>
    </row>
    <row r="411" spans="1:33">
      <c r="A411" t="s">
        <v>3160</v>
      </c>
      <c r="B411" t="s">
        <v>1543</v>
      </c>
      <c r="C411" t="s">
        <v>460</v>
      </c>
      <c r="D411">
        <f>IF(OR(B411="", C411=""), "", (C411 - B411))</f>
        <v>2</v>
      </c>
      <c r="E411" t="str">
        <f>IF(C411&lt;B411, "INVALID: Ship date before order date", "")</f>
        <v/>
      </c>
      <c r="F411" t="str">
        <f>IF(B411="", "", TEXT(B411, "mmmm"))</f>
        <v>February</v>
      </c>
      <c r="G411">
        <f>IF(B411="", "", YEAR(B411))</f>
        <v>2025</v>
      </c>
      <c r="H411" t="s">
        <v>1301</v>
      </c>
      <c r="I411" t="s">
        <v>22</v>
      </c>
      <c r="J411" t="s">
        <v>23</v>
      </c>
      <c r="K411" t="s">
        <v>37</v>
      </c>
      <c r="L411" t="s">
        <v>163</v>
      </c>
      <c r="M411" t="s">
        <v>164</v>
      </c>
      <c r="N411" t="s">
        <v>74</v>
      </c>
      <c r="O411" t="s">
        <v>75</v>
      </c>
      <c r="P411" t="s">
        <v>1302</v>
      </c>
      <c r="Q411" t="s">
        <v>43</v>
      </c>
      <c r="R411">
        <v>1</v>
      </c>
      <c r="S411" s="15">
        <v>3025.46</v>
      </c>
      <c r="T411" s="4">
        <v>0.25</v>
      </c>
      <c r="U411" s="3" t="str">
        <f>IF(T411&lt;0, "negative_discount", IF(AND(T411&gt;0.5, T411&lt;=1), "high_discount", ""))</f>
        <v/>
      </c>
      <c r="V411" s="11">
        <v>2269.1</v>
      </c>
      <c r="W411" s="12">
        <v>2269.1</v>
      </c>
      <c r="X411" s="11">
        <v>1593.59</v>
      </c>
      <c r="Y411" s="11">
        <v>675.51</v>
      </c>
      <c r="Z411" s="11">
        <f>ROUND(W411-X411,2)</f>
        <v>675.51</v>
      </c>
      <c r="AA411" s="4">
        <f>IF(W411=0,0,Z411/W411)</f>
        <v>0.29769952844740205</v>
      </c>
      <c r="AB411" t="s">
        <v>99</v>
      </c>
      <c r="AC411" t="s">
        <v>100</v>
      </c>
      <c r="AD411" t="str">
        <f>IF(AND(E411="", T411&gt;=0, T411&lt;=0.5, K411&lt;&gt;"Unknown", Q411&lt;&gt;"Unknown"), "CLEAN", _xlfn.CONCAT("WARNING: ", IF(E411&lt;&gt;"","invalid_date",""), IF(T411&lt;0,"negative_discount",""), IF(AND(T411&gt;0.5,T411&lt;=1),"high_discount",""), IF(K411="Unknown","missing_region",""), IF(Q411="Unknown","missing_ship_mode","")))</f>
        <v>CLEAN</v>
      </c>
      <c r="AE411" t="str">
        <f>IF(COUNTIF($AF$2:$AF$926,AF411)&gt;1,"DUPLICATE","UNIQUE")</f>
        <v>UNIQUE</v>
      </c>
      <c r="AF411" t="str">
        <f>A411&amp;"|"&amp;B411&amp;"|"&amp;H411&amp;"|"&amp;I411&amp;"|"&amp;R411&amp;"|"&amp;S411&amp;"|"&amp;V411</f>
        <v>ORD-2025-10410|2025-02-13|CUST-7721|Karan Malhotra|1|3025.46|2269.1</v>
      </c>
      <c r="AG411" t="str">
        <f>IF(COUNTIF($A$2:$A$913,A411)&gt;1,"TRUE","FALSE")</f>
        <v>FALSE</v>
      </c>
    </row>
    <row r="412" spans="1:33">
      <c r="A412" t="s">
        <v>1303</v>
      </c>
      <c r="B412" t="s">
        <v>1304</v>
      </c>
      <c r="C412" t="s">
        <v>2937</v>
      </c>
      <c r="D412">
        <f>IF(OR(B412="", C412=""), "", (C412 - B412))</f>
        <v>8</v>
      </c>
      <c r="E412" t="str">
        <f>IF(C412&lt;B412, "INVALID: Ship date before order date", "")</f>
        <v/>
      </c>
      <c r="F412" t="str">
        <f>IF(B412="", "", TEXT(B412, "mmmm"))</f>
        <v>April</v>
      </c>
      <c r="G412">
        <f>IF(B412="", "", YEAR(B412))</f>
        <v>2024</v>
      </c>
      <c r="H412" t="s">
        <v>1305</v>
      </c>
      <c r="I412" t="s">
        <v>158</v>
      </c>
      <c r="J412" t="s">
        <v>23</v>
      </c>
      <c r="K412" t="s">
        <v>62</v>
      </c>
      <c r="L412" t="s">
        <v>185</v>
      </c>
      <c r="M412" t="s">
        <v>186</v>
      </c>
      <c r="N412" t="s">
        <v>40</v>
      </c>
      <c r="O412" t="s">
        <v>41</v>
      </c>
      <c r="P412" t="s">
        <v>1306</v>
      </c>
      <c r="Q412" t="s">
        <v>49</v>
      </c>
      <c r="R412">
        <v>9</v>
      </c>
      <c r="S412" s="15">
        <v>1302.6099999999999</v>
      </c>
      <c r="T412" s="4">
        <v>0.2</v>
      </c>
      <c r="U412" s="3" t="str">
        <f>IF(T412&lt;0, "negative_discount", IF(AND(T412&gt;0.5, T412&lt;=1), "high_discount", ""))</f>
        <v/>
      </c>
      <c r="V412" s="11">
        <v>9378.7900000000009</v>
      </c>
      <c r="W412" s="12">
        <v>9378.7900000000009</v>
      </c>
      <c r="X412" s="11">
        <v>6774.48</v>
      </c>
      <c r="Y412" s="11">
        <v>2604.31</v>
      </c>
      <c r="Z412" s="11">
        <f>ROUND(W412-X412,2)</f>
        <v>2604.31</v>
      </c>
      <c r="AA412" s="4">
        <f>IF(W412=0,0,Z412/W412)</f>
        <v>0.27768080957138391</v>
      </c>
      <c r="AB412" t="s">
        <v>31</v>
      </c>
      <c r="AC412" t="s">
        <v>32</v>
      </c>
      <c r="AD412" t="str">
        <f>IF(AND(E412="", T412&gt;=0, T412&lt;=0.5, K412&lt;&gt;"Unknown", Q412&lt;&gt;"Unknown"), "CLEAN", _xlfn.CONCAT("WARNING: ", IF(E412&lt;&gt;"","invalid_date",""), IF(T412&lt;0,"negative_discount",""), IF(AND(T412&gt;0.5,T412&lt;=1),"high_discount",""), IF(K412="Unknown","missing_region",""), IF(Q412="Unknown","missing_ship_mode","")))</f>
        <v>CLEAN</v>
      </c>
      <c r="AE412" t="str">
        <f>IF(COUNTIF($AF$2:$AF$926,AF412)&gt;1,"DUPLICATE","UNIQUE")</f>
        <v>UNIQUE</v>
      </c>
      <c r="AF412" t="str">
        <f>A412&amp;"|"&amp;B412&amp;"|"&amp;H412&amp;"|"&amp;I412&amp;"|"&amp;R412&amp;"|"&amp;S412&amp;"|"&amp;V412</f>
        <v>ORD-2024-10411|2024-04-12|CUST-9495|Diya Patel|9|1302.61|9378.79</v>
      </c>
      <c r="AG412" t="str">
        <f>IF(COUNTIF($A$2:$A$913,A412)&gt;1,"TRUE","FALSE")</f>
        <v>FALSE</v>
      </c>
    </row>
    <row r="413" spans="1:33">
      <c r="A413" t="s">
        <v>3161</v>
      </c>
      <c r="B413" t="s">
        <v>1307</v>
      </c>
      <c r="C413" t="s">
        <v>1308</v>
      </c>
      <c r="D413">
        <f>IF(OR(B413="", C413=""), "", (C413 - B413))</f>
        <v>5</v>
      </c>
      <c r="E413" t="str">
        <f>IF(C413&lt;B413, "INVALID: Ship date before order date", "")</f>
        <v/>
      </c>
      <c r="F413" t="str">
        <f>IF(B413="", "", TEXT(B413, "mmmm"))</f>
        <v>August</v>
      </c>
      <c r="G413">
        <f>IF(B413="", "", YEAR(B413))</f>
        <v>2025</v>
      </c>
      <c r="H413" t="s">
        <v>1309</v>
      </c>
      <c r="I413" t="s">
        <v>52</v>
      </c>
      <c r="J413" t="s">
        <v>93</v>
      </c>
      <c r="K413" t="s">
        <v>62</v>
      </c>
      <c r="L413" t="s">
        <v>25</v>
      </c>
      <c r="M413" t="s">
        <v>107</v>
      </c>
      <c r="N413" t="s">
        <v>40</v>
      </c>
      <c r="O413" t="s">
        <v>41</v>
      </c>
      <c r="P413" t="s">
        <v>1310</v>
      </c>
      <c r="Q413" t="s">
        <v>49</v>
      </c>
      <c r="R413">
        <v>1</v>
      </c>
      <c r="S413" s="15">
        <v>4167.8100000000004</v>
      </c>
      <c r="T413" s="4">
        <v>0.2</v>
      </c>
      <c r="U413" s="3" t="str">
        <f>IF(T413&lt;0, "negative_discount", IF(AND(T413&gt;0.5, T413&lt;=1), "high_discount", ""))</f>
        <v/>
      </c>
      <c r="V413" s="11">
        <v>3334.25</v>
      </c>
      <c r="W413" s="12">
        <v>3334.25</v>
      </c>
      <c r="X413" s="11">
        <v>2768.77</v>
      </c>
      <c r="Y413" s="11">
        <v>565.48</v>
      </c>
      <c r="Z413" s="11">
        <f>ROUND(W413-X413,2)</f>
        <v>565.48</v>
      </c>
      <c r="AA413" s="4">
        <f>IF(W413=0,0,Z413/W413)</f>
        <v>0.16959736072580042</v>
      </c>
      <c r="AB413" t="s">
        <v>151</v>
      </c>
      <c r="AC413" t="s">
        <v>100</v>
      </c>
      <c r="AD413" t="str">
        <f>IF(AND(E413="", T413&gt;=0, T413&lt;=0.5, K413&lt;&gt;"Unknown", Q413&lt;&gt;"Unknown"), "CLEAN", _xlfn.CONCAT("WARNING: ", IF(E413&lt;&gt;"","invalid_date",""), IF(T413&lt;0,"negative_discount",""), IF(AND(T413&gt;0.5,T413&lt;=1),"high_discount",""), IF(K413="Unknown","missing_region",""), IF(Q413="Unknown","missing_ship_mode","")))</f>
        <v>CLEAN</v>
      </c>
      <c r="AE413" t="str">
        <f>IF(COUNTIF($AF$2:$AF$926,AF413)&gt;1,"DUPLICATE","UNIQUE")</f>
        <v>UNIQUE</v>
      </c>
      <c r="AF413" t="str">
        <f>A413&amp;"|"&amp;B413&amp;"|"&amp;H413&amp;"|"&amp;I413&amp;"|"&amp;R413&amp;"|"&amp;S413&amp;"|"&amp;V413</f>
        <v>ORD-2025-10412|2025-08-23|CUST-2855|Arjun Bose|1|4167.81|3334.25</v>
      </c>
      <c r="AG413" t="str">
        <f>IF(COUNTIF($A$2:$A$913,A413)&gt;1,"TRUE","FALSE")</f>
        <v>FALSE</v>
      </c>
    </row>
    <row r="414" spans="1:33">
      <c r="A414" t="s">
        <v>1311</v>
      </c>
      <c r="B414" t="s">
        <v>1312</v>
      </c>
      <c r="C414" t="s">
        <v>1684</v>
      </c>
      <c r="D414">
        <f>IF(OR(B414="", C414=""), "", (C414 - B414))</f>
        <v>8</v>
      </c>
      <c r="E414" t="str">
        <f>IF(C414&lt;B414, "INVALID: Ship date before order date", "")</f>
        <v/>
      </c>
      <c r="F414" t="str">
        <f>IF(B414="", "", TEXT(B414, "mmmm"))</f>
        <v>January</v>
      </c>
      <c r="G414">
        <f>IF(B414="", "", YEAR(B414))</f>
        <v>2024</v>
      </c>
      <c r="H414" t="s">
        <v>1313</v>
      </c>
      <c r="I414" t="s">
        <v>46</v>
      </c>
      <c r="J414" t="s">
        <v>89</v>
      </c>
      <c r="K414" t="s">
        <v>53</v>
      </c>
      <c r="L414" t="s">
        <v>171</v>
      </c>
      <c r="M414" t="s">
        <v>172</v>
      </c>
      <c r="N414" t="s">
        <v>40</v>
      </c>
      <c r="O414" t="s">
        <v>65</v>
      </c>
      <c r="P414" t="s">
        <v>1314</v>
      </c>
      <c r="Q414" t="s">
        <v>43</v>
      </c>
      <c r="R414">
        <v>1</v>
      </c>
      <c r="S414" s="15">
        <v>2111.39</v>
      </c>
      <c r="T414" s="4">
        <v>0.25</v>
      </c>
      <c r="U414" s="3" t="str">
        <f>IF(T414&lt;0, "negative_discount", IF(AND(T414&gt;0.5, T414&lt;=1), "high_discount", ""))</f>
        <v/>
      </c>
      <c r="V414" s="11">
        <v>1583.54</v>
      </c>
      <c r="W414" s="12">
        <v>1583.54</v>
      </c>
      <c r="X414" s="11">
        <v>1014.19</v>
      </c>
      <c r="Y414" s="11">
        <v>569.35</v>
      </c>
      <c r="Z414" s="11">
        <f>ROUND(W414-X414,2)</f>
        <v>569.35</v>
      </c>
      <c r="AA414" s="4">
        <f>IF(W414=0,0,Z414/W414)</f>
        <v>0.35954254392058305</v>
      </c>
      <c r="AB414" t="s">
        <v>31</v>
      </c>
      <c r="AC414" t="s">
        <v>32</v>
      </c>
      <c r="AD414" t="str">
        <f>IF(AND(E414="", T414&gt;=0, T414&lt;=0.5, K414&lt;&gt;"Unknown", Q414&lt;&gt;"Unknown"), "CLEAN", _xlfn.CONCAT("WARNING: ", IF(E414&lt;&gt;"","invalid_date",""), IF(T414&lt;0,"negative_discount",""), IF(AND(T414&gt;0.5,T414&lt;=1),"high_discount",""), IF(K414="Unknown","missing_region",""), IF(Q414="Unknown","missing_ship_mode","")))</f>
        <v>CLEAN</v>
      </c>
      <c r="AE414" t="str">
        <f>IF(COUNTIF($AF$2:$AF$926,AF414)&gt;1,"DUPLICATE","UNIQUE")</f>
        <v>UNIQUE</v>
      </c>
      <c r="AF414" t="str">
        <f>A414&amp;"|"&amp;B414&amp;"|"&amp;H414&amp;"|"&amp;I414&amp;"|"&amp;R414&amp;"|"&amp;S414&amp;"|"&amp;V414</f>
        <v>ORD-2024-10413|2024-01-22|CUST-4329|Isha Nair|1|2111.39|1583.54</v>
      </c>
      <c r="AG414" t="str">
        <f>IF(COUNTIF($A$2:$A$913,A414)&gt;1,"TRUE","FALSE")</f>
        <v>FALSE</v>
      </c>
    </row>
    <row r="415" spans="1:33">
      <c r="A415" t="s">
        <v>3162</v>
      </c>
      <c r="B415" t="s">
        <v>2683</v>
      </c>
      <c r="C415" t="s">
        <v>2253</v>
      </c>
      <c r="D415">
        <f>IF(OR(B415="", C415=""), "", (C415 - B415))</f>
        <v>4</v>
      </c>
      <c r="E415" t="str">
        <f>IF(C415&lt;B415, "INVALID: Ship date before order date", "")</f>
        <v/>
      </c>
      <c r="F415" t="str">
        <f>IF(B415="", "", TEXT(B415, "mmmm"))</f>
        <v>August</v>
      </c>
      <c r="G415">
        <f>IF(B415="", "", YEAR(B415))</f>
        <v>2025</v>
      </c>
      <c r="H415" t="s">
        <v>1315</v>
      </c>
      <c r="I415" t="s">
        <v>78</v>
      </c>
      <c r="J415" t="s">
        <v>93</v>
      </c>
      <c r="K415" t="s">
        <v>62</v>
      </c>
      <c r="L415" t="s">
        <v>72</v>
      </c>
      <c r="M415" t="s">
        <v>73</v>
      </c>
      <c r="N415" t="s">
        <v>74</v>
      </c>
      <c r="O415" t="s">
        <v>75</v>
      </c>
      <c r="P415" t="s">
        <v>1316</v>
      </c>
      <c r="Q415" t="s">
        <v>30</v>
      </c>
      <c r="R415">
        <v>8</v>
      </c>
      <c r="S415" s="15">
        <v>1918.23</v>
      </c>
      <c r="T415" s="4">
        <v>0</v>
      </c>
      <c r="U415" s="3" t="str">
        <f>IF(T415&lt;0, "negative_discount", IF(AND(T415&gt;0.5, T415&lt;=1), "high_discount", ""))</f>
        <v/>
      </c>
      <c r="V415" s="11">
        <v>15345.84</v>
      </c>
      <c r="W415" s="12">
        <v>15345.84</v>
      </c>
      <c r="X415" s="11">
        <v>10735.33</v>
      </c>
      <c r="Y415" s="11">
        <v>4610.51</v>
      </c>
      <c r="Z415" s="11">
        <f>ROUND(W415-X415,2)</f>
        <v>4610.51</v>
      </c>
      <c r="AA415" s="4">
        <f>IF(W415=0,0,Z415/W415)</f>
        <v>0.30044037993358463</v>
      </c>
      <c r="AB415" t="s">
        <v>109</v>
      </c>
      <c r="AC415" t="s">
        <v>67</v>
      </c>
      <c r="AD415" t="str">
        <f>IF(AND(E415="", T415&gt;=0, T415&lt;=0.5, K415&lt;&gt;"Unknown", Q415&lt;&gt;"Unknown"), "CLEAN", _xlfn.CONCAT("WARNING: ", IF(E415&lt;&gt;"","invalid_date",""), IF(T415&lt;0,"negative_discount",""), IF(AND(T415&gt;0.5,T415&lt;=1),"high_discount",""), IF(K415="Unknown","missing_region",""), IF(Q415="Unknown","missing_ship_mode","")))</f>
        <v>CLEAN</v>
      </c>
      <c r="AE415" t="str">
        <f>IF(COUNTIF($AF$2:$AF$926,AF415)&gt;1,"DUPLICATE","UNIQUE")</f>
        <v>UNIQUE</v>
      </c>
      <c r="AF415" t="str">
        <f>A415&amp;"|"&amp;B415&amp;"|"&amp;H415&amp;"|"&amp;I415&amp;"|"&amp;R415&amp;"|"&amp;S415&amp;"|"&amp;V415</f>
        <v>ORD-2025-10414|2025-08-13|CUST-5094|Neha Gupta|8|1918.23|15345.84</v>
      </c>
      <c r="AG415" t="str">
        <f>IF(COUNTIF($A$2:$A$913,A415)&gt;1,"TRUE","FALSE")</f>
        <v>FALSE</v>
      </c>
    </row>
    <row r="416" spans="1:33">
      <c r="A416" t="s">
        <v>1317</v>
      </c>
      <c r="B416" t="s">
        <v>1318</v>
      </c>
      <c r="C416" t="s">
        <v>2799</v>
      </c>
      <c r="D416">
        <f>IF(OR(B416="", C416=""), "", (C416 - B416))</f>
        <v>1</v>
      </c>
      <c r="E416" t="str">
        <f>IF(C416&lt;B416, "INVALID: Ship date before order date", "")</f>
        <v/>
      </c>
      <c r="F416" t="str">
        <f>IF(B416="", "", TEXT(B416, "mmmm"))</f>
        <v>August</v>
      </c>
      <c r="G416">
        <f>IF(B416="", "", YEAR(B416))</f>
        <v>2024</v>
      </c>
      <c r="H416" t="s">
        <v>1319</v>
      </c>
      <c r="I416" t="s">
        <v>52</v>
      </c>
      <c r="J416" t="s">
        <v>93</v>
      </c>
      <c r="K416" t="s">
        <v>37</v>
      </c>
      <c r="L416" t="s">
        <v>163</v>
      </c>
      <c r="M416" t="s">
        <v>164</v>
      </c>
      <c r="N416" t="s">
        <v>27</v>
      </c>
      <c r="O416" t="s">
        <v>122</v>
      </c>
      <c r="P416" t="s">
        <v>1320</v>
      </c>
      <c r="Q416" t="s">
        <v>49</v>
      </c>
      <c r="R416">
        <v>4</v>
      </c>
      <c r="S416" s="15">
        <v>2484.08</v>
      </c>
      <c r="T416" s="4">
        <v>0.05</v>
      </c>
      <c r="U416" s="3" t="str">
        <f>IF(T416&lt;0, "negative_discount", IF(AND(T416&gt;0.5, T416&lt;=1), "high_discount", ""))</f>
        <v/>
      </c>
      <c r="V416" s="11">
        <v>9439.5</v>
      </c>
      <c r="W416" s="12">
        <v>9439.5</v>
      </c>
      <c r="X416" s="11">
        <v>5519.39</v>
      </c>
      <c r="Y416" s="11">
        <v>3920.11</v>
      </c>
      <c r="Z416" s="11">
        <f>ROUND(W416-X416,2)</f>
        <v>3920.11</v>
      </c>
      <c r="AA416" s="4">
        <f>IF(W416=0,0,Z416/W416)</f>
        <v>0.4152878860109116</v>
      </c>
      <c r="AB416" t="s">
        <v>31</v>
      </c>
      <c r="AC416" t="s">
        <v>32</v>
      </c>
      <c r="AD416" t="str">
        <f>IF(AND(E416="", T416&gt;=0, T416&lt;=0.5, K416&lt;&gt;"Unknown", Q416&lt;&gt;"Unknown"), "CLEAN", _xlfn.CONCAT("WARNING: ", IF(E416&lt;&gt;"","invalid_date",""), IF(T416&lt;0,"negative_discount",""), IF(AND(T416&gt;0.5,T416&lt;=1),"high_discount",""), IF(K416="Unknown","missing_region",""), IF(Q416="Unknown","missing_ship_mode","")))</f>
        <v>CLEAN</v>
      </c>
      <c r="AE416" t="str">
        <f>IF(COUNTIF($AF$2:$AF$926,AF416)&gt;1,"DUPLICATE","UNIQUE")</f>
        <v>UNIQUE</v>
      </c>
      <c r="AF416" t="str">
        <f>A416&amp;"|"&amp;B416&amp;"|"&amp;H416&amp;"|"&amp;I416&amp;"|"&amp;R416&amp;"|"&amp;S416&amp;"|"&amp;V416</f>
        <v>ORD-2024-10415|2024-08-29|CUST-4194|Arjun Bose|4|2484.08|9439.5</v>
      </c>
      <c r="AG416" t="str">
        <f>IF(COUNTIF($A$2:$A$913,A416)&gt;1,"TRUE","FALSE")</f>
        <v>FALSE</v>
      </c>
    </row>
    <row r="417" spans="1:33">
      <c r="A417" t="s">
        <v>1321</v>
      </c>
      <c r="B417" t="s">
        <v>300</v>
      </c>
      <c r="C417" t="s">
        <v>503</v>
      </c>
      <c r="D417">
        <f>IF(OR(B417="", C417=""), "", (C417 - B417))</f>
        <v>2</v>
      </c>
      <c r="E417" t="str">
        <f>IF(C417&lt;B417, "INVALID: Ship date before order date", "")</f>
        <v/>
      </c>
      <c r="F417" t="str">
        <f>IF(B417="", "", TEXT(B417, "mmmm"))</f>
        <v>January</v>
      </c>
      <c r="G417">
        <f>IF(B417="", "", YEAR(B417))</f>
        <v>2024</v>
      </c>
      <c r="H417" t="s">
        <v>1322</v>
      </c>
      <c r="I417" t="s">
        <v>126</v>
      </c>
      <c r="J417" t="s">
        <v>89</v>
      </c>
      <c r="K417" t="s">
        <v>53</v>
      </c>
      <c r="L417" t="s">
        <v>171</v>
      </c>
      <c r="M417" t="s">
        <v>172</v>
      </c>
      <c r="N417" t="s">
        <v>27</v>
      </c>
      <c r="O417" t="s">
        <v>122</v>
      </c>
      <c r="P417" t="s">
        <v>1323</v>
      </c>
      <c r="Q417" t="s">
        <v>43</v>
      </c>
      <c r="R417">
        <v>7</v>
      </c>
      <c r="S417" s="15">
        <v>1727.26</v>
      </c>
      <c r="T417" s="4">
        <v>0.15</v>
      </c>
      <c r="U417" s="3" t="str">
        <f>IF(T417&lt;0, "negative_discount", IF(AND(T417&gt;0.5, T417&lt;=1), "high_discount", ""))</f>
        <v/>
      </c>
      <c r="V417" s="11">
        <v>10277.200000000001</v>
      </c>
      <c r="W417" s="12">
        <v>10277.200000000001</v>
      </c>
      <c r="X417" s="11">
        <v>7906.5</v>
      </c>
      <c r="Y417" s="11">
        <v>2370.6999999999998</v>
      </c>
      <c r="Z417" s="11">
        <f>ROUND(W417-X417,2)</f>
        <v>2370.6999999999998</v>
      </c>
      <c r="AA417" s="4">
        <f>IF(W417=0,0,Z417/W417)</f>
        <v>0.2306756704160666</v>
      </c>
      <c r="AB417" t="s">
        <v>31</v>
      </c>
      <c r="AC417" t="s">
        <v>100</v>
      </c>
      <c r="AD417" t="str">
        <f>IF(AND(E417="", T417&gt;=0, T417&lt;=0.5, K417&lt;&gt;"Unknown", Q417&lt;&gt;"Unknown"), "CLEAN", _xlfn.CONCAT("WARNING: ", IF(E417&lt;&gt;"","invalid_date",""), IF(T417&lt;0,"negative_discount",""), IF(AND(T417&gt;0.5,T417&lt;=1),"high_discount",""), IF(K417="Unknown","missing_region",""), IF(Q417="Unknown","missing_ship_mode","")))</f>
        <v>CLEAN</v>
      </c>
      <c r="AE417" t="str">
        <f>IF(COUNTIF($AF$2:$AF$926,AF417)&gt;1,"DUPLICATE","UNIQUE")</f>
        <v>UNIQUE</v>
      </c>
      <c r="AF417" t="str">
        <f>A417&amp;"|"&amp;B417&amp;"|"&amp;H417&amp;"|"&amp;I417&amp;"|"&amp;R417&amp;"|"&amp;S417&amp;"|"&amp;V417</f>
        <v>ORD-2024-10416|2024-01-25|CUST-7087|Aarav Sharma|7|1727.26|10277.2</v>
      </c>
      <c r="AG417" t="str">
        <f>IF(COUNTIF($A$2:$A$913,A417)&gt;1,"TRUE","FALSE")</f>
        <v>FALSE</v>
      </c>
    </row>
    <row r="418" spans="1:33">
      <c r="A418" t="s">
        <v>3163</v>
      </c>
      <c r="B418" t="s">
        <v>1324</v>
      </c>
      <c r="C418" t="s">
        <v>1182</v>
      </c>
      <c r="D418">
        <f>IF(OR(B418="", C418=""), "", (C418 - B418))</f>
        <v>8</v>
      </c>
      <c r="E418" t="str">
        <f>IF(C418&lt;B418, "INVALID: Ship date before order date", "")</f>
        <v/>
      </c>
      <c r="F418" t="str">
        <f>IF(B418="", "", TEXT(B418, "mmmm"))</f>
        <v>January</v>
      </c>
      <c r="G418">
        <f>IF(B418="", "", YEAR(B418))</f>
        <v>2025</v>
      </c>
      <c r="H418" t="s">
        <v>1325</v>
      </c>
      <c r="I418" t="s">
        <v>78</v>
      </c>
      <c r="J418" t="s">
        <v>23</v>
      </c>
      <c r="K418" t="s">
        <v>53</v>
      </c>
      <c r="L418" t="s">
        <v>54</v>
      </c>
      <c r="M418" t="s">
        <v>55</v>
      </c>
      <c r="N418" t="s">
        <v>40</v>
      </c>
      <c r="O418" t="s">
        <v>56</v>
      </c>
      <c r="P418" t="s">
        <v>1326</v>
      </c>
      <c r="Q418" t="s">
        <v>49</v>
      </c>
      <c r="R418">
        <v>8</v>
      </c>
      <c r="S418" s="15">
        <v>638.95000000000005</v>
      </c>
      <c r="T418" s="4">
        <v>0.25</v>
      </c>
      <c r="U418" s="3" t="str">
        <f>IF(T418&lt;0, "negative_discount", IF(AND(T418&gt;0.5, T418&lt;=1), "high_discount", ""))</f>
        <v/>
      </c>
      <c r="V418" s="11">
        <v>3833.7</v>
      </c>
      <c r="W418" s="12">
        <v>3833.7</v>
      </c>
      <c r="X418" s="11">
        <v>2886.35</v>
      </c>
      <c r="Y418" s="11">
        <v>947.35</v>
      </c>
      <c r="Z418" s="11">
        <f>ROUND(W418-X418,2)</f>
        <v>947.35</v>
      </c>
      <c r="AA418" s="4">
        <f>IF(W418=0,0,Z418/W418)</f>
        <v>0.2471111458903931</v>
      </c>
      <c r="AB418" t="s">
        <v>31</v>
      </c>
      <c r="AC418" t="s">
        <v>32</v>
      </c>
      <c r="AD418" t="str">
        <f>IF(AND(E418="", T418&gt;=0, T418&lt;=0.5, K418&lt;&gt;"Unknown", Q418&lt;&gt;"Unknown"), "CLEAN", _xlfn.CONCAT("WARNING: ", IF(E418&lt;&gt;"","invalid_date",""), IF(T418&lt;0,"negative_discount",""), IF(AND(T418&gt;0.5,T418&lt;=1),"high_discount",""), IF(K418="Unknown","missing_region",""), IF(Q418="Unknown","missing_ship_mode","")))</f>
        <v>CLEAN</v>
      </c>
      <c r="AE418" t="str">
        <f>IF(COUNTIF($AF$2:$AF$926,AF418)&gt;1,"DUPLICATE","UNIQUE")</f>
        <v>UNIQUE</v>
      </c>
      <c r="AF418" t="str">
        <f>A418&amp;"|"&amp;B418&amp;"|"&amp;H418&amp;"|"&amp;I418&amp;"|"&amp;R418&amp;"|"&amp;S418&amp;"|"&amp;V418</f>
        <v>ORD-2025-10417|2025-01-08|CUST-7608|Neha Gupta|8|638.95|3833.7</v>
      </c>
      <c r="AG418" t="str">
        <f>IF(COUNTIF($A$2:$A$913,A418)&gt;1,"TRUE","FALSE")</f>
        <v>FALSE</v>
      </c>
    </row>
    <row r="419" spans="1:33">
      <c r="A419" t="s">
        <v>3164</v>
      </c>
      <c r="B419" t="s">
        <v>1706</v>
      </c>
      <c r="C419" t="s">
        <v>198</v>
      </c>
      <c r="D419">
        <f>IF(OR(B419="", C419=""), "", (C419 - B419))</f>
        <v>7</v>
      </c>
      <c r="E419" t="str">
        <f>IF(C419&lt;B419, "INVALID: Ship date before order date", "")</f>
        <v/>
      </c>
      <c r="F419" t="str">
        <f>IF(B419="", "", TEXT(B419, "mmmm"))</f>
        <v>January</v>
      </c>
      <c r="G419">
        <f>IF(B419="", "", YEAR(B419))</f>
        <v>2025</v>
      </c>
      <c r="H419" t="s">
        <v>1327</v>
      </c>
      <c r="I419" t="s">
        <v>35</v>
      </c>
      <c r="J419" t="s">
        <v>23</v>
      </c>
      <c r="K419" t="s">
        <v>62</v>
      </c>
      <c r="L419" t="s">
        <v>176</v>
      </c>
      <c r="M419" t="s">
        <v>177</v>
      </c>
      <c r="N419" t="s">
        <v>27</v>
      </c>
      <c r="O419" t="s">
        <v>47</v>
      </c>
      <c r="P419" t="s">
        <v>1328</v>
      </c>
      <c r="Q419" t="s">
        <v>49</v>
      </c>
      <c r="R419">
        <v>6</v>
      </c>
      <c r="S419" s="15">
        <v>3863</v>
      </c>
      <c r="T419" s="4">
        <v>0.2</v>
      </c>
      <c r="U419" s="3" t="str">
        <f>IF(T419&lt;0, "negative_discount", IF(AND(T419&gt;0.5, T419&lt;=1), "high_discount", ""))</f>
        <v/>
      </c>
      <c r="V419" s="11">
        <v>18542.400000000001</v>
      </c>
      <c r="W419" s="12">
        <v>18542.400000000001</v>
      </c>
      <c r="X419" s="11">
        <v>11193.75</v>
      </c>
      <c r="Y419" s="11">
        <v>7348.65</v>
      </c>
      <c r="Z419" s="11">
        <f>ROUND(W419-X419,2)</f>
        <v>7348.65</v>
      </c>
      <c r="AA419" s="4">
        <f>IF(W419=0,0,Z419/W419)</f>
        <v>0.39631601087237894</v>
      </c>
      <c r="AB419" t="s">
        <v>31</v>
      </c>
      <c r="AC419" t="s">
        <v>32</v>
      </c>
      <c r="AD419" t="str">
        <f>IF(AND(E419="", T419&gt;=0, T419&lt;=0.5, K419&lt;&gt;"Unknown", Q419&lt;&gt;"Unknown"), "CLEAN", _xlfn.CONCAT("WARNING: ", IF(E419&lt;&gt;"","invalid_date",""), IF(T419&lt;0,"negative_discount",""), IF(AND(T419&gt;0.5,T419&lt;=1),"high_discount",""), IF(K419="Unknown","missing_region",""), IF(Q419="Unknown","missing_ship_mode","")))</f>
        <v>CLEAN</v>
      </c>
      <c r="AE419" t="str">
        <f>IF(COUNTIF($AF$2:$AF$926,AF419)&gt;1,"DUPLICATE","UNIQUE")</f>
        <v>UNIQUE</v>
      </c>
      <c r="AF419" t="str">
        <f>A419&amp;"|"&amp;B419&amp;"|"&amp;H419&amp;"|"&amp;I419&amp;"|"&amp;R419&amp;"|"&amp;S419&amp;"|"&amp;V419</f>
        <v>ORD-2025-10418|2025-01-29|CUST-5269|Mira Das|6|3863|18542.4</v>
      </c>
      <c r="AG419" t="str">
        <f>IF(COUNTIF($A$2:$A$913,A419)&gt;1,"TRUE","FALSE")</f>
        <v>FALSE</v>
      </c>
    </row>
    <row r="420" spans="1:33">
      <c r="A420" t="s">
        <v>1329</v>
      </c>
      <c r="B420" t="s">
        <v>1587</v>
      </c>
      <c r="C420" t="s">
        <v>2938</v>
      </c>
      <c r="D420">
        <f>IF(OR(B420="", C420=""), "", (C420 - B420))</f>
        <v>8</v>
      </c>
      <c r="E420" t="str">
        <f>IF(C420&lt;B420, "INVALID: Ship date before order date", "")</f>
        <v/>
      </c>
      <c r="F420" t="str">
        <f>IF(B420="", "", TEXT(B420, "mmmm"))</f>
        <v>November</v>
      </c>
      <c r="G420">
        <f>IF(B420="", "", YEAR(B420))</f>
        <v>2024</v>
      </c>
      <c r="H420" t="s">
        <v>1330</v>
      </c>
      <c r="I420" t="s">
        <v>131</v>
      </c>
      <c r="J420" t="s">
        <v>89</v>
      </c>
      <c r="K420" t="s">
        <v>37</v>
      </c>
      <c r="L420" t="s">
        <v>38</v>
      </c>
      <c r="M420" t="s">
        <v>39</v>
      </c>
      <c r="N420" t="s">
        <v>74</v>
      </c>
      <c r="O420" t="s">
        <v>79</v>
      </c>
      <c r="P420" t="s">
        <v>1331</v>
      </c>
      <c r="Q420" t="s">
        <v>58</v>
      </c>
      <c r="R420">
        <v>6</v>
      </c>
      <c r="S420" s="15">
        <v>3660.4</v>
      </c>
      <c r="T420" s="4">
        <v>0</v>
      </c>
      <c r="U420" s="3" t="str">
        <f>IF(T420&lt;0, "negative_discount", IF(AND(T420&gt;0.5, T420&lt;=1), "high_discount", ""))</f>
        <v/>
      </c>
      <c r="V420" s="11">
        <v>21962.400000000001</v>
      </c>
      <c r="W420" s="12">
        <v>21962.400000000001</v>
      </c>
      <c r="X420" s="11">
        <v>15331.99</v>
      </c>
      <c r="Y420" s="11">
        <v>6630.41</v>
      </c>
      <c r="Z420" s="11">
        <f>ROUND(W420-X420,2)</f>
        <v>6630.41</v>
      </c>
      <c r="AA420" s="4">
        <f>IF(W420=0,0,Z420/W420)</f>
        <v>0.30189824427202855</v>
      </c>
      <c r="AB420" t="s">
        <v>151</v>
      </c>
      <c r="AC420" t="s">
        <v>67</v>
      </c>
      <c r="AD420" t="str">
        <f>IF(AND(E420="", T420&gt;=0, T420&lt;=0.5, K420&lt;&gt;"Unknown", Q420&lt;&gt;"Unknown"), "CLEAN", _xlfn.CONCAT("WARNING: ", IF(E420&lt;&gt;"","invalid_date",""), IF(T420&lt;0,"negative_discount",""), IF(AND(T420&gt;0.5,T420&lt;=1),"high_discount",""), IF(K420="Unknown","missing_region",""), IF(Q420="Unknown","missing_ship_mode","")))</f>
        <v>CLEAN</v>
      </c>
      <c r="AE420" t="str">
        <f>IF(COUNTIF($AF$2:$AF$926,AF420)&gt;1,"DUPLICATE","UNIQUE")</f>
        <v>UNIQUE</v>
      </c>
      <c r="AF420" t="str">
        <f>A420&amp;"|"&amp;B420&amp;"|"&amp;H420&amp;"|"&amp;I420&amp;"|"&amp;R420&amp;"|"&amp;S420&amp;"|"&amp;V420</f>
        <v>ORD-2024-10419|2024-11-09|CUST-7925|Sneha Kapoor|6|3660.4|21962.4</v>
      </c>
      <c r="AG420" t="str">
        <f>IF(COUNTIF($A$2:$A$913,A420)&gt;1,"TRUE","FALSE")</f>
        <v>FALSE</v>
      </c>
    </row>
    <row r="421" spans="1:33">
      <c r="A421" t="s">
        <v>3165</v>
      </c>
      <c r="B421" t="s">
        <v>2794</v>
      </c>
      <c r="C421" t="s">
        <v>2809</v>
      </c>
      <c r="D421">
        <f>IF(OR(B421="", C421=""), "", (C421 - B421))</f>
        <v>4</v>
      </c>
      <c r="E421" t="str">
        <f>IF(C421&lt;B421, "INVALID: Ship date before order date", "")</f>
        <v/>
      </c>
      <c r="F421" t="str">
        <f>IF(B421="", "", TEXT(B421, "mmmm"))</f>
        <v>September</v>
      </c>
      <c r="G421">
        <f>IF(B421="", "", YEAR(B421))</f>
        <v>2025</v>
      </c>
      <c r="H421" t="s">
        <v>1332</v>
      </c>
      <c r="I421" t="s">
        <v>131</v>
      </c>
      <c r="J421" t="s">
        <v>93</v>
      </c>
      <c r="K421" t="s">
        <v>24</v>
      </c>
      <c r="L421" t="s">
        <v>234</v>
      </c>
      <c r="M421" t="s">
        <v>235</v>
      </c>
      <c r="N421" t="s">
        <v>74</v>
      </c>
      <c r="O421" t="s">
        <v>168</v>
      </c>
      <c r="P421" t="s">
        <v>1333</v>
      </c>
      <c r="Q421" t="s">
        <v>43</v>
      </c>
      <c r="R421">
        <v>2</v>
      </c>
      <c r="S421" s="15">
        <v>688.83</v>
      </c>
      <c r="T421" s="4">
        <v>0.05</v>
      </c>
      <c r="U421" s="3" t="str">
        <f>IF(T421&lt;0, "negative_discount", IF(AND(T421&gt;0.5, T421&lt;=1), "high_discount", ""))</f>
        <v/>
      </c>
      <c r="V421" s="11">
        <v>1308.78</v>
      </c>
      <c r="W421" s="12">
        <v>1308.78</v>
      </c>
      <c r="X421" s="11">
        <v>843</v>
      </c>
      <c r="Y421" s="11">
        <v>465.78</v>
      </c>
      <c r="Z421" s="11">
        <f>ROUND(W421-X421,2)</f>
        <v>465.78</v>
      </c>
      <c r="AA421" s="4">
        <f>IF(W421=0,0,Z421/W421)</f>
        <v>0.35588869023059644</v>
      </c>
      <c r="AB421" t="s">
        <v>31</v>
      </c>
      <c r="AC421" t="s">
        <v>32</v>
      </c>
      <c r="AD421" t="str">
        <f>IF(AND(E421="", T421&gt;=0, T421&lt;=0.5, K421&lt;&gt;"Unknown", Q421&lt;&gt;"Unknown"), "CLEAN", _xlfn.CONCAT("WARNING: ", IF(E421&lt;&gt;"","invalid_date",""), IF(T421&lt;0,"negative_discount",""), IF(AND(T421&gt;0.5,T421&lt;=1),"high_discount",""), IF(K421="Unknown","missing_region",""), IF(Q421="Unknown","missing_ship_mode","")))</f>
        <v>CLEAN</v>
      </c>
      <c r="AE421" t="str">
        <f>IF(COUNTIF($AF$2:$AF$926,AF421)&gt;1,"DUPLICATE","UNIQUE")</f>
        <v>UNIQUE</v>
      </c>
      <c r="AF421" t="str">
        <f>A421&amp;"|"&amp;B421&amp;"|"&amp;H421&amp;"|"&amp;I421&amp;"|"&amp;R421&amp;"|"&amp;S421&amp;"|"&amp;V421</f>
        <v>ORD-2025-10420|2025-09-26|CUST-6552|Sneha Kapoor|2|688.83|1308.78</v>
      </c>
      <c r="AG421" t="str">
        <f>IF(COUNTIF($A$2:$A$913,A421)&gt;1,"TRUE","FALSE")</f>
        <v>FALSE</v>
      </c>
    </row>
    <row r="422" spans="1:33">
      <c r="A422" t="s">
        <v>3166</v>
      </c>
      <c r="B422" t="s">
        <v>2730</v>
      </c>
      <c r="C422" t="s">
        <v>1334</v>
      </c>
      <c r="D422">
        <f>IF(OR(B422="", C422=""), "", (C422 - B422))</f>
        <v>1</v>
      </c>
      <c r="E422" t="str">
        <f>IF(C422&lt;B422, "INVALID: Ship date before order date", "")</f>
        <v/>
      </c>
      <c r="F422" t="str">
        <f>IF(B422="", "", TEXT(B422, "mmmm"))</f>
        <v>March</v>
      </c>
      <c r="G422">
        <f>IF(B422="", "", YEAR(B422))</f>
        <v>2025</v>
      </c>
      <c r="H422" t="s">
        <v>1335</v>
      </c>
      <c r="I422" t="s">
        <v>46</v>
      </c>
      <c r="J422" t="s">
        <v>89</v>
      </c>
      <c r="K422" t="s">
        <v>53</v>
      </c>
      <c r="L422" t="s">
        <v>246</v>
      </c>
      <c r="M422" t="s">
        <v>247</v>
      </c>
      <c r="N422" t="s">
        <v>74</v>
      </c>
      <c r="O422" t="s">
        <v>272</v>
      </c>
      <c r="P422" t="s">
        <v>1336</v>
      </c>
      <c r="Q422" t="s">
        <v>58</v>
      </c>
      <c r="R422">
        <v>2</v>
      </c>
      <c r="S422" s="15">
        <v>1209.99</v>
      </c>
      <c r="T422" s="4">
        <v>0.25</v>
      </c>
      <c r="U422" s="3" t="str">
        <f>IF(T422&lt;0, "negative_discount", IF(AND(T422&gt;0.5, T422&lt;=1), "high_discount", ""))</f>
        <v/>
      </c>
      <c r="V422" s="11">
        <v>1814.99</v>
      </c>
      <c r="W422" s="12">
        <v>1814.99</v>
      </c>
      <c r="X422" s="11">
        <v>1120.06</v>
      </c>
      <c r="Y422" s="11">
        <v>694.93</v>
      </c>
      <c r="Z422" s="11">
        <f>ROUND(W422-X422,2)</f>
        <v>694.93</v>
      </c>
      <c r="AA422" s="4">
        <f>IF(W422=0,0,Z422/W422)</f>
        <v>0.38288365225152754</v>
      </c>
      <c r="AB422" t="s">
        <v>109</v>
      </c>
      <c r="AC422" t="s">
        <v>67</v>
      </c>
      <c r="AD422" t="str">
        <f>IF(AND(E422="", T422&gt;=0, T422&lt;=0.5, K422&lt;&gt;"Unknown", Q422&lt;&gt;"Unknown"), "CLEAN", _xlfn.CONCAT("WARNING: ", IF(E422&lt;&gt;"","invalid_date",""), IF(T422&lt;0,"negative_discount",""), IF(AND(T422&gt;0.5,T422&lt;=1),"high_discount",""), IF(K422="Unknown","missing_region",""), IF(Q422="Unknown","missing_ship_mode","")))</f>
        <v>CLEAN</v>
      </c>
      <c r="AE422" t="str">
        <f>IF(COUNTIF($AF$2:$AF$926,AF422)&gt;1,"DUPLICATE","UNIQUE")</f>
        <v>UNIQUE</v>
      </c>
      <c r="AF422" t="str">
        <f>A422&amp;"|"&amp;B422&amp;"|"&amp;H422&amp;"|"&amp;I422&amp;"|"&amp;R422&amp;"|"&amp;S422&amp;"|"&amp;V422</f>
        <v>ORD-2025-10421|2025-03-18|CUST-7131|Isha Nair|2|1209.99|1814.99</v>
      </c>
      <c r="AG422" t="str">
        <f>IF(COUNTIF($A$2:$A$913,A422)&gt;1,"TRUE","FALSE")</f>
        <v>FALSE</v>
      </c>
    </row>
    <row r="423" spans="1:33">
      <c r="A423" t="s">
        <v>3167</v>
      </c>
      <c r="B423" t="s">
        <v>2795</v>
      </c>
      <c r="C423" t="s">
        <v>1016</v>
      </c>
      <c r="D423">
        <f>IF(OR(B423="", C423=""), "", (C423 - B423))</f>
        <v>5</v>
      </c>
      <c r="E423" t="str">
        <f>IF(C423&lt;B423, "INVALID: Ship date before order date", "")</f>
        <v/>
      </c>
      <c r="F423" t="str">
        <f>IF(B423="", "", TEXT(B423, "mmmm"))</f>
        <v>June</v>
      </c>
      <c r="G423">
        <f>IF(B423="", "", YEAR(B423))</f>
        <v>2025</v>
      </c>
      <c r="H423" t="s">
        <v>1337</v>
      </c>
      <c r="I423" t="s">
        <v>139</v>
      </c>
      <c r="J423" t="s">
        <v>36</v>
      </c>
      <c r="K423" t="s">
        <v>24</v>
      </c>
      <c r="L423" t="s">
        <v>353</v>
      </c>
      <c r="M423" t="s">
        <v>354</v>
      </c>
      <c r="N423" t="s">
        <v>27</v>
      </c>
      <c r="O423" t="s">
        <v>149</v>
      </c>
      <c r="P423" t="s">
        <v>1338</v>
      </c>
      <c r="Q423" t="s">
        <v>43</v>
      </c>
      <c r="R423">
        <v>3</v>
      </c>
      <c r="S423" s="15">
        <v>1037.45</v>
      </c>
      <c r="T423" s="4">
        <v>0.2</v>
      </c>
      <c r="U423" s="3" t="str">
        <f>IF(T423&lt;0, "negative_discount", IF(AND(T423&gt;0.5, T423&lt;=1), "high_discount", ""))</f>
        <v/>
      </c>
      <c r="V423" s="11">
        <v>2489.88</v>
      </c>
      <c r="W423" s="12">
        <v>2489.88</v>
      </c>
      <c r="X423" s="11">
        <v>1707.52</v>
      </c>
      <c r="Y423" s="11">
        <v>782.36</v>
      </c>
      <c r="Z423" s="11">
        <f>ROUND(W423-X423,2)</f>
        <v>782.36</v>
      </c>
      <c r="AA423" s="4">
        <f>IF(W423=0,0,Z423/W423)</f>
        <v>0.31421594615001525</v>
      </c>
      <c r="AB423" t="s">
        <v>109</v>
      </c>
      <c r="AC423" t="s">
        <v>100</v>
      </c>
      <c r="AD423" t="str">
        <f>IF(AND(E423="", T423&gt;=0, T423&lt;=0.5, K423&lt;&gt;"Unknown", Q423&lt;&gt;"Unknown"), "CLEAN", _xlfn.CONCAT("WARNING: ", IF(E423&lt;&gt;"","invalid_date",""), IF(T423&lt;0,"negative_discount",""), IF(AND(T423&gt;0.5,T423&lt;=1),"high_discount",""), IF(K423="Unknown","missing_region",""), IF(Q423="Unknown","missing_ship_mode","")))</f>
        <v>CLEAN</v>
      </c>
      <c r="AE423" t="str">
        <f>IF(COUNTIF($AF$2:$AF$926,AF423)&gt;1,"DUPLICATE","UNIQUE")</f>
        <v>UNIQUE</v>
      </c>
      <c r="AF423" t="str">
        <f>A423&amp;"|"&amp;B423&amp;"|"&amp;H423&amp;"|"&amp;I423&amp;"|"&amp;R423&amp;"|"&amp;S423&amp;"|"&amp;V423</f>
        <v>ORD-2025-10422|2025-06-14|CUST-2779|Rohan Mehta|3|1037.45|2489.88</v>
      </c>
      <c r="AG423" t="str">
        <f>IF(COUNTIF($A$2:$A$913,A423)&gt;1,"TRUE","FALSE")</f>
        <v>FALSE</v>
      </c>
    </row>
    <row r="424" spans="1:33">
      <c r="A424" t="s">
        <v>3168</v>
      </c>
      <c r="B424" t="s">
        <v>1800</v>
      </c>
      <c r="C424" t="s">
        <v>2889</v>
      </c>
      <c r="D424">
        <f>IF(OR(B424="", C424=""), "", (C424 - B424))</f>
        <v>3</v>
      </c>
      <c r="E424" t="str">
        <f>IF(C424&lt;B424, "INVALID: Ship date before order date", "")</f>
        <v/>
      </c>
      <c r="F424" t="str">
        <f>IF(B424="", "", TEXT(B424, "mmmm"))</f>
        <v>September</v>
      </c>
      <c r="G424">
        <f>IF(B424="", "", YEAR(B424))</f>
        <v>2025</v>
      </c>
      <c r="H424" t="s">
        <v>1339</v>
      </c>
      <c r="I424" t="s">
        <v>263</v>
      </c>
      <c r="J424" t="s">
        <v>23</v>
      </c>
      <c r="K424" t="s">
        <v>62</v>
      </c>
      <c r="L424" t="s">
        <v>72</v>
      </c>
      <c r="M424" t="s">
        <v>73</v>
      </c>
      <c r="N424" t="s">
        <v>74</v>
      </c>
      <c r="O424" t="s">
        <v>79</v>
      </c>
      <c r="P424" t="s">
        <v>1340</v>
      </c>
      <c r="Q424" t="s">
        <v>43</v>
      </c>
      <c r="R424">
        <v>7</v>
      </c>
      <c r="S424" s="15">
        <v>688.85</v>
      </c>
      <c r="T424" s="4">
        <v>0.15</v>
      </c>
      <c r="U424" s="3" t="str">
        <f>IF(T424&lt;0, "negative_discount", IF(AND(T424&gt;0.5, T424&lt;=1), "high_discount", ""))</f>
        <v/>
      </c>
      <c r="V424" s="11">
        <v>4098.66</v>
      </c>
      <c r="W424" s="12">
        <v>4098.66</v>
      </c>
      <c r="X424" s="11">
        <v>2678.06</v>
      </c>
      <c r="Y424" s="11">
        <v>1420.6</v>
      </c>
      <c r="Z424" s="11">
        <f>ROUND(W424-X424,2)</f>
        <v>1420.6</v>
      </c>
      <c r="AA424" s="4">
        <f>IF(W424=0,0,Z424/W424)</f>
        <v>0.34660108425680586</v>
      </c>
      <c r="AB424" t="s">
        <v>31</v>
      </c>
      <c r="AC424" t="s">
        <v>32</v>
      </c>
      <c r="AD424" t="str">
        <f>IF(AND(E424="", T424&gt;=0, T424&lt;=0.5, K424&lt;&gt;"Unknown", Q424&lt;&gt;"Unknown"), "CLEAN", _xlfn.CONCAT("WARNING: ", IF(E424&lt;&gt;"","invalid_date",""), IF(T424&lt;0,"negative_discount",""), IF(AND(T424&gt;0.5,T424&lt;=1),"high_discount",""), IF(K424="Unknown","missing_region",""), IF(Q424="Unknown","missing_ship_mode","")))</f>
        <v>CLEAN</v>
      </c>
      <c r="AE424" t="str">
        <f>IF(COUNTIF($AF$2:$AF$926,AF424)&gt;1,"DUPLICATE","UNIQUE")</f>
        <v>UNIQUE</v>
      </c>
      <c r="AF424" t="str">
        <f>A424&amp;"|"&amp;B424&amp;"|"&amp;H424&amp;"|"&amp;I424&amp;"|"&amp;R424&amp;"|"&amp;S424&amp;"|"&amp;V424</f>
        <v>ORD-2025-10423|2025-09-03|CUST-6077|Kabir Singh|7|688.85|4098.66</v>
      </c>
      <c r="AG424" t="str">
        <f>IF(COUNTIF($A$2:$A$913,A424)&gt;1,"TRUE","FALSE")</f>
        <v>FALSE</v>
      </c>
    </row>
    <row r="425" spans="1:33">
      <c r="A425" t="s">
        <v>1341</v>
      </c>
      <c r="B425" t="s">
        <v>1342</v>
      </c>
      <c r="C425" t="s">
        <v>1727</v>
      </c>
      <c r="D425">
        <f>IF(OR(B425="", C425=""), "", (C425 - B425))</f>
        <v>7</v>
      </c>
      <c r="E425" t="str">
        <f>IF(C425&lt;B425, "INVALID: Ship date before order date", "")</f>
        <v/>
      </c>
      <c r="F425" t="str">
        <f>IF(B425="", "", TEXT(B425, "mmmm"))</f>
        <v>February</v>
      </c>
      <c r="G425">
        <f>IF(B425="", "", YEAR(B425))</f>
        <v>2024</v>
      </c>
      <c r="H425" t="s">
        <v>1343</v>
      </c>
      <c r="I425" t="s">
        <v>158</v>
      </c>
      <c r="J425" t="s">
        <v>23</v>
      </c>
      <c r="K425" t="s">
        <v>53</v>
      </c>
      <c r="L425" t="s">
        <v>180</v>
      </c>
      <c r="M425" t="s">
        <v>181</v>
      </c>
      <c r="N425" t="s">
        <v>74</v>
      </c>
      <c r="O425" t="s">
        <v>75</v>
      </c>
      <c r="P425" t="s">
        <v>1344</v>
      </c>
      <c r="Q425" t="s">
        <v>49</v>
      </c>
      <c r="R425">
        <v>9</v>
      </c>
      <c r="S425" s="15">
        <v>3779.31</v>
      </c>
      <c r="T425" s="4">
        <v>0.2</v>
      </c>
      <c r="U425" s="3" t="str">
        <f>IF(T425&lt;0, "negative_discount", IF(AND(T425&gt;0.5, T425&lt;=1), "high_discount", ""))</f>
        <v/>
      </c>
      <c r="V425" s="11">
        <v>27211.03</v>
      </c>
      <c r="W425" s="12">
        <v>27211.03</v>
      </c>
      <c r="X425" s="11">
        <v>17940.43</v>
      </c>
      <c r="Y425" s="11">
        <v>9270.6</v>
      </c>
      <c r="Z425" s="11">
        <f>ROUND(W425-X425,2)</f>
        <v>9270.6</v>
      </c>
      <c r="AA425" s="4">
        <f>IF(W425=0,0,Z425/W425)</f>
        <v>0.34069272644218174</v>
      </c>
      <c r="AB425" t="s">
        <v>31</v>
      </c>
      <c r="AC425" t="s">
        <v>32</v>
      </c>
      <c r="AD425" t="str">
        <f>IF(AND(E425="", T425&gt;=0, T425&lt;=0.5, K425&lt;&gt;"Unknown", Q425&lt;&gt;"Unknown"), "CLEAN", _xlfn.CONCAT("WARNING: ", IF(E425&lt;&gt;"","invalid_date",""), IF(T425&lt;0,"negative_discount",""), IF(AND(T425&gt;0.5,T425&lt;=1),"high_discount",""), IF(K425="Unknown","missing_region",""), IF(Q425="Unknown","missing_ship_mode","")))</f>
        <v>CLEAN</v>
      </c>
      <c r="AE425" t="str">
        <f>IF(COUNTIF($AF$2:$AF$926,AF425)&gt;1,"DUPLICATE","UNIQUE")</f>
        <v>UNIQUE</v>
      </c>
      <c r="AF425" t="str">
        <f>A425&amp;"|"&amp;B425&amp;"|"&amp;H425&amp;"|"&amp;I425&amp;"|"&amp;R425&amp;"|"&amp;S425&amp;"|"&amp;V425</f>
        <v>ORD-2024-10424|2024-02-20|CUST-6169|Diya Patel|9|3779.31|27211.03</v>
      </c>
      <c r="AG425" t="str">
        <f>IF(COUNTIF($A$2:$A$913,A425)&gt;1,"TRUE","FALSE")</f>
        <v>TRUE</v>
      </c>
    </row>
    <row r="426" spans="1:33">
      <c r="A426" t="s">
        <v>1345</v>
      </c>
      <c r="B426" t="s">
        <v>2796</v>
      </c>
      <c r="C426" t="s">
        <v>1346</v>
      </c>
      <c r="D426">
        <f>IF(OR(B426="", C426=""), "", (C426 - B426))</f>
        <v>3</v>
      </c>
      <c r="E426" t="str">
        <f>IF(C426&lt;B426, "INVALID: Ship date before order date", "")</f>
        <v/>
      </c>
      <c r="F426" t="str">
        <f>IF(B426="", "", TEXT(B426, "mmmm"))</f>
        <v>June</v>
      </c>
      <c r="G426">
        <f>IF(B426="", "", YEAR(B426))</f>
        <v>2024</v>
      </c>
      <c r="H426" t="s">
        <v>1347</v>
      </c>
      <c r="I426" t="s">
        <v>78</v>
      </c>
      <c r="J426" t="s">
        <v>89</v>
      </c>
      <c r="K426" t="s">
        <v>24</v>
      </c>
      <c r="L426" t="s">
        <v>120</v>
      </c>
      <c r="M426" t="s">
        <v>121</v>
      </c>
      <c r="N426" t="s">
        <v>74</v>
      </c>
      <c r="O426" t="s">
        <v>168</v>
      </c>
      <c r="P426" t="s">
        <v>1348</v>
      </c>
      <c r="Q426" t="s">
        <v>58</v>
      </c>
      <c r="R426">
        <v>8</v>
      </c>
      <c r="S426" s="15">
        <v>804.52</v>
      </c>
      <c r="T426" s="4">
        <v>0</v>
      </c>
      <c r="U426" s="3" t="str">
        <f>IF(T426&lt;0, "negative_discount", IF(AND(T426&gt;0.5, T426&lt;=1), "high_discount", ""))</f>
        <v/>
      </c>
      <c r="V426" s="11">
        <v>6436.16</v>
      </c>
      <c r="W426" s="12">
        <v>6436.16</v>
      </c>
      <c r="X426" s="11">
        <v>4263.83</v>
      </c>
      <c r="Y426" s="11">
        <v>2172.33</v>
      </c>
      <c r="Z426" s="11">
        <f>ROUND(W426-X426,2)</f>
        <v>2172.33</v>
      </c>
      <c r="AA426" s="4">
        <f>IF(W426=0,0,Z426/W426)</f>
        <v>0.33751957689056827</v>
      </c>
      <c r="AB426" t="s">
        <v>31</v>
      </c>
      <c r="AC426" t="s">
        <v>32</v>
      </c>
      <c r="AD426" t="str">
        <f>IF(AND(E426="", T426&gt;=0, T426&lt;=0.5, K426&lt;&gt;"Unknown", Q426&lt;&gt;"Unknown"), "CLEAN", _xlfn.CONCAT("WARNING: ", IF(E426&lt;&gt;"","invalid_date",""), IF(T426&lt;0,"negative_discount",""), IF(AND(T426&gt;0.5,T426&lt;=1),"high_discount",""), IF(K426="Unknown","missing_region",""), IF(Q426="Unknown","missing_ship_mode","")))</f>
        <v>CLEAN</v>
      </c>
      <c r="AE426" t="str">
        <f>IF(COUNTIF($AF$2:$AF$926,AF426)&gt;1,"DUPLICATE","UNIQUE")</f>
        <v>UNIQUE</v>
      </c>
      <c r="AF426" t="str">
        <f>A426&amp;"|"&amp;B426&amp;"|"&amp;H426&amp;"|"&amp;I426&amp;"|"&amp;R426&amp;"|"&amp;S426&amp;"|"&amp;V426</f>
        <v>ORD-2024-10425|2024-06-26|CUST-8904|Neha Gupta|8|804.52|6436.16</v>
      </c>
      <c r="AG426" t="str">
        <f>IF(COUNTIF($A$2:$A$913,A426)&gt;1,"TRUE","FALSE")</f>
        <v>FALSE</v>
      </c>
    </row>
    <row r="427" spans="1:33">
      <c r="A427" t="s">
        <v>1349</v>
      </c>
      <c r="B427" t="s">
        <v>2797</v>
      </c>
      <c r="C427" t="s">
        <v>2939</v>
      </c>
      <c r="D427">
        <f>IF(OR(B427="", C427=""), "", (C427 - B427))</f>
        <v>1</v>
      </c>
      <c r="E427" t="str">
        <f>IF(C427&lt;B427, "INVALID: Ship date before order date", "")</f>
        <v/>
      </c>
      <c r="F427" t="str">
        <f>IF(B427="", "", TEXT(B427, "mmmm"))</f>
        <v>September</v>
      </c>
      <c r="G427">
        <f>IF(B427="", "", YEAR(B427))</f>
        <v>2024</v>
      </c>
      <c r="H427" t="s">
        <v>1350</v>
      </c>
      <c r="I427" t="s">
        <v>46</v>
      </c>
      <c r="J427" t="s">
        <v>93</v>
      </c>
      <c r="K427" t="s">
        <v>24</v>
      </c>
      <c r="L427" t="s">
        <v>353</v>
      </c>
      <c r="M427" t="s">
        <v>354</v>
      </c>
      <c r="N427" t="s">
        <v>27</v>
      </c>
      <c r="O427" t="s">
        <v>90</v>
      </c>
      <c r="P427" t="s">
        <v>1351</v>
      </c>
      <c r="Q427" t="s">
        <v>49</v>
      </c>
      <c r="R427">
        <v>2</v>
      </c>
      <c r="S427" s="15">
        <v>1065.69</v>
      </c>
      <c r="T427" s="4">
        <v>0.1</v>
      </c>
      <c r="U427" s="3" t="str">
        <f>IF(T427&lt;0, "negative_discount", IF(AND(T427&gt;0.5, T427&lt;=1), "high_discount", ""))</f>
        <v/>
      </c>
      <c r="V427" s="11">
        <v>1918.24</v>
      </c>
      <c r="W427" s="12">
        <v>1918.24</v>
      </c>
      <c r="X427" s="11">
        <v>1373.52</v>
      </c>
      <c r="Y427" s="11">
        <v>544.72</v>
      </c>
      <c r="Z427" s="11">
        <f>ROUND(W427-X427,2)</f>
        <v>544.72</v>
      </c>
      <c r="AA427" s="4">
        <f>IF(W427=0,0,Z427/W427)</f>
        <v>0.28396863791809157</v>
      </c>
      <c r="AB427" t="s">
        <v>99</v>
      </c>
      <c r="AC427" t="s">
        <v>67</v>
      </c>
      <c r="AD427" t="str">
        <f>IF(AND(E427="", T427&gt;=0, T427&lt;=0.5, K427&lt;&gt;"Unknown", Q427&lt;&gt;"Unknown"), "CLEAN", _xlfn.CONCAT("WARNING: ", IF(E427&lt;&gt;"","invalid_date",""), IF(T427&lt;0,"negative_discount",""), IF(AND(T427&gt;0.5,T427&lt;=1),"high_discount",""), IF(K427="Unknown","missing_region",""), IF(Q427="Unknown","missing_ship_mode","")))</f>
        <v>CLEAN</v>
      </c>
      <c r="AE427" t="str">
        <f>IF(COUNTIF($AF$2:$AF$926,AF427)&gt;1,"DUPLICATE","UNIQUE")</f>
        <v>UNIQUE</v>
      </c>
      <c r="AF427" t="str">
        <f>A427&amp;"|"&amp;B427&amp;"|"&amp;H427&amp;"|"&amp;I427&amp;"|"&amp;R427&amp;"|"&amp;S427&amp;"|"&amp;V427</f>
        <v>ORD-2024-10426|2024-09-26|CUST-9586|Isha Nair|2|1065.69|1918.24</v>
      </c>
      <c r="AG427" t="str">
        <f>IF(COUNTIF($A$2:$A$913,A427)&gt;1,"TRUE","FALSE")</f>
        <v>FALSE</v>
      </c>
    </row>
    <row r="428" spans="1:33">
      <c r="A428" t="s">
        <v>1352</v>
      </c>
      <c r="B428" t="s">
        <v>2798</v>
      </c>
      <c r="C428" t="s">
        <v>2677</v>
      </c>
      <c r="D428">
        <f>IF(OR(B428="", C428=""), "", (C428 - B428))</f>
        <v>-175</v>
      </c>
      <c r="E428" t="str">
        <f>IF(C428&lt;B428, "INVALID: Ship date before order date", "")</f>
        <v>INVALID: Ship date before order date</v>
      </c>
      <c r="F428" t="str">
        <f>IF(B428="", "", TEXT(B428, "mmmm"))</f>
        <v>June</v>
      </c>
      <c r="G428">
        <f>IF(B428="", "", YEAR(B428))</f>
        <v>2024</v>
      </c>
      <c r="H428" t="s">
        <v>1353</v>
      </c>
      <c r="I428" t="s">
        <v>88</v>
      </c>
      <c r="J428" t="s">
        <v>23</v>
      </c>
      <c r="K428" t="s">
        <v>24</v>
      </c>
      <c r="L428" t="s">
        <v>234</v>
      </c>
      <c r="M428" t="s">
        <v>235</v>
      </c>
      <c r="N428" t="s">
        <v>74</v>
      </c>
      <c r="O428" t="s">
        <v>79</v>
      </c>
      <c r="P428" t="s">
        <v>1354</v>
      </c>
      <c r="Q428" t="s">
        <v>43</v>
      </c>
      <c r="R428">
        <v>8</v>
      </c>
      <c r="S428" s="15">
        <v>3756.66</v>
      </c>
      <c r="T428" s="4">
        <v>0.1</v>
      </c>
      <c r="U428" s="3" t="str">
        <f>IF(T428&lt;0, "negative_discount", IF(AND(T428&gt;0.5, T428&lt;=1), "high_discount", ""))</f>
        <v/>
      </c>
      <c r="V428" s="11">
        <v>27047.95</v>
      </c>
      <c r="W428" s="12">
        <v>27047.95</v>
      </c>
      <c r="X428" s="11">
        <v>18431.330000000002</v>
      </c>
      <c r="Y428" s="11">
        <v>8616.6200000000008</v>
      </c>
      <c r="Z428" s="11">
        <f>ROUND(W428-X428,2)</f>
        <v>8616.6200000000008</v>
      </c>
      <c r="AA428" s="4">
        <f>IF(W428=0,0,Z428/W428)</f>
        <v>0.3185683203348128</v>
      </c>
      <c r="AB428" t="s">
        <v>31</v>
      </c>
      <c r="AC428" t="s">
        <v>32</v>
      </c>
      <c r="AD428" t="str">
        <f>IF(AND(E428="", T428&gt;=0, T428&lt;=0.5, K428&lt;&gt;"Unknown", Q428&lt;&gt;"Unknown"), "CLEAN", _xlfn.CONCAT("WARNING: ", IF(E428&lt;&gt;"","invalid_date",""), IF(T428&lt;0,"negative_discount",""), IF(AND(T428&gt;0.5,T428&lt;=1),"high_discount",""), IF(K428="Unknown","missing_region",""), IF(Q428="Unknown","missing_ship_mode","")))</f>
        <v>WARNING: invalid_date</v>
      </c>
      <c r="AE428" t="str">
        <f>IF(COUNTIF($AF$2:$AF$926,AF428)&gt;1,"DUPLICATE","UNIQUE")</f>
        <v>UNIQUE</v>
      </c>
      <c r="AF428" t="str">
        <f>A428&amp;"|"&amp;B428&amp;"|"&amp;H428&amp;"|"&amp;I428&amp;"|"&amp;R428&amp;"|"&amp;S428&amp;"|"&amp;V428</f>
        <v>ORD-2024-10427|2024-06-30|CUST-5431|Aditi Sen|8|3756.66|27047.95</v>
      </c>
      <c r="AG428" t="str">
        <f>IF(COUNTIF($A$2:$A$913,A428)&gt;1,"TRUE","FALSE")</f>
        <v>FALSE</v>
      </c>
    </row>
    <row r="429" spans="1:33">
      <c r="A429" t="s">
        <v>3169</v>
      </c>
      <c r="B429" t="s">
        <v>1355</v>
      </c>
      <c r="C429" t="s">
        <v>2790</v>
      </c>
      <c r="D429">
        <f>IF(OR(B429="", C429=""), "", (C429 - B429))</f>
        <v>2</v>
      </c>
      <c r="E429" t="str">
        <f>IF(C429&lt;B429, "INVALID: Ship date before order date", "")</f>
        <v/>
      </c>
      <c r="F429" t="str">
        <f>IF(B429="", "", TEXT(B429, "mmmm"))</f>
        <v>April</v>
      </c>
      <c r="G429">
        <f>IF(B429="", "", YEAR(B429))</f>
        <v>2025</v>
      </c>
      <c r="H429" t="s">
        <v>1356</v>
      </c>
      <c r="I429" t="s">
        <v>46</v>
      </c>
      <c r="J429" t="s">
        <v>89</v>
      </c>
      <c r="K429" t="s">
        <v>2970</v>
      </c>
      <c r="L429" t="s">
        <v>226</v>
      </c>
      <c r="M429" t="s">
        <v>227</v>
      </c>
      <c r="N429" t="s">
        <v>74</v>
      </c>
      <c r="O429" t="s">
        <v>75</v>
      </c>
      <c r="P429" t="s">
        <v>1357</v>
      </c>
      <c r="Q429" t="s">
        <v>58</v>
      </c>
      <c r="R429">
        <v>9</v>
      </c>
      <c r="S429" s="15">
        <v>2939.44</v>
      </c>
      <c r="T429" s="4">
        <v>0</v>
      </c>
      <c r="U429" s="3" t="str">
        <f>IF(T429&lt;0, "negative_discount", IF(AND(T429&gt;0.5, T429&lt;=1), "high_discount", ""))</f>
        <v/>
      </c>
      <c r="V429" s="11">
        <v>26454.959999999999</v>
      </c>
      <c r="W429" s="12">
        <v>26454.959999999999</v>
      </c>
      <c r="X429" s="11">
        <v>17630.25</v>
      </c>
      <c r="Y429" s="11">
        <v>8824.7099999999991</v>
      </c>
      <c r="Z429" s="11">
        <f>ROUND(W429-X429,2)</f>
        <v>8824.7099999999991</v>
      </c>
      <c r="AA429" s="4">
        <f>IF(W429=0,0,Z429/W429)</f>
        <v>0.33357487594008833</v>
      </c>
      <c r="AB429" t="s">
        <v>31</v>
      </c>
      <c r="AC429" t="s">
        <v>32</v>
      </c>
      <c r="AD429" t="str">
        <f>IF(AND(E429="", T429&gt;=0, T429&lt;=0.5, K429&lt;&gt;"Unknown", Q429&lt;&gt;"Unknown"), "CLEAN", _xlfn.CONCAT("WARNING: ", IF(E429&lt;&gt;"","invalid_date",""), IF(T429&lt;0,"negative_discount",""), IF(AND(T429&gt;0.5,T429&lt;=1),"high_discount",""), IF(K429="Unknown","missing_region",""), IF(Q429="Unknown","missing_ship_mode","")))</f>
        <v>WARNING: missing_region</v>
      </c>
      <c r="AE429" t="str">
        <f>IF(COUNTIF($AF$2:$AF$926,AF429)&gt;1,"DUPLICATE","UNIQUE")</f>
        <v>UNIQUE</v>
      </c>
      <c r="AF429" t="str">
        <f>A429&amp;"|"&amp;B429&amp;"|"&amp;H429&amp;"|"&amp;I429&amp;"|"&amp;R429&amp;"|"&amp;S429&amp;"|"&amp;V429</f>
        <v>ORD-2025-10428|2025-04-22|CUST-8843|Isha Nair|9|2939.44|26454.96</v>
      </c>
      <c r="AG429" t="str">
        <f>IF(COUNTIF($A$2:$A$913,A429)&gt;1,"TRUE","FALSE")</f>
        <v>FALSE</v>
      </c>
    </row>
    <row r="430" spans="1:33">
      <c r="A430" t="s">
        <v>3170</v>
      </c>
      <c r="B430" t="s">
        <v>1358</v>
      </c>
      <c r="C430" t="s">
        <v>2867</v>
      </c>
      <c r="D430">
        <f>IF(OR(B430="", C430=""), "", (C430 - B430))</f>
        <v>7</v>
      </c>
      <c r="E430" t="str">
        <f>IF(C430&lt;B430, "INVALID: Ship date before order date", "")</f>
        <v/>
      </c>
      <c r="F430" t="str">
        <f>IF(B430="", "", TEXT(B430, "mmmm"))</f>
        <v>March</v>
      </c>
      <c r="G430">
        <f>IF(B430="", "", YEAR(B430))</f>
        <v>2025</v>
      </c>
      <c r="H430" t="s">
        <v>1359</v>
      </c>
      <c r="I430" t="s">
        <v>22</v>
      </c>
      <c r="J430" t="s">
        <v>36</v>
      </c>
      <c r="K430" t="s">
        <v>37</v>
      </c>
      <c r="L430" t="s">
        <v>96</v>
      </c>
      <c r="M430" t="s">
        <v>97</v>
      </c>
      <c r="N430" t="s">
        <v>74</v>
      </c>
      <c r="O430" t="s">
        <v>168</v>
      </c>
      <c r="P430" t="s">
        <v>1360</v>
      </c>
      <c r="Q430" t="s">
        <v>43</v>
      </c>
      <c r="R430">
        <v>2</v>
      </c>
      <c r="S430" s="15">
        <v>1235.93</v>
      </c>
      <c r="T430" s="4">
        <v>0.25</v>
      </c>
      <c r="U430" s="3" t="str">
        <f>IF(T430&lt;0, "negative_discount", IF(AND(T430&gt;0.5, T430&lt;=1), "high_discount", ""))</f>
        <v/>
      </c>
      <c r="V430" s="11">
        <v>1853.89</v>
      </c>
      <c r="W430" s="12">
        <v>1853.9</v>
      </c>
      <c r="X430" s="11">
        <v>1101.23</v>
      </c>
      <c r="Y430" s="11">
        <v>752.66</v>
      </c>
      <c r="Z430" s="11">
        <f>ROUND(W430-X430,2)</f>
        <v>752.67</v>
      </c>
      <c r="AA430" s="4">
        <f>IF(W430=0,0,Z430/W430)</f>
        <v>0.40599277199417438</v>
      </c>
      <c r="AB430" t="s">
        <v>109</v>
      </c>
      <c r="AC430" t="s">
        <v>67</v>
      </c>
      <c r="AD430" t="str">
        <f>IF(AND(E430="", T430&gt;=0, T430&lt;=0.5, K430&lt;&gt;"Unknown", Q430&lt;&gt;"Unknown"), "CLEAN", _xlfn.CONCAT("WARNING: ", IF(E430&lt;&gt;"","invalid_date",""), IF(T430&lt;0,"negative_discount",""), IF(AND(T430&gt;0.5,T430&lt;=1),"high_discount",""), IF(K430="Unknown","missing_region",""), IF(Q430="Unknown","missing_ship_mode","")))</f>
        <v>CLEAN</v>
      </c>
      <c r="AE430" t="str">
        <f>IF(COUNTIF($AF$2:$AF$926,AF430)&gt;1,"DUPLICATE","UNIQUE")</f>
        <v>UNIQUE</v>
      </c>
      <c r="AF430" t="str">
        <f>A430&amp;"|"&amp;B430&amp;"|"&amp;H430&amp;"|"&amp;I430&amp;"|"&amp;R430&amp;"|"&amp;S430&amp;"|"&amp;V430</f>
        <v>ORD-2025-10429|2025-03-15|CUST-7626|Karan Malhotra|2|1235.93|1853.89</v>
      </c>
      <c r="AG430" t="str">
        <f>IF(COUNTIF($A$2:$A$913,A430)&gt;1,"TRUE","FALSE")</f>
        <v>FALSE</v>
      </c>
    </row>
    <row r="431" spans="1:33">
      <c r="A431" t="s">
        <v>3171</v>
      </c>
      <c r="B431" t="s">
        <v>333</v>
      </c>
      <c r="C431" t="s">
        <v>2288</v>
      </c>
      <c r="D431">
        <f>IF(OR(B431="", C431=""), "", (C431 - B431))</f>
        <v>155</v>
      </c>
      <c r="E431" t="str">
        <f>IF(C431&lt;B431, "INVALID: Ship date before order date", "")</f>
        <v/>
      </c>
      <c r="F431" t="str">
        <f>IF(B431="", "", TEXT(B431, "mmmm"))</f>
        <v>March</v>
      </c>
      <c r="G431">
        <f>IF(B431="", "", YEAR(B431))</f>
        <v>2025</v>
      </c>
      <c r="H431" t="s">
        <v>1361</v>
      </c>
      <c r="I431" t="s">
        <v>78</v>
      </c>
      <c r="J431" t="s">
        <v>93</v>
      </c>
      <c r="K431" t="s">
        <v>24</v>
      </c>
      <c r="L431" t="s">
        <v>25</v>
      </c>
      <c r="M431" t="s">
        <v>26</v>
      </c>
      <c r="N431" t="s">
        <v>74</v>
      </c>
      <c r="O431" t="s">
        <v>79</v>
      </c>
      <c r="P431" t="s">
        <v>1362</v>
      </c>
      <c r="Q431" t="s">
        <v>43</v>
      </c>
      <c r="R431">
        <v>8</v>
      </c>
      <c r="S431" s="15">
        <v>2943.1</v>
      </c>
      <c r="T431" s="4">
        <v>0.25</v>
      </c>
      <c r="U431" s="3" t="str">
        <f>IF(T431&lt;0, "negative_discount", IF(AND(T431&gt;0.5, T431&lt;=1), "high_discount", ""))</f>
        <v/>
      </c>
      <c r="V431" s="11">
        <v>17658.599999999999</v>
      </c>
      <c r="W431" s="12">
        <v>17658.599999999999</v>
      </c>
      <c r="X431" s="11">
        <v>13842.48</v>
      </c>
      <c r="Y431" s="11">
        <v>3816.12</v>
      </c>
      <c r="Z431" s="11">
        <f>ROUND(W431-X431,2)</f>
        <v>3816.12</v>
      </c>
      <c r="AA431" s="4">
        <f>IF(W431=0,0,Z431/W431)</f>
        <v>0.21610546702456596</v>
      </c>
      <c r="AB431" t="s">
        <v>31</v>
      </c>
      <c r="AC431" t="s">
        <v>32</v>
      </c>
      <c r="AD431" t="str">
        <f>IF(AND(E431="", T431&gt;=0, T431&lt;=0.5, K431&lt;&gt;"Unknown", Q431&lt;&gt;"Unknown"), "CLEAN", _xlfn.CONCAT("WARNING: ", IF(E431&lt;&gt;"","invalid_date",""), IF(T431&lt;0,"negative_discount",""), IF(AND(T431&gt;0.5,T431&lt;=1),"high_discount",""), IF(K431="Unknown","missing_region",""), IF(Q431="Unknown","missing_ship_mode","")))</f>
        <v>CLEAN</v>
      </c>
      <c r="AE431" t="str">
        <f>IF(COUNTIF($AF$2:$AF$926,AF431)&gt;1,"DUPLICATE","UNIQUE")</f>
        <v>UNIQUE</v>
      </c>
      <c r="AF431" t="str">
        <f>A431&amp;"|"&amp;B431&amp;"|"&amp;H431&amp;"|"&amp;I431&amp;"|"&amp;R431&amp;"|"&amp;S431&amp;"|"&amp;V431</f>
        <v>ORD-2025-10430|2025-03-01|CUST-8562|Neha Gupta|8|2943.1|17658.6</v>
      </c>
      <c r="AG431" t="str">
        <f>IF(COUNTIF($A$2:$A$913,A431)&gt;1,"TRUE","FALSE")</f>
        <v>FALSE</v>
      </c>
    </row>
    <row r="432" spans="1:33">
      <c r="A432" t="s">
        <v>1363</v>
      </c>
      <c r="B432" t="s">
        <v>2799</v>
      </c>
      <c r="C432" t="s">
        <v>2684</v>
      </c>
      <c r="D432">
        <f>IF(OR(B432="", C432=""), "", (C432 - B432))</f>
        <v>-203</v>
      </c>
      <c r="E432" t="str">
        <f>IF(C432&lt;B432, "INVALID: Ship date before order date", "")</f>
        <v>INVALID: Ship date before order date</v>
      </c>
      <c r="F432" t="str">
        <f>IF(B432="", "", TEXT(B432, "mmmm"))</f>
        <v>August</v>
      </c>
      <c r="G432">
        <f>IF(B432="", "", YEAR(B432))</f>
        <v>2024</v>
      </c>
      <c r="H432" t="s">
        <v>1364</v>
      </c>
      <c r="I432" t="s">
        <v>78</v>
      </c>
      <c r="J432" t="s">
        <v>36</v>
      </c>
      <c r="K432" t="s">
        <v>24</v>
      </c>
      <c r="L432" t="s">
        <v>234</v>
      </c>
      <c r="M432" t="s">
        <v>235</v>
      </c>
      <c r="N432" t="s">
        <v>27</v>
      </c>
      <c r="O432" t="s">
        <v>28</v>
      </c>
      <c r="P432" t="s">
        <v>1365</v>
      </c>
      <c r="Q432" t="s">
        <v>30</v>
      </c>
      <c r="R432">
        <v>1</v>
      </c>
      <c r="S432" s="15">
        <v>4320.84</v>
      </c>
      <c r="T432" s="4">
        <v>0.15</v>
      </c>
      <c r="U432" s="3" t="str">
        <f>IF(T432&lt;0, "negative_discount", IF(AND(T432&gt;0.5, T432&lt;=1), "high_discount", ""))</f>
        <v/>
      </c>
      <c r="V432" s="11">
        <v>3672.71</v>
      </c>
      <c r="W432" s="12">
        <v>3672.71</v>
      </c>
      <c r="X432" s="11">
        <v>2714.23</v>
      </c>
      <c r="Y432" s="11">
        <v>763.38</v>
      </c>
      <c r="Z432" s="11">
        <f>ROUND(W432-X432,2)</f>
        <v>958.48</v>
      </c>
      <c r="AA432" s="4">
        <f>IF(W432=0,0,Z432/W432)</f>
        <v>0.2609735045783631</v>
      </c>
      <c r="AB432" t="s">
        <v>31</v>
      </c>
      <c r="AC432" t="s">
        <v>32</v>
      </c>
      <c r="AD432" t="str">
        <f>IF(AND(E432="", T432&gt;=0, T432&lt;=0.5, K432&lt;&gt;"Unknown", Q432&lt;&gt;"Unknown"), "CLEAN", _xlfn.CONCAT("WARNING: ", IF(E432&lt;&gt;"","invalid_date",""), IF(T432&lt;0,"negative_discount",""), IF(AND(T432&gt;0.5,T432&lt;=1),"high_discount",""), IF(K432="Unknown","missing_region",""), IF(Q432="Unknown","missing_ship_mode","")))</f>
        <v>WARNING: invalid_date</v>
      </c>
      <c r="AE432" t="str">
        <f>IF(COUNTIF($AF$2:$AF$926,AF432)&gt;1,"DUPLICATE","UNIQUE")</f>
        <v>UNIQUE</v>
      </c>
      <c r="AF432" t="str">
        <f>A432&amp;"|"&amp;B432&amp;"|"&amp;H432&amp;"|"&amp;I432&amp;"|"&amp;R432&amp;"|"&amp;S432&amp;"|"&amp;V432</f>
        <v>ORD-2024-10431|2024-08-30|CUST-2732|Neha Gupta|1|4320.84|3672.71</v>
      </c>
      <c r="AG432" t="str">
        <f>IF(COUNTIF($A$2:$A$913,A432)&gt;1,"TRUE","FALSE")</f>
        <v>FALSE</v>
      </c>
    </row>
    <row r="433" spans="1:33">
      <c r="A433" t="s">
        <v>1366</v>
      </c>
      <c r="B433" t="s">
        <v>1442</v>
      </c>
      <c r="C433" t="s">
        <v>1983</v>
      </c>
      <c r="D433">
        <f>IF(OR(B433="", C433=""), "", (C433 - B433))</f>
        <v>3</v>
      </c>
      <c r="E433" t="str">
        <f>IF(C433&lt;B433, "INVALID: Ship date before order date", "")</f>
        <v/>
      </c>
      <c r="F433" t="str">
        <f>IF(B433="", "", TEXT(B433, "mmmm"))</f>
        <v>February</v>
      </c>
      <c r="G433">
        <f>IF(B433="", "", YEAR(B433))</f>
        <v>2024</v>
      </c>
      <c r="H433" t="s">
        <v>1367</v>
      </c>
      <c r="I433" t="s">
        <v>22</v>
      </c>
      <c r="J433" t="s">
        <v>93</v>
      </c>
      <c r="K433" t="s">
        <v>62</v>
      </c>
      <c r="L433" t="s">
        <v>185</v>
      </c>
      <c r="M433" t="s">
        <v>186</v>
      </c>
      <c r="N433" t="s">
        <v>74</v>
      </c>
      <c r="O433" t="s">
        <v>272</v>
      </c>
      <c r="P433" t="s">
        <v>1368</v>
      </c>
      <c r="Q433" t="s">
        <v>43</v>
      </c>
      <c r="R433">
        <v>2</v>
      </c>
      <c r="S433" s="15">
        <v>4118.45</v>
      </c>
      <c r="T433" s="4">
        <v>0.25</v>
      </c>
      <c r="U433" s="3" t="str">
        <f>IF(T433&lt;0, "negative_discount", IF(AND(T433&gt;0.5, T433&lt;=1), "high_discount", ""))</f>
        <v/>
      </c>
      <c r="V433" s="11">
        <v>6177.67</v>
      </c>
      <c r="W433" s="12">
        <v>6177.68</v>
      </c>
      <c r="X433" s="11">
        <v>4520.75</v>
      </c>
      <c r="Y433" s="11">
        <v>1656.92</v>
      </c>
      <c r="Z433" s="11">
        <f>ROUND(W433-X433,2)</f>
        <v>1656.93</v>
      </c>
      <c r="AA433" s="4">
        <f>IF(W433=0,0,Z433/W433)</f>
        <v>0.26821233861255356</v>
      </c>
      <c r="AB433" t="s">
        <v>31</v>
      </c>
      <c r="AC433" t="s">
        <v>32</v>
      </c>
      <c r="AD433" t="str">
        <f>IF(AND(E433="", T433&gt;=0, T433&lt;=0.5, K433&lt;&gt;"Unknown", Q433&lt;&gt;"Unknown"), "CLEAN", _xlfn.CONCAT("WARNING: ", IF(E433&lt;&gt;"","invalid_date",""), IF(T433&lt;0,"negative_discount",""), IF(AND(T433&gt;0.5,T433&lt;=1),"high_discount",""), IF(K433="Unknown","missing_region",""), IF(Q433="Unknown","missing_ship_mode","")))</f>
        <v>CLEAN</v>
      </c>
      <c r="AE433" t="str">
        <f>IF(COUNTIF($AF$2:$AF$926,AF433)&gt;1,"DUPLICATE","UNIQUE")</f>
        <v>UNIQUE</v>
      </c>
      <c r="AF433" t="str">
        <f>A433&amp;"|"&amp;B433&amp;"|"&amp;H433&amp;"|"&amp;I433&amp;"|"&amp;R433&amp;"|"&amp;S433&amp;"|"&amp;V433</f>
        <v>ORD-2024-10432|2024-02-10|CUST-3989|Karan Malhotra|2|4118.45|6177.67</v>
      </c>
      <c r="AG433" t="str">
        <f>IF(COUNTIF($A$2:$A$913,A433)&gt;1,"TRUE","FALSE")</f>
        <v>FALSE</v>
      </c>
    </row>
    <row r="434" spans="1:33">
      <c r="A434" t="s">
        <v>1369</v>
      </c>
      <c r="B434" t="s">
        <v>1318</v>
      </c>
      <c r="C434" t="s">
        <v>2684</v>
      </c>
      <c r="D434">
        <f>IF(OR(B434="", C434=""), "", (C434 - B434))</f>
        <v>-202</v>
      </c>
      <c r="E434" t="str">
        <f>IF(C434&lt;B434, "INVALID: Ship date before order date", "")</f>
        <v>INVALID: Ship date before order date</v>
      </c>
      <c r="F434" t="str">
        <f>IF(B434="", "", TEXT(B434, "mmmm"))</f>
        <v>August</v>
      </c>
      <c r="G434">
        <f>IF(B434="", "", YEAR(B434))</f>
        <v>2024</v>
      </c>
      <c r="H434" t="s">
        <v>1370</v>
      </c>
      <c r="I434" t="s">
        <v>112</v>
      </c>
      <c r="J434" t="s">
        <v>36</v>
      </c>
      <c r="K434" t="s">
        <v>62</v>
      </c>
      <c r="L434" t="s">
        <v>63</v>
      </c>
      <c r="M434" t="s">
        <v>64</v>
      </c>
      <c r="N434" t="s">
        <v>40</v>
      </c>
      <c r="O434" t="s">
        <v>153</v>
      </c>
      <c r="P434" t="s">
        <v>1371</v>
      </c>
      <c r="Q434" t="s">
        <v>58</v>
      </c>
      <c r="R434">
        <v>6</v>
      </c>
      <c r="S434" s="15">
        <v>172.82</v>
      </c>
      <c r="T434" s="4">
        <v>0.05</v>
      </c>
      <c r="U434" s="3" t="str">
        <f>IF(T434&lt;0, "negative_discount", IF(AND(T434&gt;0.5, T434&lt;=1), "high_discount", ""))</f>
        <v/>
      </c>
      <c r="V434" s="11">
        <v>985.07</v>
      </c>
      <c r="W434" s="12">
        <v>985.07</v>
      </c>
      <c r="X434" s="11">
        <v>844.48</v>
      </c>
      <c r="Y434" s="11">
        <v>140.59</v>
      </c>
      <c r="Z434" s="11">
        <f>ROUND(W434-X434,2)</f>
        <v>140.59</v>
      </c>
      <c r="AA434" s="4">
        <f>IF(W434=0,0,Z434/W434)</f>
        <v>0.14272082187052695</v>
      </c>
      <c r="AB434" t="s">
        <v>31</v>
      </c>
      <c r="AC434" t="s">
        <v>32</v>
      </c>
      <c r="AD434" t="str">
        <f>IF(AND(E434="", T434&gt;=0, T434&lt;=0.5, K434&lt;&gt;"Unknown", Q434&lt;&gt;"Unknown"), "CLEAN", _xlfn.CONCAT("WARNING: ", IF(E434&lt;&gt;"","invalid_date",""), IF(T434&lt;0,"negative_discount",""), IF(AND(T434&gt;0.5,T434&lt;=1),"high_discount",""), IF(K434="Unknown","missing_region",""), IF(Q434="Unknown","missing_ship_mode","")))</f>
        <v>WARNING: invalid_date</v>
      </c>
      <c r="AE434" t="str">
        <f>IF(COUNTIF($AF$2:$AF$926,AF434)&gt;1,"DUPLICATE","UNIQUE")</f>
        <v>UNIQUE</v>
      </c>
      <c r="AF434" t="str">
        <f>A434&amp;"|"&amp;B434&amp;"|"&amp;H434&amp;"|"&amp;I434&amp;"|"&amp;R434&amp;"|"&amp;S434&amp;"|"&amp;V434</f>
        <v>ORD-2024-10433|2024-08-29|CUST-3522|Priya Menon|6|172.82|985.07</v>
      </c>
      <c r="AG434" t="str">
        <f>IF(COUNTIF($A$2:$A$913,A434)&gt;1,"TRUE","FALSE")</f>
        <v>FALSE</v>
      </c>
    </row>
    <row r="435" spans="1:33">
      <c r="A435" t="s">
        <v>1372</v>
      </c>
      <c r="B435" t="s">
        <v>2800</v>
      </c>
      <c r="C435" t="s">
        <v>2937</v>
      </c>
      <c r="D435">
        <f>IF(OR(B435="", C435=""), "", (C435 - B435))</f>
        <v>1</v>
      </c>
      <c r="E435" t="str">
        <f>IF(C435&lt;B435, "INVALID: Ship date before order date", "")</f>
        <v/>
      </c>
      <c r="F435" t="str">
        <f>IF(B435="", "", TEXT(B435, "mmmm"))</f>
        <v>April</v>
      </c>
      <c r="G435">
        <f>IF(B435="", "", YEAR(B435))</f>
        <v>2024</v>
      </c>
      <c r="H435" t="s">
        <v>1373</v>
      </c>
      <c r="I435" t="s">
        <v>112</v>
      </c>
      <c r="J435" t="s">
        <v>89</v>
      </c>
      <c r="K435" t="s">
        <v>53</v>
      </c>
      <c r="L435" t="s">
        <v>180</v>
      </c>
      <c r="M435" t="s">
        <v>181</v>
      </c>
      <c r="N435" t="s">
        <v>27</v>
      </c>
      <c r="O435" t="s">
        <v>47</v>
      </c>
      <c r="P435" t="s">
        <v>1374</v>
      </c>
      <c r="Q435" t="s">
        <v>30</v>
      </c>
      <c r="R435">
        <v>4</v>
      </c>
      <c r="S435" s="15">
        <v>1540.22</v>
      </c>
      <c r="T435" s="4">
        <v>0</v>
      </c>
      <c r="U435" s="3" t="str">
        <f>IF(T435&lt;0, "negative_discount", IF(AND(T435&gt;0.5, T435&lt;=1), "high_discount", ""))</f>
        <v/>
      </c>
      <c r="V435" s="11">
        <v>6160.88</v>
      </c>
      <c r="W435" s="12">
        <v>6160.88</v>
      </c>
      <c r="X435" s="11">
        <v>4938.7</v>
      </c>
      <c r="Y435" s="11">
        <v>1222.18</v>
      </c>
      <c r="Z435" s="11">
        <f>ROUND(W435-X435,2)</f>
        <v>1222.18</v>
      </c>
      <c r="AA435" s="4">
        <f>IF(W435=0,0,Z435/W435)</f>
        <v>0.1983775045123424</v>
      </c>
      <c r="AB435" t="s">
        <v>99</v>
      </c>
      <c r="AC435" t="s">
        <v>100</v>
      </c>
      <c r="AD435" t="str">
        <f>IF(AND(E435="", T435&gt;=0, T435&lt;=0.5, K435&lt;&gt;"Unknown", Q435&lt;&gt;"Unknown"), "CLEAN", _xlfn.CONCAT("WARNING: ", IF(E435&lt;&gt;"","invalid_date",""), IF(T435&lt;0,"negative_discount",""), IF(AND(T435&gt;0.5,T435&lt;=1),"high_discount",""), IF(K435="Unknown","missing_region",""), IF(Q435="Unknown","missing_ship_mode","")))</f>
        <v>CLEAN</v>
      </c>
      <c r="AE435" t="str">
        <f>IF(COUNTIF($AF$2:$AF$926,AF435)&gt;1,"DUPLICATE","UNIQUE")</f>
        <v>UNIQUE</v>
      </c>
      <c r="AF435" t="str">
        <f>A435&amp;"|"&amp;B435&amp;"|"&amp;H435&amp;"|"&amp;I435&amp;"|"&amp;R435&amp;"|"&amp;S435&amp;"|"&amp;V435</f>
        <v>ORD-2024-10434|2024-04-19|CUST-7066|Priya Menon|4|1540.22|6160.88</v>
      </c>
      <c r="AG435" t="str">
        <f>IF(COUNTIF($A$2:$A$913,A435)&gt;1,"TRUE","FALSE")</f>
        <v>FALSE</v>
      </c>
    </row>
    <row r="436" spans="1:33">
      <c r="A436" t="s">
        <v>3172</v>
      </c>
      <c r="B436" t="s">
        <v>1615</v>
      </c>
      <c r="C436" t="s">
        <v>1375</v>
      </c>
      <c r="D436">
        <f>IF(OR(B436="", C436=""), "", (C436 - B436))</f>
        <v>4</v>
      </c>
      <c r="E436" t="str">
        <f>IF(C436&lt;B436, "INVALID: Ship date before order date", "")</f>
        <v/>
      </c>
      <c r="F436" t="str">
        <f>IF(B436="", "", TEXT(B436, "mmmm"))</f>
        <v>April</v>
      </c>
      <c r="G436">
        <f>IF(B436="", "", YEAR(B436))</f>
        <v>2025</v>
      </c>
      <c r="H436" t="s">
        <v>1376</v>
      </c>
      <c r="I436" t="s">
        <v>35</v>
      </c>
      <c r="J436" t="s">
        <v>93</v>
      </c>
      <c r="K436" t="s">
        <v>24</v>
      </c>
      <c r="L436" t="s">
        <v>134</v>
      </c>
      <c r="M436" t="s">
        <v>135</v>
      </c>
      <c r="N436" t="s">
        <v>74</v>
      </c>
      <c r="O436" t="s">
        <v>75</v>
      </c>
      <c r="P436" t="s">
        <v>1377</v>
      </c>
      <c r="Q436" t="s">
        <v>30</v>
      </c>
      <c r="R436">
        <v>5</v>
      </c>
      <c r="S436" s="15">
        <v>652.78</v>
      </c>
      <c r="T436" s="4">
        <v>0</v>
      </c>
      <c r="U436" s="3" t="str">
        <f>IF(T436&lt;0, "negative_discount", IF(AND(T436&gt;0.5, T436&lt;=1), "high_discount", ""))</f>
        <v/>
      </c>
      <c r="V436" s="11">
        <v>3263.9</v>
      </c>
      <c r="W436" s="12">
        <v>3263.9</v>
      </c>
      <c r="X436" s="11">
        <v>2068.44</v>
      </c>
      <c r="Y436" s="11">
        <v>1195.46</v>
      </c>
      <c r="Z436" s="11">
        <f>ROUND(W436-X436,2)</f>
        <v>1195.46</v>
      </c>
      <c r="AA436" s="4">
        <f>IF(W436=0,0,Z436/W436)</f>
        <v>0.36626734887711021</v>
      </c>
      <c r="AB436" t="s">
        <v>31</v>
      </c>
      <c r="AC436" t="s">
        <v>32</v>
      </c>
      <c r="AD436" t="str">
        <f>IF(AND(E436="", T436&gt;=0, T436&lt;=0.5, K436&lt;&gt;"Unknown", Q436&lt;&gt;"Unknown"), "CLEAN", _xlfn.CONCAT("WARNING: ", IF(E436&lt;&gt;"","invalid_date",""), IF(T436&lt;0,"negative_discount",""), IF(AND(T436&gt;0.5,T436&lt;=1),"high_discount",""), IF(K436="Unknown","missing_region",""), IF(Q436="Unknown","missing_ship_mode","")))</f>
        <v>CLEAN</v>
      </c>
      <c r="AE436" t="str">
        <f>IF(COUNTIF($AF$2:$AF$926,AF436)&gt;1,"DUPLICATE","UNIQUE")</f>
        <v>UNIQUE</v>
      </c>
      <c r="AF436" t="str">
        <f>A436&amp;"|"&amp;B436&amp;"|"&amp;H436&amp;"|"&amp;I436&amp;"|"&amp;R436&amp;"|"&amp;S436&amp;"|"&amp;V436</f>
        <v>ORD-2025-10435|2025-04-11|CUST-2351|Mira Das|5|652.78|3263.9</v>
      </c>
      <c r="AG436" t="str">
        <f>IF(COUNTIF($A$2:$A$913,A436)&gt;1,"TRUE","FALSE")</f>
        <v>FALSE</v>
      </c>
    </row>
    <row r="437" spans="1:33">
      <c r="A437" t="s">
        <v>3173</v>
      </c>
      <c r="B437" t="s">
        <v>1378</v>
      </c>
      <c r="C437" t="s">
        <v>2733</v>
      </c>
      <c r="D437">
        <f>IF(OR(B437="", C437=""), "", (C437 - B437))</f>
        <v>8</v>
      </c>
      <c r="E437" t="str">
        <f>IF(C437&lt;B437, "INVALID: Ship date before order date", "")</f>
        <v/>
      </c>
      <c r="F437" t="str">
        <f>IF(B437="", "", TEXT(B437, "mmmm"))</f>
        <v>April</v>
      </c>
      <c r="G437">
        <f>IF(B437="", "", YEAR(B437))</f>
        <v>2025</v>
      </c>
      <c r="H437" t="s">
        <v>1379</v>
      </c>
      <c r="I437" t="s">
        <v>263</v>
      </c>
      <c r="J437" t="s">
        <v>93</v>
      </c>
      <c r="K437" t="s">
        <v>24</v>
      </c>
      <c r="L437" t="s">
        <v>353</v>
      </c>
      <c r="M437" t="s">
        <v>354</v>
      </c>
      <c r="N437" t="s">
        <v>74</v>
      </c>
      <c r="O437" t="s">
        <v>272</v>
      </c>
      <c r="P437" t="s">
        <v>1380</v>
      </c>
      <c r="Q437" t="s">
        <v>58</v>
      </c>
      <c r="R437">
        <v>1</v>
      </c>
      <c r="S437" s="15">
        <v>2737.71</v>
      </c>
      <c r="T437" s="4">
        <v>0.15</v>
      </c>
      <c r="U437" s="3" t="str">
        <f>IF(T437&lt;0, "negative_discount", IF(AND(T437&gt;0.5, T437&lt;=1), "high_discount", ""))</f>
        <v/>
      </c>
      <c r="V437" s="11">
        <v>2327.0500000000002</v>
      </c>
      <c r="W437" s="12">
        <v>2327.0500000000002</v>
      </c>
      <c r="X437" s="11">
        <v>1919.42</v>
      </c>
      <c r="Y437" s="11">
        <v>407.63</v>
      </c>
      <c r="Z437" s="11">
        <f>ROUND(W437-X437,2)</f>
        <v>407.63</v>
      </c>
      <c r="AA437" s="4">
        <f>IF(W437=0,0,Z437/W437)</f>
        <v>0.17517027996820006</v>
      </c>
      <c r="AB437" t="s">
        <v>31</v>
      </c>
      <c r="AC437" t="s">
        <v>67</v>
      </c>
      <c r="AD437" t="str">
        <f>IF(AND(E437="", T437&gt;=0, T437&lt;=0.5, K437&lt;&gt;"Unknown", Q437&lt;&gt;"Unknown"), "CLEAN", _xlfn.CONCAT("WARNING: ", IF(E437&lt;&gt;"","invalid_date",""), IF(T437&lt;0,"negative_discount",""), IF(AND(T437&gt;0.5,T437&lt;=1),"high_discount",""), IF(K437="Unknown","missing_region",""), IF(Q437="Unknown","missing_ship_mode","")))</f>
        <v>CLEAN</v>
      </c>
      <c r="AE437" t="str">
        <f>IF(COUNTIF($AF$2:$AF$926,AF437)&gt;1,"DUPLICATE","UNIQUE")</f>
        <v>UNIQUE</v>
      </c>
      <c r="AF437" t="str">
        <f>A437&amp;"|"&amp;B437&amp;"|"&amp;H437&amp;"|"&amp;I437&amp;"|"&amp;R437&amp;"|"&amp;S437&amp;"|"&amp;V437</f>
        <v>ORD-2025-10436|2025-04-12|CUST-7291|Kabir Singh|1|2737.71|2327.05</v>
      </c>
      <c r="AG437" t="str">
        <f>IF(COUNTIF($A$2:$A$913,A437)&gt;1,"TRUE","FALSE")</f>
        <v>FALSE</v>
      </c>
    </row>
    <row r="438" spans="1:33">
      <c r="A438" t="s">
        <v>1381</v>
      </c>
      <c r="B438" t="s">
        <v>2801</v>
      </c>
      <c r="C438" t="s">
        <v>2756</v>
      </c>
      <c r="D438">
        <f>IF(OR(B438="", C438=""), "", (C438 - B438))</f>
        <v>5</v>
      </c>
      <c r="E438" t="str">
        <f>IF(C438&lt;B438, "INVALID: Ship date before order date", "")</f>
        <v/>
      </c>
      <c r="F438" t="str">
        <f>IF(B438="", "", TEXT(B438, "mmmm"))</f>
        <v>June</v>
      </c>
      <c r="G438">
        <f>IF(B438="", "", YEAR(B438))</f>
        <v>2024</v>
      </c>
      <c r="H438" t="s">
        <v>1382</v>
      </c>
      <c r="I438" t="s">
        <v>78</v>
      </c>
      <c r="J438" t="s">
        <v>23</v>
      </c>
      <c r="K438" t="s">
        <v>53</v>
      </c>
      <c r="L438" t="s">
        <v>180</v>
      </c>
      <c r="M438" t="s">
        <v>181</v>
      </c>
      <c r="N438" t="s">
        <v>40</v>
      </c>
      <c r="O438" t="s">
        <v>56</v>
      </c>
      <c r="P438" t="s">
        <v>1383</v>
      </c>
      <c r="Q438" t="s">
        <v>43</v>
      </c>
      <c r="R438">
        <v>6</v>
      </c>
      <c r="S438" s="15">
        <v>1156.78</v>
      </c>
      <c r="T438" s="4">
        <v>0.05</v>
      </c>
      <c r="U438" s="3" t="str">
        <f>IF(T438&lt;0, "negative_discount", IF(AND(T438&gt;0.5, T438&lt;=1), "high_discount", ""))</f>
        <v/>
      </c>
      <c r="V438" s="11">
        <v>6593.65</v>
      </c>
      <c r="W438" s="12">
        <v>6593.65</v>
      </c>
      <c r="X438" s="11">
        <v>4359.3900000000003</v>
      </c>
      <c r="Y438" s="11">
        <v>2234.2600000000002</v>
      </c>
      <c r="Z438" s="11">
        <f>ROUND(W438-X438,2)</f>
        <v>2234.2600000000002</v>
      </c>
      <c r="AA438" s="4">
        <f>IF(W438=0,0,Z438/W438)</f>
        <v>0.33885025744466274</v>
      </c>
      <c r="AB438" t="s">
        <v>31</v>
      </c>
      <c r="AC438" t="s">
        <v>100</v>
      </c>
      <c r="AD438" t="str">
        <f>IF(AND(E438="", T438&gt;=0, T438&lt;=0.5, K438&lt;&gt;"Unknown", Q438&lt;&gt;"Unknown"), "CLEAN", _xlfn.CONCAT("WARNING: ", IF(E438&lt;&gt;"","invalid_date",""), IF(T438&lt;0,"negative_discount",""), IF(AND(T438&gt;0.5,T438&lt;=1),"high_discount",""), IF(K438="Unknown","missing_region",""), IF(Q438="Unknown","missing_ship_mode","")))</f>
        <v>CLEAN</v>
      </c>
      <c r="AE438" t="str">
        <f>IF(COUNTIF($AF$2:$AF$926,AF438)&gt;1,"DUPLICATE","UNIQUE")</f>
        <v>UNIQUE</v>
      </c>
      <c r="AF438" t="str">
        <f>A438&amp;"|"&amp;B438&amp;"|"&amp;H438&amp;"|"&amp;I438&amp;"|"&amp;R438&amp;"|"&amp;S438&amp;"|"&amp;V438</f>
        <v>ORD-2024-10437|2024-06-16|CUST-4492|Neha Gupta|6|1156.78|6593.65</v>
      </c>
      <c r="AG438" t="str">
        <f>IF(COUNTIF($A$2:$A$913,A438)&gt;1,"TRUE","FALSE")</f>
        <v>FALSE</v>
      </c>
    </row>
    <row r="439" spans="1:33">
      <c r="A439" t="s">
        <v>1384</v>
      </c>
      <c r="B439" t="s">
        <v>464</v>
      </c>
      <c r="C439" t="s">
        <v>1385</v>
      </c>
      <c r="D439">
        <f>IF(OR(B439="", C439=""), "", (C439 - B439))</f>
        <v>3</v>
      </c>
      <c r="E439" t="str">
        <f>IF(C439&lt;B439, "INVALID: Ship date before order date", "")</f>
        <v/>
      </c>
      <c r="F439" t="str">
        <f>IF(B439="", "", TEXT(B439, "mmmm"))</f>
        <v>February</v>
      </c>
      <c r="G439">
        <f>IF(B439="", "", YEAR(B439))</f>
        <v>2024</v>
      </c>
      <c r="H439" t="s">
        <v>1386</v>
      </c>
      <c r="I439" t="s">
        <v>88</v>
      </c>
      <c r="J439" t="s">
        <v>36</v>
      </c>
      <c r="K439" t="s">
        <v>53</v>
      </c>
      <c r="L439" t="s">
        <v>180</v>
      </c>
      <c r="M439" t="s">
        <v>181</v>
      </c>
      <c r="N439" t="s">
        <v>74</v>
      </c>
      <c r="O439" t="s">
        <v>75</v>
      </c>
      <c r="P439" t="s">
        <v>1387</v>
      </c>
      <c r="Q439" t="s">
        <v>43</v>
      </c>
      <c r="R439">
        <v>8</v>
      </c>
      <c r="S439" s="15">
        <v>379.82</v>
      </c>
      <c r="T439" s="4">
        <v>0.05</v>
      </c>
      <c r="U439" s="3" t="str">
        <f>IF(T439&lt;0, "negative_discount", IF(AND(T439&gt;0.5, T439&lt;=1), "high_discount", ""))</f>
        <v/>
      </c>
      <c r="V439" s="11">
        <v>2886.63</v>
      </c>
      <c r="W439" s="12">
        <v>2886.63</v>
      </c>
      <c r="X439" s="11">
        <v>1588.23</v>
      </c>
      <c r="Y439" s="11">
        <v>1298.4000000000001</v>
      </c>
      <c r="Z439" s="11">
        <f>ROUND(W439-X439,2)</f>
        <v>1298.4000000000001</v>
      </c>
      <c r="AA439" s="4">
        <f>IF(W439=0,0,Z439/W439)</f>
        <v>0.44979786117375625</v>
      </c>
      <c r="AB439" t="s">
        <v>151</v>
      </c>
      <c r="AC439" t="s">
        <v>100</v>
      </c>
      <c r="AD439" t="str">
        <f>IF(AND(E439="", T439&gt;=0, T439&lt;=0.5, K439&lt;&gt;"Unknown", Q439&lt;&gt;"Unknown"), "CLEAN", _xlfn.CONCAT("WARNING: ", IF(E439&lt;&gt;"","invalid_date",""), IF(T439&lt;0,"negative_discount",""), IF(AND(T439&gt;0.5,T439&lt;=1),"high_discount",""), IF(K439="Unknown","missing_region",""), IF(Q439="Unknown","missing_ship_mode","")))</f>
        <v>CLEAN</v>
      </c>
      <c r="AE439" t="str">
        <f>IF(COUNTIF($AF$2:$AF$926,AF439)&gt;1,"DUPLICATE","UNIQUE")</f>
        <v>UNIQUE</v>
      </c>
      <c r="AF439" t="str">
        <f>A439&amp;"|"&amp;B439&amp;"|"&amp;H439&amp;"|"&amp;I439&amp;"|"&amp;R439&amp;"|"&amp;S439&amp;"|"&amp;V439</f>
        <v>ORD-2024-10438|2024-02-15|CUST-5029|Aditi Sen|8|379.82|2886.63</v>
      </c>
      <c r="AG439" t="str">
        <f>IF(COUNTIF($A$2:$A$913,A439)&gt;1,"TRUE","FALSE")</f>
        <v>FALSE</v>
      </c>
    </row>
    <row r="440" spans="1:33">
      <c r="A440" t="s">
        <v>3174</v>
      </c>
      <c r="B440" t="s">
        <v>2802</v>
      </c>
      <c r="C440" t="s">
        <v>1673</v>
      </c>
      <c r="D440">
        <f>IF(OR(B440="", C440=""), "", (C440 - B440))</f>
        <v>-2</v>
      </c>
      <c r="E440" t="str">
        <f>IF(C440&lt;B440, "INVALID: Ship date before order date", "")</f>
        <v>INVALID: Ship date before order date</v>
      </c>
      <c r="F440" t="str">
        <f>IF(B440="", "", TEXT(B440, "mmmm"))</f>
        <v>May</v>
      </c>
      <c r="G440">
        <f>IF(B440="", "", YEAR(B440))</f>
        <v>2025</v>
      </c>
      <c r="H440" t="s">
        <v>1388</v>
      </c>
      <c r="I440" t="s">
        <v>78</v>
      </c>
      <c r="J440" t="s">
        <v>89</v>
      </c>
      <c r="K440" t="s">
        <v>37</v>
      </c>
      <c r="L440" t="s">
        <v>226</v>
      </c>
      <c r="M440" t="s">
        <v>227</v>
      </c>
      <c r="N440" t="s">
        <v>74</v>
      </c>
      <c r="O440" t="s">
        <v>168</v>
      </c>
      <c r="P440" t="s">
        <v>1389</v>
      </c>
      <c r="Q440" t="s">
        <v>58</v>
      </c>
      <c r="R440">
        <v>1</v>
      </c>
      <c r="S440" s="15">
        <v>2266.4699999999998</v>
      </c>
      <c r="T440" s="4">
        <v>0.2</v>
      </c>
      <c r="U440" s="3" t="str">
        <f>IF(T440&lt;0, "negative_discount", IF(AND(T440&gt;0.5, T440&lt;=1), "high_discount", ""))</f>
        <v/>
      </c>
      <c r="V440" s="11">
        <v>1813.18</v>
      </c>
      <c r="W440" s="12">
        <v>1813.18</v>
      </c>
      <c r="X440" s="11">
        <v>1363.64</v>
      </c>
      <c r="Y440" s="11">
        <v>449.54</v>
      </c>
      <c r="Z440" s="11">
        <f>ROUND(W440-X440,2)</f>
        <v>449.54</v>
      </c>
      <c r="AA440" s="4">
        <f>IF(W440=0,0,Z440/W440)</f>
        <v>0.24792905282431971</v>
      </c>
      <c r="AB440" t="s">
        <v>31</v>
      </c>
      <c r="AC440" t="s">
        <v>32</v>
      </c>
      <c r="AD440" t="str">
        <f>IF(AND(E440="", T440&gt;=0, T440&lt;=0.5, K440&lt;&gt;"Unknown", Q440&lt;&gt;"Unknown"), "CLEAN", _xlfn.CONCAT("WARNING: ", IF(E440&lt;&gt;"","invalid_date",""), IF(T440&lt;0,"negative_discount",""), IF(AND(T440&gt;0.5,T440&lt;=1),"high_discount",""), IF(K440="Unknown","missing_region",""), IF(Q440="Unknown","missing_ship_mode","")))</f>
        <v>WARNING: invalid_date</v>
      </c>
      <c r="AE440" t="str">
        <f>IF(COUNTIF($AF$2:$AF$926,AF440)&gt;1,"DUPLICATE","UNIQUE")</f>
        <v>UNIQUE</v>
      </c>
      <c r="AF440" t="str">
        <f>A440&amp;"|"&amp;B440&amp;"|"&amp;H440&amp;"|"&amp;I440&amp;"|"&amp;R440&amp;"|"&amp;S440&amp;"|"&amp;V440</f>
        <v>ORD-2025-10439|2025-05-07|CUST-7252|Neha Gupta|1|2266.47|1813.18</v>
      </c>
      <c r="AG440" t="str">
        <f>IF(COUNTIF($A$2:$A$913,A440)&gt;1,"TRUE","FALSE")</f>
        <v>FALSE</v>
      </c>
    </row>
    <row r="441" spans="1:33">
      <c r="A441" t="s">
        <v>3175</v>
      </c>
      <c r="B441" t="s">
        <v>444</v>
      </c>
      <c r="C441" t="s">
        <v>2309</v>
      </c>
      <c r="D441">
        <f>IF(OR(B441="", C441=""), "", (C441 - B441))</f>
        <v>3</v>
      </c>
      <c r="E441" t="str">
        <f>IF(C441&lt;B441, "INVALID: Ship date before order date", "")</f>
        <v/>
      </c>
      <c r="F441" t="str">
        <f>IF(B441="", "", TEXT(B441, "mmmm"))</f>
        <v>June</v>
      </c>
      <c r="G441">
        <f>IF(B441="", "", YEAR(B441))</f>
        <v>2025</v>
      </c>
      <c r="H441" t="s">
        <v>1390</v>
      </c>
      <c r="I441" t="s">
        <v>126</v>
      </c>
      <c r="J441" t="s">
        <v>93</v>
      </c>
      <c r="K441" t="s">
        <v>62</v>
      </c>
      <c r="L441" t="s">
        <v>185</v>
      </c>
      <c r="M441" t="s">
        <v>186</v>
      </c>
      <c r="N441" t="s">
        <v>27</v>
      </c>
      <c r="O441" t="s">
        <v>122</v>
      </c>
      <c r="P441" t="s">
        <v>1391</v>
      </c>
      <c r="Q441" t="s">
        <v>43</v>
      </c>
      <c r="R441">
        <v>5</v>
      </c>
      <c r="S441" s="15">
        <v>665.25</v>
      </c>
      <c r="T441" s="4">
        <v>0</v>
      </c>
      <c r="U441" s="3" t="str">
        <f>IF(T441&lt;0, "negative_discount", IF(AND(T441&gt;0.5, T441&lt;=1), "high_discount", ""))</f>
        <v/>
      </c>
      <c r="V441" s="11">
        <v>3326.25</v>
      </c>
      <c r="W441" s="12">
        <v>3326.25</v>
      </c>
      <c r="X441" s="11">
        <v>2689.36</v>
      </c>
      <c r="Y441" s="11">
        <v>636.89</v>
      </c>
      <c r="Z441" s="11">
        <f>ROUND(W441-X441,2)</f>
        <v>636.89</v>
      </c>
      <c r="AA441" s="4">
        <f>IF(W441=0,0,Z441/W441)</f>
        <v>0.19147388199924839</v>
      </c>
      <c r="AB441" t="s">
        <v>99</v>
      </c>
      <c r="AC441" t="s">
        <v>100</v>
      </c>
      <c r="AD441" t="str">
        <f>IF(AND(E441="", T441&gt;=0, T441&lt;=0.5, K441&lt;&gt;"Unknown", Q441&lt;&gt;"Unknown"), "CLEAN", _xlfn.CONCAT("WARNING: ", IF(E441&lt;&gt;"","invalid_date",""), IF(T441&lt;0,"negative_discount",""), IF(AND(T441&gt;0.5,T441&lt;=1),"high_discount",""), IF(K441="Unknown","missing_region",""), IF(Q441="Unknown","missing_ship_mode","")))</f>
        <v>CLEAN</v>
      </c>
      <c r="AE441" t="str">
        <f>IF(COUNTIF($AF$2:$AF$926,AF441)&gt;1,"DUPLICATE","UNIQUE")</f>
        <v>UNIQUE</v>
      </c>
      <c r="AF441" t="str">
        <f>A441&amp;"|"&amp;B441&amp;"|"&amp;H441&amp;"|"&amp;I441&amp;"|"&amp;R441&amp;"|"&amp;S441&amp;"|"&amp;V441</f>
        <v>ORD-2025-10440|2025-06-30|CUST-7346|Aarav Sharma|5|665.25|3326.25</v>
      </c>
      <c r="AG441" t="str">
        <f>IF(COUNTIF($A$2:$A$913,A441)&gt;1,"TRUE","FALSE")</f>
        <v>FALSE</v>
      </c>
    </row>
    <row r="442" spans="1:33">
      <c r="A442" t="s">
        <v>1392</v>
      </c>
      <c r="B442" t="s">
        <v>660</v>
      </c>
      <c r="C442" t="s">
        <v>2449</v>
      </c>
      <c r="D442">
        <f>IF(OR(B442="", C442=""), "", (C442 - B442))</f>
        <v>6</v>
      </c>
      <c r="E442" t="str">
        <f>IF(C442&lt;B442, "INVALID: Ship date before order date", "")</f>
        <v/>
      </c>
      <c r="F442" t="str">
        <f>IF(B442="", "", TEXT(B442, "mmmm"))</f>
        <v>April</v>
      </c>
      <c r="G442">
        <f>IF(B442="", "", YEAR(B442))</f>
        <v>2024</v>
      </c>
      <c r="H442" t="s">
        <v>269</v>
      </c>
      <c r="I442" t="s">
        <v>71</v>
      </c>
      <c r="J442" t="s">
        <v>89</v>
      </c>
      <c r="K442" t="s">
        <v>37</v>
      </c>
      <c r="L442" t="s">
        <v>38</v>
      </c>
      <c r="M442" t="s">
        <v>39</v>
      </c>
      <c r="N442" t="s">
        <v>74</v>
      </c>
      <c r="O442" t="s">
        <v>272</v>
      </c>
      <c r="P442" t="s">
        <v>1393</v>
      </c>
      <c r="Q442" t="s">
        <v>30</v>
      </c>
      <c r="R442">
        <v>6</v>
      </c>
      <c r="S442" s="15">
        <v>3722.84</v>
      </c>
      <c r="T442" s="4">
        <v>0.2</v>
      </c>
      <c r="U442" s="3" t="str">
        <f>IF(T442&lt;0, "negative_discount", IF(AND(T442&gt;0.5, T442&lt;=1), "high_discount", ""))</f>
        <v/>
      </c>
      <c r="V442" s="11">
        <v>17869.63</v>
      </c>
      <c r="W442" s="12">
        <v>17869.63</v>
      </c>
      <c r="X442" s="11">
        <v>12163.8</v>
      </c>
      <c r="Y442" s="11">
        <v>5705.83</v>
      </c>
      <c r="Z442" s="11">
        <f>ROUND(W442-X442,2)</f>
        <v>5705.83</v>
      </c>
      <c r="AA442" s="4">
        <f>IF(W442=0,0,Z442/W442)</f>
        <v>0.31930319765994031</v>
      </c>
      <c r="AB442" t="s">
        <v>31</v>
      </c>
      <c r="AC442" t="s">
        <v>32</v>
      </c>
      <c r="AD442" t="str">
        <f>IF(AND(E442="", T442&gt;=0, T442&lt;=0.5, K442&lt;&gt;"Unknown", Q442&lt;&gt;"Unknown"), "CLEAN", _xlfn.CONCAT("WARNING: ", IF(E442&lt;&gt;"","invalid_date",""), IF(T442&lt;0,"negative_discount",""), IF(AND(T442&gt;0.5,T442&lt;=1),"high_discount",""), IF(K442="Unknown","missing_region",""), IF(Q442="Unknown","missing_ship_mode","")))</f>
        <v>CLEAN</v>
      </c>
      <c r="AE442" t="str">
        <f>IF(COUNTIF($AF$2:$AF$926,AF442)&gt;1,"DUPLICATE","UNIQUE")</f>
        <v>UNIQUE</v>
      </c>
      <c r="AF442" t="str">
        <f>A442&amp;"|"&amp;B442&amp;"|"&amp;H442&amp;"|"&amp;I442&amp;"|"&amp;R442&amp;"|"&amp;S442&amp;"|"&amp;V442</f>
        <v>ORD-2024-10441|2024-04-02|CUST-9039|Vikram Iyer|6|3722.84|17869.63</v>
      </c>
      <c r="AG442" t="str">
        <f>IF(COUNTIF($A$2:$A$913,A442)&gt;1,"TRUE","FALSE")</f>
        <v>FALSE</v>
      </c>
    </row>
    <row r="443" spans="1:33">
      <c r="A443" t="s">
        <v>1394</v>
      </c>
      <c r="B443" t="s">
        <v>2803</v>
      </c>
      <c r="C443" t="s">
        <v>367</v>
      </c>
      <c r="D443">
        <f>IF(OR(B443="", C443=""), "", (C443 - B443))</f>
        <v>207</v>
      </c>
      <c r="E443" t="str">
        <f>IF(C443&lt;B443, "INVALID: Ship date before order date", "")</f>
        <v/>
      </c>
      <c r="F443" t="str">
        <f>IF(B443="", "", TEXT(B443, "mmmm"))</f>
        <v>March</v>
      </c>
      <c r="G443">
        <f>IF(B443="", "", YEAR(B443))</f>
        <v>2024</v>
      </c>
      <c r="H443" t="s">
        <v>1395</v>
      </c>
      <c r="I443" t="s">
        <v>22</v>
      </c>
      <c r="J443" t="s">
        <v>23</v>
      </c>
      <c r="K443" t="s">
        <v>37</v>
      </c>
      <c r="L443" t="s">
        <v>142</v>
      </c>
      <c r="M443" t="s">
        <v>143</v>
      </c>
      <c r="N443" t="s">
        <v>40</v>
      </c>
      <c r="O443" t="s">
        <v>153</v>
      </c>
      <c r="P443" t="s">
        <v>1396</v>
      </c>
      <c r="Q443" t="s">
        <v>58</v>
      </c>
      <c r="R443">
        <v>6</v>
      </c>
      <c r="S443" s="15">
        <v>4217.49</v>
      </c>
      <c r="T443" s="4">
        <v>0</v>
      </c>
      <c r="U443" s="3" t="str">
        <f>IF(T443&lt;0, "negative_discount", IF(AND(T443&gt;0.5, T443&lt;=1), "high_discount", ""))</f>
        <v/>
      </c>
      <c r="V443" s="11">
        <v>25304.94</v>
      </c>
      <c r="W443" s="12">
        <v>25304.94</v>
      </c>
      <c r="X443" s="11">
        <v>20771.95</v>
      </c>
      <c r="Y443" s="11">
        <v>4532.99</v>
      </c>
      <c r="Z443" s="11">
        <f>ROUND(W443-X443,2)</f>
        <v>4532.99</v>
      </c>
      <c r="AA443" s="4">
        <f>IF(W443=0,0,Z443/W443)</f>
        <v>0.17913458795002082</v>
      </c>
      <c r="AB443" t="s">
        <v>31</v>
      </c>
      <c r="AC443" t="s">
        <v>67</v>
      </c>
      <c r="AD443" t="str">
        <f>IF(AND(E443="", T443&gt;=0, T443&lt;=0.5, K443&lt;&gt;"Unknown", Q443&lt;&gt;"Unknown"), "CLEAN", _xlfn.CONCAT("WARNING: ", IF(E443&lt;&gt;"","invalid_date",""), IF(T443&lt;0,"negative_discount",""), IF(AND(T443&gt;0.5,T443&lt;=1),"high_discount",""), IF(K443="Unknown","missing_region",""), IF(Q443="Unknown","missing_ship_mode","")))</f>
        <v>CLEAN</v>
      </c>
      <c r="AE443" t="str">
        <f>IF(COUNTIF($AF$2:$AF$926,AF443)&gt;1,"DUPLICATE","UNIQUE")</f>
        <v>UNIQUE</v>
      </c>
      <c r="AF443" t="str">
        <f>A443&amp;"|"&amp;B443&amp;"|"&amp;H443&amp;"|"&amp;I443&amp;"|"&amp;R443&amp;"|"&amp;S443&amp;"|"&amp;V443</f>
        <v>ORD-2024-10442|2024-03-10|CUST-3975|Karan Malhotra|6|4217.49|25304.94</v>
      </c>
      <c r="AG443" t="str">
        <f>IF(COUNTIF($A$2:$A$913,A443)&gt;1,"TRUE","FALSE")</f>
        <v>FALSE</v>
      </c>
    </row>
    <row r="444" spans="1:33">
      <c r="A444" t="s">
        <v>3176</v>
      </c>
      <c r="B444" t="s">
        <v>2804</v>
      </c>
      <c r="C444" t="s">
        <v>1397</v>
      </c>
      <c r="D444">
        <f>IF(OR(B444="", C444=""), "", (C444 - B444))</f>
        <v>7</v>
      </c>
      <c r="E444" t="str">
        <f>IF(C444&lt;B444, "INVALID: Ship date before order date", "")</f>
        <v/>
      </c>
      <c r="F444" t="str">
        <f>IF(B444="", "", TEXT(B444, "mmmm"))</f>
        <v>January</v>
      </c>
      <c r="G444">
        <f>IF(B444="", "", YEAR(B444))</f>
        <v>2025</v>
      </c>
      <c r="H444" t="s">
        <v>1398</v>
      </c>
      <c r="I444" t="s">
        <v>126</v>
      </c>
      <c r="J444" t="s">
        <v>23</v>
      </c>
      <c r="K444" t="s">
        <v>37</v>
      </c>
      <c r="L444" t="s">
        <v>226</v>
      </c>
      <c r="M444" t="s">
        <v>227</v>
      </c>
      <c r="N444" t="s">
        <v>40</v>
      </c>
      <c r="O444" t="s">
        <v>41</v>
      </c>
      <c r="P444" t="s">
        <v>1399</v>
      </c>
      <c r="Q444" t="s">
        <v>49</v>
      </c>
      <c r="R444">
        <v>1</v>
      </c>
      <c r="S444" s="15">
        <v>1842.31</v>
      </c>
      <c r="T444" s="4">
        <v>0</v>
      </c>
      <c r="U444" s="3" t="str">
        <f>IF(T444&lt;0, "negative_discount", IF(AND(T444&gt;0.5, T444&lt;=1), "high_discount", ""))</f>
        <v/>
      </c>
      <c r="V444" s="11">
        <v>1842.31</v>
      </c>
      <c r="W444" s="12">
        <v>1842.31</v>
      </c>
      <c r="X444" s="11">
        <v>1019.17</v>
      </c>
      <c r="Y444" s="11">
        <v>823.14</v>
      </c>
      <c r="Z444" s="11">
        <f>ROUND(W444-X444,2)</f>
        <v>823.14</v>
      </c>
      <c r="AA444" s="4">
        <f>IF(W444=0,0,Z444/W444)</f>
        <v>0.44679777019068451</v>
      </c>
      <c r="AB444" t="s">
        <v>31</v>
      </c>
      <c r="AC444" t="s">
        <v>32</v>
      </c>
      <c r="AD444" t="str">
        <f>IF(AND(E444="", T444&gt;=0, T444&lt;=0.5, K444&lt;&gt;"Unknown", Q444&lt;&gt;"Unknown"), "CLEAN", _xlfn.CONCAT("WARNING: ", IF(E444&lt;&gt;"","invalid_date",""), IF(T444&lt;0,"negative_discount",""), IF(AND(T444&gt;0.5,T444&lt;=1),"high_discount",""), IF(K444="Unknown","missing_region",""), IF(Q444="Unknown","missing_ship_mode","")))</f>
        <v>CLEAN</v>
      </c>
      <c r="AE444" t="str">
        <f>IF(COUNTIF($AF$2:$AF$926,AF444)&gt;1,"DUPLICATE","UNIQUE")</f>
        <v>UNIQUE</v>
      </c>
      <c r="AF444" t="str">
        <f>A444&amp;"|"&amp;B444&amp;"|"&amp;H444&amp;"|"&amp;I444&amp;"|"&amp;R444&amp;"|"&amp;S444&amp;"|"&amp;V444</f>
        <v>ORD-2025-10443|2025-01-12|CUST-6588|Aarav Sharma|1|1842.31|1842.31</v>
      </c>
      <c r="AG444" t="str">
        <f>IF(COUNTIF($A$2:$A$913,A444)&gt;1,"TRUE","FALSE")</f>
        <v>FALSE</v>
      </c>
    </row>
    <row r="445" spans="1:33">
      <c r="A445" t="s">
        <v>1400</v>
      </c>
      <c r="B445" t="s">
        <v>2805</v>
      </c>
      <c r="C445" t="s">
        <v>2769</v>
      </c>
      <c r="D445">
        <f>IF(OR(B445="", C445=""), "", (C445 - B445))</f>
        <v>3</v>
      </c>
      <c r="E445" t="str">
        <f>IF(C445&lt;B445, "INVALID: Ship date before order date", "")</f>
        <v/>
      </c>
      <c r="F445" t="str">
        <f>IF(B445="", "", TEXT(B445, "mmmm"))</f>
        <v>April</v>
      </c>
      <c r="G445">
        <f>IF(B445="", "", YEAR(B445))</f>
        <v>2024</v>
      </c>
      <c r="H445" t="s">
        <v>1401</v>
      </c>
      <c r="I445" t="s">
        <v>139</v>
      </c>
      <c r="J445" t="s">
        <v>93</v>
      </c>
      <c r="K445" t="s">
        <v>37</v>
      </c>
      <c r="L445" t="s">
        <v>38</v>
      </c>
      <c r="M445" t="s">
        <v>39</v>
      </c>
      <c r="N445" t="s">
        <v>40</v>
      </c>
      <c r="O445" t="s">
        <v>56</v>
      </c>
      <c r="P445" t="s">
        <v>1402</v>
      </c>
      <c r="Q445" t="s">
        <v>49</v>
      </c>
      <c r="R445">
        <v>1</v>
      </c>
      <c r="S445" s="15">
        <v>3683.75</v>
      </c>
      <c r="T445" s="4">
        <v>0.1</v>
      </c>
      <c r="U445" s="3" t="str">
        <f>IF(T445&lt;0, "negative_discount", IF(AND(T445&gt;0.5, T445&lt;=1), "high_discount", ""))</f>
        <v/>
      </c>
      <c r="V445" s="11">
        <v>3315.38</v>
      </c>
      <c r="W445" s="12">
        <v>3315.38</v>
      </c>
      <c r="X445" s="11">
        <v>2347.6799999999998</v>
      </c>
      <c r="Y445" s="11">
        <v>967.7</v>
      </c>
      <c r="Z445" s="11">
        <f>ROUND(W445-X445,2)</f>
        <v>967.7</v>
      </c>
      <c r="AA445" s="4">
        <f>IF(W445=0,0,Z445/W445)</f>
        <v>0.29188207686600026</v>
      </c>
      <c r="AB445" t="s">
        <v>31</v>
      </c>
      <c r="AC445" t="s">
        <v>32</v>
      </c>
      <c r="AD445" t="str">
        <f>IF(AND(E445="", T445&gt;=0, T445&lt;=0.5, K445&lt;&gt;"Unknown", Q445&lt;&gt;"Unknown"), "CLEAN", _xlfn.CONCAT("WARNING: ", IF(E445&lt;&gt;"","invalid_date",""), IF(T445&lt;0,"negative_discount",""), IF(AND(T445&gt;0.5,T445&lt;=1),"high_discount",""), IF(K445="Unknown","missing_region",""), IF(Q445="Unknown","missing_ship_mode","")))</f>
        <v>CLEAN</v>
      </c>
      <c r="AE445" t="str">
        <f>IF(COUNTIF($AF$2:$AF$926,AF445)&gt;1,"DUPLICATE","UNIQUE")</f>
        <v>UNIQUE</v>
      </c>
      <c r="AF445" t="str">
        <f>A445&amp;"|"&amp;B445&amp;"|"&amp;H445&amp;"|"&amp;I445&amp;"|"&amp;R445&amp;"|"&amp;S445&amp;"|"&amp;V445</f>
        <v>ORD-2024-10444|2024-04-04|CUST-2207|Rohan Mehta|1|3683.75|3315.38</v>
      </c>
      <c r="AG445" t="str">
        <f>IF(COUNTIF($A$2:$A$913,A445)&gt;1,"TRUE","FALSE")</f>
        <v>FALSE</v>
      </c>
    </row>
    <row r="446" spans="1:33">
      <c r="A446" t="s">
        <v>3177</v>
      </c>
      <c r="B446" t="s">
        <v>871</v>
      </c>
      <c r="C446" t="s">
        <v>1200</v>
      </c>
      <c r="D446">
        <f>IF(OR(B446="", C446=""), "", (C446 - B446))</f>
        <v>4</v>
      </c>
      <c r="E446" t="str">
        <f>IF(C446&lt;B446, "INVALID: Ship date before order date", "")</f>
        <v/>
      </c>
      <c r="F446" t="str">
        <f>IF(B446="", "", TEXT(B446, "mmmm"))</f>
        <v>August</v>
      </c>
      <c r="G446">
        <f>IF(B446="", "", YEAR(B446))</f>
        <v>2025</v>
      </c>
      <c r="H446" t="s">
        <v>1403</v>
      </c>
      <c r="I446" t="s">
        <v>61</v>
      </c>
      <c r="J446" t="s">
        <v>23</v>
      </c>
      <c r="K446" t="s">
        <v>37</v>
      </c>
      <c r="L446" t="s">
        <v>163</v>
      </c>
      <c r="M446" t="s">
        <v>164</v>
      </c>
      <c r="N446" t="s">
        <v>74</v>
      </c>
      <c r="O446" t="s">
        <v>75</v>
      </c>
      <c r="P446" t="s">
        <v>1404</v>
      </c>
      <c r="Q446" t="s">
        <v>43</v>
      </c>
      <c r="R446">
        <v>9</v>
      </c>
      <c r="S446" s="15">
        <v>2379.2399999999998</v>
      </c>
      <c r="T446" s="4">
        <v>0.05</v>
      </c>
      <c r="U446" s="3" t="str">
        <f>IF(T446&lt;0, "negative_discount", IF(AND(T446&gt;0.5, T446&lt;=1), "high_discount", ""))</f>
        <v/>
      </c>
      <c r="V446" s="11">
        <v>20342.5</v>
      </c>
      <c r="W446" s="12">
        <v>20342.5</v>
      </c>
      <c r="X446" s="11">
        <v>12407.51</v>
      </c>
      <c r="Y446" s="11">
        <v>7934.99</v>
      </c>
      <c r="Z446" s="11">
        <f>ROUND(W446-X446,2)</f>
        <v>7934.99</v>
      </c>
      <c r="AA446" s="4">
        <f>IF(W446=0,0,Z446/W446)</f>
        <v>0.39006955880545657</v>
      </c>
      <c r="AB446" t="s">
        <v>31</v>
      </c>
      <c r="AC446" t="s">
        <v>32</v>
      </c>
      <c r="AD446" t="str">
        <f>IF(AND(E446="", T446&gt;=0, T446&lt;=0.5, K446&lt;&gt;"Unknown", Q446&lt;&gt;"Unknown"), "CLEAN", _xlfn.CONCAT("WARNING: ", IF(E446&lt;&gt;"","invalid_date",""), IF(T446&lt;0,"negative_discount",""), IF(AND(T446&gt;0.5,T446&lt;=1),"high_discount",""), IF(K446="Unknown","missing_region",""), IF(Q446="Unknown","missing_ship_mode","")))</f>
        <v>CLEAN</v>
      </c>
      <c r="AE446" t="str">
        <f>IF(COUNTIF($AF$2:$AF$926,AF446)&gt;1,"DUPLICATE","UNIQUE")</f>
        <v>UNIQUE</v>
      </c>
      <c r="AF446" t="str">
        <f>A446&amp;"|"&amp;B446&amp;"|"&amp;H446&amp;"|"&amp;I446&amp;"|"&amp;R446&amp;"|"&amp;S446&amp;"|"&amp;V446</f>
        <v>ORD-2025-10445|2025-08-12|CUST-4475|Ananya Rao|9|2379.24|20342.5</v>
      </c>
      <c r="AG446" t="str">
        <f>IF(COUNTIF($A$2:$A$913,A446)&gt;1,"TRUE","FALSE")</f>
        <v>FALSE</v>
      </c>
    </row>
    <row r="447" spans="1:33">
      <c r="A447" t="s">
        <v>1405</v>
      </c>
      <c r="B447" t="s">
        <v>1151</v>
      </c>
      <c r="C447" t="s">
        <v>2940</v>
      </c>
      <c r="D447">
        <f>IF(OR(B447="", C447=""), "", (C447 - B447))</f>
        <v>-4</v>
      </c>
      <c r="E447" t="str">
        <f>IF(C447&lt;B447, "INVALID: Ship date before order date", "")</f>
        <v>INVALID: Ship date before order date</v>
      </c>
      <c r="F447" t="str">
        <f>IF(B447="", "", TEXT(B447, "mmmm"))</f>
        <v>May</v>
      </c>
      <c r="G447">
        <f>IF(B447="", "", YEAR(B447))</f>
        <v>2024</v>
      </c>
      <c r="H447" t="s">
        <v>1406</v>
      </c>
      <c r="I447" t="s">
        <v>52</v>
      </c>
      <c r="J447" t="s">
        <v>23</v>
      </c>
      <c r="K447" t="s">
        <v>37</v>
      </c>
      <c r="L447" t="s">
        <v>163</v>
      </c>
      <c r="M447" t="s">
        <v>164</v>
      </c>
      <c r="N447" t="s">
        <v>40</v>
      </c>
      <c r="O447" t="s">
        <v>153</v>
      </c>
      <c r="P447" t="s">
        <v>1407</v>
      </c>
      <c r="Q447" t="s">
        <v>43</v>
      </c>
      <c r="R447">
        <v>2</v>
      </c>
      <c r="S447" s="15">
        <v>2111.23</v>
      </c>
      <c r="T447" s="4">
        <v>0.2</v>
      </c>
      <c r="U447" s="3" t="str">
        <f>IF(T447&lt;0, "negative_discount", IF(AND(T447&gt;0.5, T447&lt;=1), "high_discount", ""))</f>
        <v/>
      </c>
      <c r="V447" s="11">
        <v>3377.97</v>
      </c>
      <c r="W447" s="12">
        <v>3377.97</v>
      </c>
      <c r="X447" s="11">
        <v>2496.29</v>
      </c>
      <c r="Y447" s="11">
        <v>881.68</v>
      </c>
      <c r="Z447" s="11">
        <f>ROUND(W447-X447,2)</f>
        <v>881.68</v>
      </c>
      <c r="AA447" s="4">
        <f>IF(W447=0,0,Z447/W447)</f>
        <v>0.26100883074746073</v>
      </c>
      <c r="AB447" t="s">
        <v>31</v>
      </c>
      <c r="AC447" t="s">
        <v>32</v>
      </c>
      <c r="AD447" t="str">
        <f>IF(AND(E447="", T447&gt;=0, T447&lt;=0.5, K447&lt;&gt;"Unknown", Q447&lt;&gt;"Unknown"), "CLEAN", _xlfn.CONCAT("WARNING: ", IF(E447&lt;&gt;"","invalid_date",""), IF(T447&lt;0,"negative_discount",""), IF(AND(T447&gt;0.5,T447&lt;=1),"high_discount",""), IF(K447="Unknown","missing_region",""), IF(Q447="Unknown","missing_ship_mode","")))</f>
        <v>WARNING: invalid_date</v>
      </c>
      <c r="AE447" t="str">
        <f>IF(COUNTIF($AF$2:$AF$926,AF447)&gt;1,"DUPLICATE","UNIQUE")</f>
        <v>UNIQUE</v>
      </c>
      <c r="AF447" t="str">
        <f>A447&amp;"|"&amp;B447&amp;"|"&amp;H447&amp;"|"&amp;I447&amp;"|"&amp;R447&amp;"|"&amp;S447&amp;"|"&amp;V447</f>
        <v>ORD-2024-10446|2024-05-09|CUST-1351|Arjun Bose|2|2111.23|3377.97</v>
      </c>
      <c r="AG447" t="str">
        <f>IF(COUNTIF($A$2:$A$913,A447)&gt;1,"TRUE","FALSE")</f>
        <v>FALSE</v>
      </c>
    </row>
    <row r="448" spans="1:33">
      <c r="A448" t="s">
        <v>3178</v>
      </c>
      <c r="B448" t="s">
        <v>2806</v>
      </c>
      <c r="C448" t="s">
        <v>1224</v>
      </c>
      <c r="D448">
        <f>IF(OR(B448="", C448=""), "", (C448 - B448))</f>
        <v>1</v>
      </c>
      <c r="E448" t="str">
        <f>IF(C448&lt;B448, "INVALID: Ship date before order date", "")</f>
        <v/>
      </c>
      <c r="F448" t="str">
        <f>IF(B448="", "", TEXT(B448, "mmmm"))</f>
        <v>September</v>
      </c>
      <c r="G448">
        <f>IF(B448="", "", YEAR(B448))</f>
        <v>2025</v>
      </c>
      <c r="H448" t="s">
        <v>1408</v>
      </c>
      <c r="I448" t="s">
        <v>131</v>
      </c>
      <c r="J448" t="s">
        <v>93</v>
      </c>
      <c r="K448" t="s">
        <v>53</v>
      </c>
      <c r="L448" t="s">
        <v>83</v>
      </c>
      <c r="M448" t="s">
        <v>84</v>
      </c>
      <c r="N448" t="s">
        <v>27</v>
      </c>
      <c r="O448" t="s">
        <v>122</v>
      </c>
      <c r="P448" t="s">
        <v>1409</v>
      </c>
      <c r="Q448" t="s">
        <v>43</v>
      </c>
      <c r="R448">
        <v>8</v>
      </c>
      <c r="S448" s="15">
        <v>4242.51</v>
      </c>
      <c r="T448" s="4">
        <v>0</v>
      </c>
      <c r="U448" s="3" t="str">
        <f>IF(T448&lt;0, "negative_discount", IF(AND(T448&gt;0.5, T448&lt;=1), "high_discount", ""))</f>
        <v/>
      </c>
      <c r="V448" s="11">
        <v>33940.080000000002</v>
      </c>
      <c r="W448" s="12">
        <v>33940.080000000002</v>
      </c>
      <c r="X448" s="11">
        <v>23754.19</v>
      </c>
      <c r="Y448" s="11">
        <v>10185.89</v>
      </c>
      <c r="Z448" s="11">
        <f>ROUND(W448-X448,2)</f>
        <v>10185.89</v>
      </c>
      <c r="AA448" s="4">
        <f>IF(W448=0,0,Z448/W448)</f>
        <v>0.30011390662603032</v>
      </c>
      <c r="AB448" t="s">
        <v>31</v>
      </c>
      <c r="AC448" t="s">
        <v>32</v>
      </c>
      <c r="AD448" t="str">
        <f>IF(AND(E448="", T448&gt;=0, T448&lt;=0.5, K448&lt;&gt;"Unknown", Q448&lt;&gt;"Unknown"), "CLEAN", _xlfn.CONCAT("WARNING: ", IF(E448&lt;&gt;"","invalid_date",""), IF(T448&lt;0,"negative_discount",""), IF(AND(T448&gt;0.5,T448&lt;=1),"high_discount",""), IF(K448="Unknown","missing_region",""), IF(Q448="Unknown","missing_ship_mode","")))</f>
        <v>CLEAN</v>
      </c>
      <c r="AE448" t="str">
        <f>IF(COUNTIF($AF$2:$AF$926,AF448)&gt;1,"DUPLICATE","UNIQUE")</f>
        <v>UNIQUE</v>
      </c>
      <c r="AF448" t="str">
        <f>A448&amp;"|"&amp;B448&amp;"|"&amp;H448&amp;"|"&amp;I448&amp;"|"&amp;R448&amp;"|"&amp;S448&amp;"|"&amp;V448</f>
        <v>ORD-2025-10447|2025-09-18|CUST-9295|Sneha Kapoor|8|4242.51|33940.08</v>
      </c>
      <c r="AG448" t="str">
        <f>IF(COUNTIF($A$2:$A$913,A448)&gt;1,"TRUE","FALSE")</f>
        <v>FALSE</v>
      </c>
    </row>
    <row r="449" spans="1:33">
      <c r="A449" t="s">
        <v>3179</v>
      </c>
      <c r="B449" t="s">
        <v>2415</v>
      </c>
      <c r="C449" t="s">
        <v>2015</v>
      </c>
      <c r="D449">
        <f>IF(OR(B449="", C449=""), "", (C449 - B449))</f>
        <v>-59</v>
      </c>
      <c r="E449" t="str">
        <f>IF(C449&lt;B449, "INVALID: Ship date before order date", "")</f>
        <v>INVALID: Ship date before order date</v>
      </c>
      <c r="F449" t="str">
        <f>IF(B449="", "", TEXT(B449, "mmmm"))</f>
        <v>October</v>
      </c>
      <c r="G449">
        <f>IF(B449="", "", YEAR(B449))</f>
        <v>2025</v>
      </c>
      <c r="H449" t="s">
        <v>1410</v>
      </c>
      <c r="I449" t="s">
        <v>139</v>
      </c>
      <c r="J449" t="s">
        <v>93</v>
      </c>
      <c r="K449" t="s">
        <v>53</v>
      </c>
      <c r="L449" t="s">
        <v>54</v>
      </c>
      <c r="M449" t="s">
        <v>55</v>
      </c>
      <c r="N449" t="s">
        <v>40</v>
      </c>
      <c r="O449" t="s">
        <v>153</v>
      </c>
      <c r="P449" t="s">
        <v>1411</v>
      </c>
      <c r="Q449" t="s">
        <v>58</v>
      </c>
      <c r="R449">
        <v>6</v>
      </c>
      <c r="S449" s="15">
        <v>4288.7</v>
      </c>
      <c r="T449" s="4">
        <v>0.15</v>
      </c>
      <c r="U449" s="3" t="str">
        <f>IF(T449&lt;0, "negative_discount", IF(AND(T449&gt;0.5, T449&lt;=1), "high_discount", ""))</f>
        <v/>
      </c>
      <c r="V449" s="11">
        <v>21872.37</v>
      </c>
      <c r="W449" s="12">
        <v>21872.37</v>
      </c>
      <c r="X449" s="11">
        <v>13829.5</v>
      </c>
      <c r="Y449" s="11">
        <v>8042.87</v>
      </c>
      <c r="Z449" s="11">
        <f>ROUND(W449-X449,2)</f>
        <v>8042.87</v>
      </c>
      <c r="AA449" s="4">
        <f>IF(W449=0,0,Z449/W449)</f>
        <v>0.36771826738483304</v>
      </c>
      <c r="AB449" t="s">
        <v>109</v>
      </c>
      <c r="AC449" t="s">
        <v>100</v>
      </c>
      <c r="AD449" t="str">
        <f>IF(AND(E449="", T449&gt;=0, T449&lt;=0.5, K449&lt;&gt;"Unknown", Q449&lt;&gt;"Unknown"), "CLEAN", _xlfn.CONCAT("WARNING: ", IF(E449&lt;&gt;"","invalid_date",""), IF(T449&lt;0,"negative_discount",""), IF(AND(T449&gt;0.5,T449&lt;=1),"high_discount",""), IF(K449="Unknown","missing_region",""), IF(Q449="Unknown","missing_ship_mode","")))</f>
        <v>WARNING: invalid_date</v>
      </c>
      <c r="AE449" t="str">
        <f>IF(COUNTIF($AF$2:$AF$926,AF449)&gt;1,"DUPLICATE","UNIQUE")</f>
        <v>UNIQUE</v>
      </c>
      <c r="AF449" t="str">
        <f>A449&amp;"|"&amp;B449&amp;"|"&amp;H449&amp;"|"&amp;I449&amp;"|"&amp;R449&amp;"|"&amp;S449&amp;"|"&amp;V449</f>
        <v>ORD-2025-10448|2025-10-08|CUST-3614|Rohan Mehta|6|4288.7|21872.37</v>
      </c>
      <c r="AG449" t="str">
        <f>IF(COUNTIF($A$2:$A$913,A449)&gt;1,"TRUE","FALSE")</f>
        <v>FALSE</v>
      </c>
    </row>
    <row r="450" spans="1:33">
      <c r="A450" t="s">
        <v>1412</v>
      </c>
      <c r="B450" t="s">
        <v>2807</v>
      </c>
      <c r="C450" t="s">
        <v>2688</v>
      </c>
      <c r="D450">
        <f>IF(OR(B450="", C450=""), "", (C450 - B450))</f>
        <v>3</v>
      </c>
      <c r="E450" t="str">
        <f>IF(C450&lt;B450, "INVALID: Ship date before order date", "")</f>
        <v/>
      </c>
      <c r="F450" t="str">
        <f>IF(B450="", "", TEXT(B450, "mmmm"))</f>
        <v>January</v>
      </c>
      <c r="G450">
        <f>IF(B450="", "", YEAR(B450))</f>
        <v>2024</v>
      </c>
      <c r="H450" t="s">
        <v>1413</v>
      </c>
      <c r="I450" t="s">
        <v>35</v>
      </c>
      <c r="J450" t="s">
        <v>36</v>
      </c>
      <c r="K450" t="s">
        <v>53</v>
      </c>
      <c r="L450" t="s">
        <v>83</v>
      </c>
      <c r="M450" t="s">
        <v>84</v>
      </c>
      <c r="N450" t="s">
        <v>40</v>
      </c>
      <c r="O450" t="s">
        <v>65</v>
      </c>
      <c r="P450" t="s">
        <v>1414</v>
      </c>
      <c r="Q450" t="s">
        <v>49</v>
      </c>
      <c r="R450">
        <v>2</v>
      </c>
      <c r="S450" s="15">
        <v>201.21</v>
      </c>
      <c r="T450" s="4">
        <v>0.15</v>
      </c>
      <c r="U450" s="3" t="str">
        <f>IF(T450&lt;0, "negative_discount", IF(AND(T450&gt;0.5, T450&lt;=1), "high_discount", ""))</f>
        <v/>
      </c>
      <c r="V450" s="11">
        <v>342.06</v>
      </c>
      <c r="W450" s="12">
        <v>342.06</v>
      </c>
      <c r="X450" s="11">
        <v>244.57</v>
      </c>
      <c r="Y450" s="11">
        <v>97.49</v>
      </c>
      <c r="Z450" s="11">
        <f>ROUND(W450-X450,2)</f>
        <v>97.49</v>
      </c>
      <c r="AA450" s="4">
        <f>IF(W450=0,0,Z450/W450)</f>
        <v>0.28500847804478746</v>
      </c>
      <c r="AB450" t="s">
        <v>31</v>
      </c>
      <c r="AC450" t="s">
        <v>32</v>
      </c>
      <c r="AD450" t="str">
        <f>IF(AND(E450="", T450&gt;=0, T450&lt;=0.5, K450&lt;&gt;"Unknown", Q450&lt;&gt;"Unknown"), "CLEAN", _xlfn.CONCAT("WARNING: ", IF(E450&lt;&gt;"","invalid_date",""), IF(T450&lt;0,"negative_discount",""), IF(AND(T450&gt;0.5,T450&lt;=1),"high_discount",""), IF(K450="Unknown","missing_region",""), IF(Q450="Unknown","missing_ship_mode","")))</f>
        <v>CLEAN</v>
      </c>
      <c r="AE450" t="str">
        <f>IF(COUNTIF($AF$2:$AF$926,AF450)&gt;1,"DUPLICATE","UNIQUE")</f>
        <v>UNIQUE</v>
      </c>
      <c r="AF450" t="str">
        <f>A450&amp;"|"&amp;B450&amp;"|"&amp;H450&amp;"|"&amp;I450&amp;"|"&amp;R450&amp;"|"&amp;S450&amp;"|"&amp;V450</f>
        <v>ORD-2024-10449|2024-01-15|CUST-1932|Mira Das|2|201.21|342.06</v>
      </c>
      <c r="AG450" t="str">
        <f>IF(COUNTIF($A$2:$A$913,A450)&gt;1,"TRUE","FALSE")</f>
        <v>FALSE</v>
      </c>
    </row>
    <row r="451" spans="1:33">
      <c r="A451" t="s">
        <v>1415</v>
      </c>
      <c r="B451" t="s">
        <v>2789</v>
      </c>
      <c r="C451" t="s">
        <v>1500</v>
      </c>
      <c r="D451">
        <f>IF(OR(B451="", C451=""), "", (C451 - B451))</f>
        <v>7</v>
      </c>
      <c r="E451" t="str">
        <f>IF(C451&lt;B451, "INVALID: Ship date before order date", "")</f>
        <v/>
      </c>
      <c r="F451" t="str">
        <f>IF(B451="", "", TEXT(B451, "mmmm"))</f>
        <v>June</v>
      </c>
      <c r="G451">
        <f>IF(B451="", "", YEAR(B451))</f>
        <v>2024</v>
      </c>
      <c r="H451" t="s">
        <v>1315</v>
      </c>
      <c r="I451" t="s">
        <v>88</v>
      </c>
      <c r="J451" t="s">
        <v>89</v>
      </c>
      <c r="K451" t="s">
        <v>37</v>
      </c>
      <c r="L451" t="s">
        <v>163</v>
      </c>
      <c r="M451" t="s">
        <v>164</v>
      </c>
      <c r="N451" t="s">
        <v>74</v>
      </c>
      <c r="O451" t="s">
        <v>272</v>
      </c>
      <c r="P451" t="s">
        <v>1416</v>
      </c>
      <c r="Q451" t="s">
        <v>30</v>
      </c>
      <c r="R451">
        <v>6</v>
      </c>
      <c r="S451" s="15">
        <v>3270.36</v>
      </c>
      <c r="T451" s="4">
        <v>0</v>
      </c>
      <c r="U451" s="3" t="str">
        <f>IF(T451&lt;0, "negative_discount", IF(AND(T451&gt;0.5, T451&lt;=1), "high_discount", ""))</f>
        <v/>
      </c>
      <c r="V451" s="11">
        <v>19622.16</v>
      </c>
      <c r="W451" s="12">
        <v>19622.16</v>
      </c>
      <c r="X451" s="11">
        <v>14271.27</v>
      </c>
      <c r="Y451" s="11">
        <v>5350.89</v>
      </c>
      <c r="Z451" s="11">
        <f>ROUND(W451-X451,2)</f>
        <v>5350.89</v>
      </c>
      <c r="AA451" s="4">
        <f>IF(W451=0,0,Z451/W451)</f>
        <v>0.27269627808559305</v>
      </c>
      <c r="AB451" t="s">
        <v>31</v>
      </c>
      <c r="AC451" t="s">
        <v>32</v>
      </c>
      <c r="AD451" t="str">
        <f>IF(AND(E451="", T451&gt;=0, T451&lt;=0.5, K451&lt;&gt;"Unknown", Q451&lt;&gt;"Unknown"), "CLEAN", _xlfn.CONCAT("WARNING: ", IF(E451&lt;&gt;"","invalid_date",""), IF(T451&lt;0,"negative_discount",""), IF(AND(T451&gt;0.5,T451&lt;=1),"high_discount",""), IF(K451="Unknown","missing_region",""), IF(Q451="Unknown","missing_ship_mode","")))</f>
        <v>CLEAN</v>
      </c>
      <c r="AE451" t="str">
        <f>IF(COUNTIF($AF$2:$AF$926,AF451)&gt;1,"DUPLICATE","UNIQUE")</f>
        <v>UNIQUE</v>
      </c>
      <c r="AF451" t="str">
        <f>A451&amp;"|"&amp;B451&amp;"|"&amp;H451&amp;"|"&amp;I451&amp;"|"&amp;R451&amp;"|"&amp;S451&amp;"|"&amp;V451</f>
        <v>ORD-2024-10450|2024-06-06|CUST-5094|Aditi Sen|6|3270.36|19622.16</v>
      </c>
      <c r="AG451" t="str">
        <f>IF(COUNTIF($A$2:$A$913,A451)&gt;1,"TRUE","FALSE")</f>
        <v>FALSE</v>
      </c>
    </row>
    <row r="452" spans="1:33">
      <c r="A452" t="s">
        <v>3180</v>
      </c>
      <c r="B452" t="s">
        <v>997</v>
      </c>
      <c r="C452" t="s">
        <v>1016</v>
      </c>
      <c r="D452">
        <f>IF(OR(B452="", C452=""), "", (C452 - B452))</f>
        <v>7</v>
      </c>
      <c r="E452" t="str">
        <f>IF(C452&lt;B452, "INVALID: Ship date before order date", "")</f>
        <v/>
      </c>
      <c r="F452" t="str">
        <f>IF(B452="", "", TEXT(B452, "mmmm"))</f>
        <v>June</v>
      </c>
      <c r="G452">
        <f>IF(B452="", "", YEAR(B452))</f>
        <v>2025</v>
      </c>
      <c r="H452" t="s">
        <v>1417</v>
      </c>
      <c r="I452" t="s">
        <v>61</v>
      </c>
      <c r="J452" t="s">
        <v>89</v>
      </c>
      <c r="K452" t="s">
        <v>24</v>
      </c>
      <c r="L452" t="s">
        <v>353</v>
      </c>
      <c r="M452" t="s">
        <v>354</v>
      </c>
      <c r="N452" t="s">
        <v>40</v>
      </c>
      <c r="O452" t="s">
        <v>65</v>
      </c>
      <c r="P452" t="s">
        <v>1418</v>
      </c>
      <c r="Q452" t="s">
        <v>58</v>
      </c>
      <c r="R452">
        <v>9</v>
      </c>
      <c r="S452" s="15">
        <v>2278.5700000000002</v>
      </c>
      <c r="T452" s="4">
        <v>0.25</v>
      </c>
      <c r="U452" s="3" t="str">
        <f>IF(T452&lt;0, "negative_discount", IF(AND(T452&gt;0.5, T452&lt;=1), "high_discount", ""))</f>
        <v/>
      </c>
      <c r="V452" s="11">
        <v>15380.35</v>
      </c>
      <c r="W452" s="12">
        <v>15380.35</v>
      </c>
      <c r="X452" s="11">
        <v>9907.3700000000008</v>
      </c>
      <c r="Y452" s="11">
        <v>5472.98</v>
      </c>
      <c r="Z452" s="11">
        <f>ROUND(W452-X452,2)</f>
        <v>5472.98</v>
      </c>
      <c r="AA452" s="4">
        <f>IF(W452=0,0,Z452/W452)</f>
        <v>0.35584235729355962</v>
      </c>
      <c r="AB452" t="s">
        <v>31</v>
      </c>
      <c r="AC452" t="s">
        <v>32</v>
      </c>
      <c r="AD452" t="str">
        <f>IF(AND(E452="", T452&gt;=0, T452&lt;=0.5, K452&lt;&gt;"Unknown", Q452&lt;&gt;"Unknown"), "CLEAN", _xlfn.CONCAT("WARNING: ", IF(E452&lt;&gt;"","invalid_date",""), IF(T452&lt;0,"negative_discount",""), IF(AND(T452&gt;0.5,T452&lt;=1),"high_discount",""), IF(K452="Unknown","missing_region",""), IF(Q452="Unknown","missing_ship_mode","")))</f>
        <v>CLEAN</v>
      </c>
      <c r="AE452" t="str">
        <f>IF(COUNTIF($AF$2:$AF$926,AF452)&gt;1,"DUPLICATE","UNIQUE")</f>
        <v>UNIQUE</v>
      </c>
      <c r="AF452" t="str">
        <f>A452&amp;"|"&amp;B452&amp;"|"&amp;H452&amp;"|"&amp;I452&amp;"|"&amp;R452&amp;"|"&amp;S452&amp;"|"&amp;V452</f>
        <v>ORD-2025-10451|2025-06-12|CUST-8672|Ananya Rao|9|2278.57|15380.35</v>
      </c>
      <c r="AG452" t="str">
        <f>IF(COUNTIF($A$2:$A$913,A452)&gt;1,"TRUE","FALSE")</f>
        <v>FALSE</v>
      </c>
    </row>
    <row r="453" spans="1:33">
      <c r="A453" t="s">
        <v>1419</v>
      </c>
      <c r="B453" t="s">
        <v>2051</v>
      </c>
      <c r="C453" t="s">
        <v>544</v>
      </c>
      <c r="D453">
        <f>IF(OR(B453="", C453=""), "", (C453 - B453))</f>
        <v>2</v>
      </c>
      <c r="E453" t="str">
        <f>IF(C453&lt;B453, "INVALID: Ship date before order date", "")</f>
        <v/>
      </c>
      <c r="F453" t="str">
        <f>IF(B453="", "", TEXT(B453, "mmmm"))</f>
        <v>March</v>
      </c>
      <c r="G453">
        <f>IF(B453="", "", YEAR(B453))</f>
        <v>2024</v>
      </c>
      <c r="H453" t="s">
        <v>1420</v>
      </c>
      <c r="I453" t="s">
        <v>139</v>
      </c>
      <c r="J453" t="s">
        <v>36</v>
      </c>
      <c r="K453" t="s">
        <v>24</v>
      </c>
      <c r="L453" t="s">
        <v>234</v>
      </c>
      <c r="M453" t="s">
        <v>235</v>
      </c>
      <c r="N453" t="s">
        <v>27</v>
      </c>
      <c r="O453" t="s">
        <v>28</v>
      </c>
      <c r="P453" t="s">
        <v>1421</v>
      </c>
      <c r="Q453" t="s">
        <v>30</v>
      </c>
      <c r="R453">
        <v>8</v>
      </c>
      <c r="S453" s="15">
        <v>1917.64</v>
      </c>
      <c r="T453" s="4">
        <v>0.15</v>
      </c>
      <c r="U453" s="3" t="str">
        <f>IF(T453&lt;0, "negative_discount", IF(AND(T453&gt;0.5, T453&lt;=1), "high_discount", ""))</f>
        <v/>
      </c>
      <c r="V453" s="11">
        <v>13039.95</v>
      </c>
      <c r="W453" s="12">
        <v>13039.95</v>
      </c>
      <c r="X453" s="11">
        <v>11127.82</v>
      </c>
      <c r="Y453" s="11">
        <v>1912.13</v>
      </c>
      <c r="Z453" s="11">
        <f>ROUND(W453-X453,2)</f>
        <v>1912.13</v>
      </c>
      <c r="AA453" s="4">
        <f>IF(W453=0,0,Z453/W453)</f>
        <v>0.14663629845206461</v>
      </c>
      <c r="AB453" t="s">
        <v>31</v>
      </c>
      <c r="AC453" t="s">
        <v>67</v>
      </c>
      <c r="AD453" t="str">
        <f>IF(AND(E453="", T453&gt;=0, T453&lt;=0.5, K453&lt;&gt;"Unknown", Q453&lt;&gt;"Unknown"), "CLEAN", _xlfn.CONCAT("WARNING: ", IF(E453&lt;&gt;"","invalid_date",""), IF(T453&lt;0,"negative_discount",""), IF(AND(T453&gt;0.5,T453&lt;=1),"high_discount",""), IF(K453="Unknown","missing_region",""), IF(Q453="Unknown","missing_ship_mode","")))</f>
        <v>CLEAN</v>
      </c>
      <c r="AE453" t="str">
        <f>IF(COUNTIF($AF$2:$AF$926,AF453)&gt;1,"DUPLICATE","UNIQUE")</f>
        <v>UNIQUE</v>
      </c>
      <c r="AF453" t="str">
        <f>A453&amp;"|"&amp;B453&amp;"|"&amp;H453&amp;"|"&amp;I453&amp;"|"&amp;R453&amp;"|"&amp;S453&amp;"|"&amp;V453</f>
        <v>ORD-2024-10452|2024-03-24|CUST-3907|Rohan Mehta|8|1917.64|13039.95</v>
      </c>
      <c r="AG453" t="str">
        <f>IF(COUNTIF($A$2:$A$913,A453)&gt;1,"TRUE","FALSE")</f>
        <v>FALSE</v>
      </c>
    </row>
    <row r="454" spans="1:33">
      <c r="A454" t="s">
        <v>1422</v>
      </c>
      <c r="B454" t="s">
        <v>1579</v>
      </c>
      <c r="C454" t="s">
        <v>2739</v>
      </c>
      <c r="D454">
        <f>IF(OR(B454="", C454=""), "", (C454 - B454))</f>
        <v>-142</v>
      </c>
      <c r="E454" t="str">
        <f>IF(C454&lt;B454, "INVALID: Ship date before order date", "")</f>
        <v>INVALID: Ship date before order date</v>
      </c>
      <c r="F454" t="str">
        <f>IF(B454="", "", TEXT(B454, "mmmm"))</f>
        <v>October</v>
      </c>
      <c r="G454">
        <f>IF(B454="", "", YEAR(B454))</f>
        <v>2024</v>
      </c>
      <c r="H454" t="s">
        <v>1423</v>
      </c>
      <c r="I454" t="s">
        <v>158</v>
      </c>
      <c r="J454" t="s">
        <v>93</v>
      </c>
      <c r="K454" t="s">
        <v>37</v>
      </c>
      <c r="L454" t="s">
        <v>226</v>
      </c>
      <c r="M454" t="s">
        <v>227</v>
      </c>
      <c r="N454" t="s">
        <v>74</v>
      </c>
      <c r="O454" t="s">
        <v>75</v>
      </c>
      <c r="P454" t="s">
        <v>1424</v>
      </c>
      <c r="Q454" t="s">
        <v>30</v>
      </c>
      <c r="R454">
        <v>6</v>
      </c>
      <c r="S454" s="15">
        <v>2013.33</v>
      </c>
      <c r="T454" s="4">
        <v>0.2</v>
      </c>
      <c r="U454" s="3" t="str">
        <f>IF(T454&lt;0, "negative_discount", IF(AND(T454&gt;0.5, T454&lt;=1), "high_discount", ""))</f>
        <v/>
      </c>
      <c r="V454" s="11">
        <v>9663.98</v>
      </c>
      <c r="W454" s="12">
        <v>9663.98</v>
      </c>
      <c r="X454" s="11">
        <v>5628.93</v>
      </c>
      <c r="Y454" s="11">
        <v>4035.05</v>
      </c>
      <c r="Z454" s="11">
        <f>ROUND(W454-X454,2)</f>
        <v>4035.05</v>
      </c>
      <c r="AA454" s="4">
        <f>IF(W454=0,0,Z454/W454)</f>
        <v>0.41753501145490785</v>
      </c>
      <c r="AB454" t="s">
        <v>31</v>
      </c>
      <c r="AC454" t="s">
        <v>32</v>
      </c>
      <c r="AD454" t="str">
        <f>IF(AND(E454="", T454&gt;=0, T454&lt;=0.5, K454&lt;&gt;"Unknown", Q454&lt;&gt;"Unknown"), "CLEAN", _xlfn.CONCAT("WARNING: ", IF(E454&lt;&gt;"","invalid_date",""), IF(T454&lt;0,"negative_discount",""), IF(AND(T454&gt;0.5,T454&lt;=1),"high_discount",""), IF(K454="Unknown","missing_region",""), IF(Q454="Unknown","missing_ship_mode","")))</f>
        <v>WARNING: invalid_date</v>
      </c>
      <c r="AE454" t="str">
        <f>IF(COUNTIF($AF$2:$AF$926,AF454)&gt;1,"DUPLICATE","UNIQUE")</f>
        <v>UNIQUE</v>
      </c>
      <c r="AF454" t="str">
        <f>A454&amp;"|"&amp;B454&amp;"|"&amp;H454&amp;"|"&amp;I454&amp;"|"&amp;R454&amp;"|"&amp;S454&amp;"|"&amp;V454</f>
        <v>ORD-2024-10453|2024-10-05|CUST-8796|Diya Patel|6|2013.33|9663.98</v>
      </c>
      <c r="AG454" t="str">
        <f>IF(COUNTIF($A$2:$A$913,A454)&gt;1,"TRUE","FALSE")</f>
        <v>FALSE</v>
      </c>
    </row>
    <row r="455" spans="1:33">
      <c r="A455" t="s">
        <v>3181</v>
      </c>
      <c r="B455" t="s">
        <v>896</v>
      </c>
      <c r="C455" t="s">
        <v>1425</v>
      </c>
      <c r="D455">
        <f>IF(OR(B455="", C455=""), "", (C455 - B455))</f>
        <v>8</v>
      </c>
      <c r="E455" t="str">
        <f>IF(C455&lt;B455, "INVALID: Ship date before order date", "")</f>
        <v/>
      </c>
      <c r="F455" t="str">
        <f>IF(B455="", "", TEXT(B455, "mmmm"))</f>
        <v>May</v>
      </c>
      <c r="G455">
        <f>IF(B455="", "", YEAR(B455))</f>
        <v>2025</v>
      </c>
      <c r="H455" t="s">
        <v>1426</v>
      </c>
      <c r="I455" t="s">
        <v>139</v>
      </c>
      <c r="J455" t="s">
        <v>36</v>
      </c>
      <c r="K455" t="s">
        <v>62</v>
      </c>
      <c r="L455" t="s">
        <v>72</v>
      </c>
      <c r="M455" t="s">
        <v>73</v>
      </c>
      <c r="N455" t="s">
        <v>27</v>
      </c>
      <c r="O455" t="s">
        <v>90</v>
      </c>
      <c r="P455" t="s">
        <v>1427</v>
      </c>
      <c r="Q455" t="s">
        <v>43</v>
      </c>
      <c r="R455">
        <v>5</v>
      </c>
      <c r="S455" s="15">
        <v>1483.52</v>
      </c>
      <c r="T455" s="4">
        <v>0</v>
      </c>
      <c r="U455" s="3" t="str">
        <f>IF(T455&lt;0, "negative_discount", IF(AND(T455&gt;0.5, T455&lt;=1), "high_discount", ""))</f>
        <v/>
      </c>
      <c r="V455" s="11">
        <v>7417.6</v>
      </c>
      <c r="W455" s="12">
        <v>7417.6</v>
      </c>
      <c r="X455" s="11">
        <v>4955.8599999999997</v>
      </c>
      <c r="Y455" s="11">
        <v>2461.7399999999998</v>
      </c>
      <c r="Z455" s="11">
        <f>ROUND(W455-X455,2)</f>
        <v>2461.7399999999998</v>
      </c>
      <c r="AA455" s="4">
        <f>IF(W455=0,0,Z455/W455)</f>
        <v>0.33187823554788604</v>
      </c>
      <c r="AB455" t="s">
        <v>31</v>
      </c>
      <c r="AC455" t="s">
        <v>32</v>
      </c>
      <c r="AD455" t="str">
        <f>IF(AND(E455="", T455&gt;=0, T455&lt;=0.5, K455&lt;&gt;"Unknown", Q455&lt;&gt;"Unknown"), "CLEAN", _xlfn.CONCAT("WARNING: ", IF(E455&lt;&gt;"","invalid_date",""), IF(T455&lt;0,"negative_discount",""), IF(AND(T455&gt;0.5,T455&lt;=1),"high_discount",""), IF(K455="Unknown","missing_region",""), IF(Q455="Unknown","missing_ship_mode","")))</f>
        <v>CLEAN</v>
      </c>
      <c r="AE455" t="str">
        <f>IF(COUNTIF($AF$2:$AF$926,AF455)&gt;1,"DUPLICATE","UNIQUE")</f>
        <v>UNIQUE</v>
      </c>
      <c r="AF455" t="str">
        <f>A455&amp;"|"&amp;B455&amp;"|"&amp;H455&amp;"|"&amp;I455&amp;"|"&amp;R455&amp;"|"&amp;S455&amp;"|"&amp;V455</f>
        <v>ORD-2025-10454|2025-05-03|CUST-2317|Rohan Mehta|5|1483.52|7417.6</v>
      </c>
      <c r="AG455" t="str">
        <f>IF(COUNTIF($A$2:$A$913,A455)&gt;1,"TRUE","FALSE")</f>
        <v>FALSE</v>
      </c>
    </row>
    <row r="456" spans="1:33">
      <c r="A456" t="s">
        <v>3182</v>
      </c>
      <c r="B456" t="s">
        <v>1428</v>
      </c>
      <c r="C456" t="s">
        <v>710</v>
      </c>
      <c r="D456">
        <f>IF(OR(B456="", C456=""), "", (C456 - B456))</f>
        <v>5</v>
      </c>
      <c r="E456" t="str">
        <f>IF(C456&lt;B456, "INVALID: Ship date before order date", "")</f>
        <v/>
      </c>
      <c r="F456" t="str">
        <f>IF(B456="", "", TEXT(B456, "mmmm"))</f>
        <v>March</v>
      </c>
      <c r="G456">
        <f>IF(B456="", "", YEAR(B456))</f>
        <v>2025</v>
      </c>
      <c r="H456" t="s">
        <v>1429</v>
      </c>
      <c r="I456" t="s">
        <v>71</v>
      </c>
      <c r="J456" t="s">
        <v>36</v>
      </c>
      <c r="K456" t="s">
        <v>24</v>
      </c>
      <c r="L456" t="s">
        <v>25</v>
      </c>
      <c r="M456" t="s">
        <v>26</v>
      </c>
      <c r="N456" t="s">
        <v>40</v>
      </c>
      <c r="O456" t="s">
        <v>56</v>
      </c>
      <c r="P456" t="s">
        <v>1430</v>
      </c>
      <c r="Q456" t="s">
        <v>58</v>
      </c>
      <c r="R456">
        <v>9</v>
      </c>
      <c r="S456" s="15">
        <v>3298</v>
      </c>
      <c r="T456" s="4">
        <v>0.15</v>
      </c>
      <c r="U456" s="3" t="str">
        <f>IF(T456&lt;0, "negative_discount", IF(AND(T456&gt;0.5, T456&lt;=1), "high_discount", ""))</f>
        <v/>
      </c>
      <c r="V456" s="11">
        <v>25229.7</v>
      </c>
      <c r="W456" s="12">
        <v>25229.7</v>
      </c>
      <c r="X456" s="11">
        <v>20170.43</v>
      </c>
      <c r="Y456" s="11">
        <v>5059.2700000000004</v>
      </c>
      <c r="Z456" s="11">
        <f>ROUND(W456-X456,2)</f>
        <v>5059.2700000000004</v>
      </c>
      <c r="AA456" s="4">
        <f>IF(W456=0,0,Z456/W456)</f>
        <v>0.20052834556098567</v>
      </c>
      <c r="AB456" t="s">
        <v>31</v>
      </c>
      <c r="AC456" t="s">
        <v>32</v>
      </c>
      <c r="AD456" t="str">
        <f>IF(AND(E456="", T456&gt;=0, T456&lt;=0.5, K456&lt;&gt;"Unknown", Q456&lt;&gt;"Unknown"), "CLEAN", _xlfn.CONCAT("WARNING: ", IF(E456&lt;&gt;"","invalid_date",""), IF(T456&lt;0,"negative_discount",""), IF(AND(T456&gt;0.5,T456&lt;=1),"high_discount",""), IF(K456="Unknown","missing_region",""), IF(Q456="Unknown","missing_ship_mode","")))</f>
        <v>CLEAN</v>
      </c>
      <c r="AE456" t="str">
        <f>IF(COUNTIF($AF$2:$AF$926,AF456)&gt;1,"DUPLICATE","UNIQUE")</f>
        <v>UNIQUE</v>
      </c>
      <c r="AF456" t="str">
        <f>A456&amp;"|"&amp;B456&amp;"|"&amp;H456&amp;"|"&amp;I456&amp;"|"&amp;R456&amp;"|"&amp;S456&amp;"|"&amp;V456</f>
        <v>ORD-2025-10455|2025-03-23|CUST-8643|Vikram Iyer|9|3298|25229.7</v>
      </c>
      <c r="AG456" t="str">
        <f>IF(COUNTIF($A$2:$A$913,A456)&gt;1,"TRUE","FALSE")</f>
        <v>FALSE</v>
      </c>
    </row>
    <row r="457" spans="1:33">
      <c r="A457" t="s">
        <v>1431</v>
      </c>
      <c r="B457" t="s">
        <v>2808</v>
      </c>
      <c r="C457" t="s">
        <v>102</v>
      </c>
      <c r="D457">
        <f>IF(OR(B457="", C457=""), "", (C457 - B457))</f>
        <v>4</v>
      </c>
      <c r="E457" t="str">
        <f>IF(C457&lt;B457, "INVALID: Ship date before order date", "")</f>
        <v/>
      </c>
      <c r="F457" t="str">
        <f>IF(B457="", "", TEXT(B457, "mmmm"))</f>
        <v>July</v>
      </c>
      <c r="G457">
        <f>IF(B457="", "", YEAR(B457))</f>
        <v>2024</v>
      </c>
      <c r="H457" t="s">
        <v>1432</v>
      </c>
      <c r="I457" t="s">
        <v>78</v>
      </c>
      <c r="J457" t="s">
        <v>36</v>
      </c>
      <c r="K457" t="s">
        <v>53</v>
      </c>
      <c r="L457" t="s">
        <v>54</v>
      </c>
      <c r="M457" t="s">
        <v>55</v>
      </c>
      <c r="N457" t="s">
        <v>27</v>
      </c>
      <c r="O457" t="s">
        <v>47</v>
      </c>
      <c r="P457" t="s">
        <v>1433</v>
      </c>
      <c r="Q457" t="s">
        <v>58</v>
      </c>
      <c r="R457">
        <v>4</v>
      </c>
      <c r="S457" s="15">
        <v>808.77</v>
      </c>
      <c r="T457" s="4">
        <v>0</v>
      </c>
      <c r="U457" s="3" t="str">
        <f>IF(T457&lt;0, "negative_discount", IF(AND(T457&gt;0.5, T457&lt;=1), "high_discount", ""))</f>
        <v/>
      </c>
      <c r="V457" s="11">
        <v>3235.08</v>
      </c>
      <c r="W457" s="12">
        <v>3235.08</v>
      </c>
      <c r="X457" s="11">
        <v>1848.6</v>
      </c>
      <c r="Y457" s="11">
        <v>1386.48</v>
      </c>
      <c r="Z457" s="11">
        <f>ROUND(W457-X457,2)</f>
        <v>1386.48</v>
      </c>
      <c r="AA457" s="4">
        <f>IF(W457=0,0,Z457/W457)</f>
        <v>0.42857672762342819</v>
      </c>
      <c r="AB457" t="s">
        <v>31</v>
      </c>
      <c r="AC457" t="s">
        <v>32</v>
      </c>
      <c r="AD457" t="str">
        <f>IF(AND(E457="", T457&gt;=0, T457&lt;=0.5, K457&lt;&gt;"Unknown", Q457&lt;&gt;"Unknown"), "CLEAN", _xlfn.CONCAT("WARNING: ", IF(E457&lt;&gt;"","invalid_date",""), IF(T457&lt;0,"negative_discount",""), IF(AND(T457&gt;0.5,T457&lt;=1),"high_discount",""), IF(K457="Unknown","missing_region",""), IF(Q457="Unknown","missing_ship_mode","")))</f>
        <v>CLEAN</v>
      </c>
      <c r="AE457" t="str">
        <f>IF(COUNTIF($AF$2:$AF$926,AF457)&gt;1,"DUPLICATE","UNIQUE")</f>
        <v>UNIQUE</v>
      </c>
      <c r="AF457" t="str">
        <f>A457&amp;"|"&amp;B457&amp;"|"&amp;H457&amp;"|"&amp;I457&amp;"|"&amp;R457&amp;"|"&amp;S457&amp;"|"&amp;V457</f>
        <v>ORD-2024-10456|2024-07-18|CUST-1800|Neha Gupta|4|808.77|3235.08</v>
      </c>
      <c r="AG457" t="str">
        <f>IF(COUNTIF($A$2:$A$913,A457)&gt;1,"TRUE","FALSE")</f>
        <v>FALSE</v>
      </c>
    </row>
    <row r="458" spans="1:33">
      <c r="A458" t="s">
        <v>1434</v>
      </c>
      <c r="B458" t="s">
        <v>1342</v>
      </c>
      <c r="C458" t="s">
        <v>1342</v>
      </c>
      <c r="D458">
        <f>IF(OR(B458="", C458=""), "", (C458 - B458))</f>
        <v>0</v>
      </c>
      <c r="E458" t="str">
        <f>IF(C458&lt;B458, "INVALID: Ship date before order date", "")</f>
        <v/>
      </c>
      <c r="F458" t="str">
        <f>IF(B458="", "", TEXT(B458, "mmmm"))</f>
        <v>February</v>
      </c>
      <c r="G458">
        <f>IF(B458="", "", YEAR(B458))</f>
        <v>2024</v>
      </c>
      <c r="H458" t="s">
        <v>1435</v>
      </c>
      <c r="I458" t="s">
        <v>78</v>
      </c>
      <c r="J458" t="s">
        <v>89</v>
      </c>
      <c r="K458" t="s">
        <v>24</v>
      </c>
      <c r="L458" t="s">
        <v>134</v>
      </c>
      <c r="M458" t="s">
        <v>135</v>
      </c>
      <c r="N458" t="s">
        <v>74</v>
      </c>
      <c r="O458" t="s">
        <v>75</v>
      </c>
      <c r="P458" t="s">
        <v>1436</v>
      </c>
      <c r="Q458" t="s">
        <v>43</v>
      </c>
      <c r="R458">
        <v>5</v>
      </c>
      <c r="S458" s="15">
        <v>2604.91</v>
      </c>
      <c r="T458" s="4">
        <v>0.15</v>
      </c>
      <c r="U458" s="3" t="str">
        <f>IF(T458&lt;0, "negative_discount", IF(AND(T458&gt;0.5, T458&lt;=1), "high_discount", ""))</f>
        <v/>
      </c>
      <c r="V458" s="11">
        <v>11070.87</v>
      </c>
      <c r="W458" s="12">
        <v>11070.87</v>
      </c>
      <c r="X458" s="11">
        <v>6623.61</v>
      </c>
      <c r="Y458" s="11">
        <v>4447.26</v>
      </c>
      <c r="Z458" s="11">
        <f>ROUND(W458-X458,2)</f>
        <v>4447.26</v>
      </c>
      <c r="AA458" s="4">
        <f>IF(W458=0,0,Z458/W458)</f>
        <v>0.40170826682997812</v>
      </c>
      <c r="AB458" t="s">
        <v>31</v>
      </c>
      <c r="AC458" t="s">
        <v>100</v>
      </c>
      <c r="AD458" t="str">
        <f>IF(AND(E458="", T458&gt;=0, T458&lt;=0.5, K458&lt;&gt;"Unknown", Q458&lt;&gt;"Unknown"), "CLEAN", _xlfn.CONCAT("WARNING: ", IF(E458&lt;&gt;"","invalid_date",""), IF(T458&lt;0,"negative_discount",""), IF(AND(T458&gt;0.5,T458&lt;=1),"high_discount",""), IF(K458="Unknown","missing_region",""), IF(Q458="Unknown","missing_ship_mode","")))</f>
        <v>CLEAN</v>
      </c>
      <c r="AE458" t="str">
        <f>IF(COUNTIF($AF$2:$AF$926,AF458)&gt;1,"DUPLICATE","UNIQUE")</f>
        <v>UNIQUE</v>
      </c>
      <c r="AF458" t="str">
        <f>A458&amp;"|"&amp;B458&amp;"|"&amp;H458&amp;"|"&amp;I458&amp;"|"&amp;R458&amp;"|"&amp;S458&amp;"|"&amp;V458</f>
        <v>ORD-2024-10457|2024-02-20|CUST-7688|Neha Gupta|5|2604.91|11070.87</v>
      </c>
      <c r="AG458" t="str">
        <f>IF(COUNTIF($A$2:$A$913,A458)&gt;1,"TRUE","FALSE")</f>
        <v>FALSE</v>
      </c>
    </row>
    <row r="459" spans="1:33">
      <c r="A459" t="s">
        <v>1437</v>
      </c>
      <c r="B459" t="s">
        <v>1438</v>
      </c>
      <c r="C459" t="s">
        <v>1438</v>
      </c>
      <c r="D459">
        <f>IF(OR(B459="", C459=""), "", (C459 - B459))</f>
        <v>0</v>
      </c>
      <c r="E459" t="str">
        <f>IF(C459&lt;B459, "INVALID: Ship date before order date", "")</f>
        <v/>
      </c>
      <c r="F459" t="str">
        <f>IF(B459="", "", TEXT(B459, "mmmm"))</f>
        <v>May</v>
      </c>
      <c r="G459">
        <f>IF(B459="", "", YEAR(B459))</f>
        <v>2024</v>
      </c>
      <c r="H459" t="s">
        <v>1439</v>
      </c>
      <c r="I459" t="s">
        <v>35</v>
      </c>
      <c r="J459" t="s">
        <v>36</v>
      </c>
      <c r="K459" t="s">
        <v>62</v>
      </c>
      <c r="L459" t="s">
        <v>185</v>
      </c>
      <c r="M459" t="s">
        <v>186</v>
      </c>
      <c r="N459" t="s">
        <v>40</v>
      </c>
      <c r="O459" t="s">
        <v>41</v>
      </c>
      <c r="P459" t="s">
        <v>1440</v>
      </c>
      <c r="Q459" t="s">
        <v>58</v>
      </c>
      <c r="R459">
        <v>7</v>
      </c>
      <c r="S459" s="15">
        <v>2851.51</v>
      </c>
      <c r="T459" s="4">
        <v>0</v>
      </c>
      <c r="U459" s="3" t="str">
        <f>IF(T459&lt;0, "negative_discount", IF(AND(T459&gt;0.5, T459&lt;=1), "high_discount", ""))</f>
        <v/>
      </c>
      <c r="V459" s="11">
        <v>19960.57</v>
      </c>
      <c r="W459" s="12">
        <v>19960.57</v>
      </c>
      <c r="X459" s="11">
        <v>16603.599999999999</v>
      </c>
      <c r="Y459" s="11">
        <v>3356.97</v>
      </c>
      <c r="Z459" s="11">
        <f>ROUND(W459-X459,2)</f>
        <v>3356.97</v>
      </c>
      <c r="AA459" s="4">
        <f>IF(W459=0,0,Z459/W459)</f>
        <v>0.16818006700209462</v>
      </c>
      <c r="AB459" t="s">
        <v>31</v>
      </c>
      <c r="AC459" t="s">
        <v>32</v>
      </c>
      <c r="AD459" t="str">
        <f>IF(AND(E459="", T459&gt;=0, T459&lt;=0.5, K459&lt;&gt;"Unknown", Q459&lt;&gt;"Unknown"), "CLEAN", _xlfn.CONCAT("WARNING: ", IF(E459&lt;&gt;"","invalid_date",""), IF(T459&lt;0,"negative_discount",""), IF(AND(T459&gt;0.5,T459&lt;=1),"high_discount",""), IF(K459="Unknown","missing_region",""), IF(Q459="Unknown","missing_ship_mode","")))</f>
        <v>CLEAN</v>
      </c>
      <c r="AE459" t="str">
        <f>IF(COUNTIF($AF$2:$AF$926,AF459)&gt;1,"DUPLICATE","UNIQUE")</f>
        <v>UNIQUE</v>
      </c>
      <c r="AF459" t="str">
        <f>A459&amp;"|"&amp;B459&amp;"|"&amp;H459&amp;"|"&amp;I459&amp;"|"&amp;R459&amp;"|"&amp;S459&amp;"|"&amp;V459</f>
        <v>ORD-2024-10458|2024-05-04|CUST-4957|Mira Das|7|2851.51|19960.57</v>
      </c>
      <c r="AG459" t="str">
        <f>IF(COUNTIF($A$2:$A$913,A459)&gt;1,"TRUE","FALSE")</f>
        <v>FALSE</v>
      </c>
    </row>
    <row r="460" spans="1:33">
      <c r="A460" t="s">
        <v>1441</v>
      </c>
      <c r="B460" t="s">
        <v>1442</v>
      </c>
      <c r="C460" t="s">
        <v>328</v>
      </c>
      <c r="D460">
        <f>IF(OR(B460="", C460=""), "", (C460 - B460))</f>
        <v>1</v>
      </c>
      <c r="E460" t="str">
        <f>IF(C460&lt;B460, "INVALID: Ship date before order date", "")</f>
        <v/>
      </c>
      <c r="F460" t="str">
        <f>IF(B460="", "", TEXT(B460, "mmmm"))</f>
        <v>February</v>
      </c>
      <c r="G460">
        <f>IF(B460="", "", YEAR(B460))</f>
        <v>2024</v>
      </c>
      <c r="H460" t="s">
        <v>1443</v>
      </c>
      <c r="I460" t="s">
        <v>22</v>
      </c>
      <c r="J460" t="s">
        <v>89</v>
      </c>
      <c r="K460" t="s">
        <v>24</v>
      </c>
      <c r="L460" t="s">
        <v>25</v>
      </c>
      <c r="M460" t="s">
        <v>26</v>
      </c>
      <c r="N460" t="s">
        <v>74</v>
      </c>
      <c r="O460" t="s">
        <v>168</v>
      </c>
      <c r="P460" t="s">
        <v>1444</v>
      </c>
      <c r="Q460" t="s">
        <v>30</v>
      </c>
      <c r="R460">
        <v>3</v>
      </c>
      <c r="S460" s="15">
        <v>3183.72</v>
      </c>
      <c r="T460" s="4">
        <v>0</v>
      </c>
      <c r="U460" s="3" t="str">
        <f>IF(T460&lt;0, "negative_discount", IF(AND(T460&gt;0.5, T460&lt;=1), "high_discount", ""))</f>
        <v/>
      </c>
      <c r="V460" s="11">
        <v>8596.0400000000009</v>
      </c>
      <c r="W460" s="12">
        <v>9551.16</v>
      </c>
      <c r="X460" s="11">
        <v>5378.16</v>
      </c>
      <c r="Y460" s="11">
        <v>3217.88</v>
      </c>
      <c r="Z460" s="11">
        <f>ROUND(W460-X460,2)</f>
        <v>4173</v>
      </c>
      <c r="AA460" s="4">
        <f>IF(W460=0,0,Z460/W460)</f>
        <v>0.43691028105486662</v>
      </c>
      <c r="AB460" t="s">
        <v>31</v>
      </c>
      <c r="AC460" t="s">
        <v>32</v>
      </c>
      <c r="AD460" t="str">
        <f>IF(AND(E460="", T460&gt;=0, T460&lt;=0.5, K460&lt;&gt;"Unknown", Q460&lt;&gt;"Unknown"), "CLEAN", _xlfn.CONCAT("WARNING: ", IF(E460&lt;&gt;"","invalid_date",""), IF(T460&lt;0,"negative_discount",""), IF(AND(T460&gt;0.5,T460&lt;=1),"high_discount",""), IF(K460="Unknown","missing_region",""), IF(Q460="Unknown","missing_ship_mode","")))</f>
        <v>CLEAN</v>
      </c>
      <c r="AE460" t="str">
        <f>IF(COUNTIF($AF$2:$AF$926,AF460)&gt;1,"DUPLICATE","UNIQUE")</f>
        <v>UNIQUE</v>
      </c>
      <c r="AF460" t="str">
        <f>A460&amp;"|"&amp;B460&amp;"|"&amp;H460&amp;"|"&amp;I460&amp;"|"&amp;R460&amp;"|"&amp;S460&amp;"|"&amp;V460</f>
        <v>ORD-2024-10459|2024-02-10|CUST-1263|Karan Malhotra|3|3183.72|8596.04</v>
      </c>
      <c r="AG460" t="str">
        <f>IF(COUNTIF($A$2:$A$913,A460)&gt;1,"TRUE","FALSE")</f>
        <v>FALSE</v>
      </c>
    </row>
    <row r="461" spans="1:33">
      <c r="A461" t="s">
        <v>1445</v>
      </c>
      <c r="B461" t="s">
        <v>2736</v>
      </c>
      <c r="C461" t="s">
        <v>2805</v>
      </c>
      <c r="D461">
        <f>IF(OR(B461="", C461=""), "", (C461 - B461))</f>
        <v>7</v>
      </c>
      <c r="E461" t="str">
        <f>IF(C461&lt;B461, "INVALID: Ship date before order date", "")</f>
        <v/>
      </c>
      <c r="F461" t="str">
        <f>IF(B461="", "", TEXT(B461, "mmmm"))</f>
        <v>March</v>
      </c>
      <c r="G461">
        <f>IF(B461="", "", YEAR(B461))</f>
        <v>2024</v>
      </c>
      <c r="H461" t="s">
        <v>1446</v>
      </c>
      <c r="I461" t="s">
        <v>61</v>
      </c>
      <c r="J461" t="s">
        <v>93</v>
      </c>
      <c r="K461" t="s">
        <v>62</v>
      </c>
      <c r="L461" t="s">
        <v>185</v>
      </c>
      <c r="M461" t="s">
        <v>186</v>
      </c>
      <c r="N461" t="s">
        <v>27</v>
      </c>
      <c r="O461" t="s">
        <v>28</v>
      </c>
      <c r="P461" t="s">
        <v>1447</v>
      </c>
      <c r="Q461" t="s">
        <v>49</v>
      </c>
      <c r="R461">
        <v>3</v>
      </c>
      <c r="S461" s="15">
        <v>1150.92</v>
      </c>
      <c r="T461" s="4">
        <v>0</v>
      </c>
      <c r="U461" s="3" t="str">
        <f>IF(T461&lt;0, "negative_discount", IF(AND(T461&gt;0.5, T461&lt;=1), "high_discount", ""))</f>
        <v/>
      </c>
      <c r="V461" s="11">
        <v>3452.76</v>
      </c>
      <c r="W461" s="12">
        <v>3452.76</v>
      </c>
      <c r="X461" s="11">
        <v>2077.96</v>
      </c>
      <c r="Y461" s="11">
        <v>1374.8</v>
      </c>
      <c r="Z461" s="11">
        <f>ROUND(W461-X461,2)</f>
        <v>1374.8</v>
      </c>
      <c r="AA461" s="4">
        <f>IF(W461=0,0,Z461/W461)</f>
        <v>0.39817421425178695</v>
      </c>
      <c r="AB461" t="s">
        <v>31</v>
      </c>
      <c r="AC461" t="s">
        <v>32</v>
      </c>
      <c r="AD461" t="str">
        <f>IF(AND(E461="", T461&gt;=0, T461&lt;=0.5, K461&lt;&gt;"Unknown", Q461&lt;&gt;"Unknown"), "CLEAN", _xlfn.CONCAT("WARNING: ", IF(E461&lt;&gt;"","invalid_date",""), IF(T461&lt;0,"negative_discount",""), IF(AND(T461&gt;0.5,T461&lt;=1),"high_discount",""), IF(K461="Unknown","missing_region",""), IF(Q461="Unknown","missing_ship_mode","")))</f>
        <v>CLEAN</v>
      </c>
      <c r="AE461" t="str">
        <f>IF(COUNTIF($AF$2:$AF$926,AF461)&gt;1,"DUPLICATE","UNIQUE")</f>
        <v>UNIQUE</v>
      </c>
      <c r="AF461" t="str">
        <f>A461&amp;"|"&amp;B461&amp;"|"&amp;H461&amp;"|"&amp;I461&amp;"|"&amp;R461&amp;"|"&amp;S461&amp;"|"&amp;V461</f>
        <v>ORD-2024-10460|2024-03-28|CUST-4745|Ananya Rao|3|1150.92|3452.76</v>
      </c>
      <c r="AG461" t="str">
        <f>IF(COUNTIF($A$2:$A$913,A461)&gt;1,"TRUE","FALSE")</f>
        <v>FALSE</v>
      </c>
    </row>
    <row r="462" spans="1:33">
      <c r="A462" t="s">
        <v>3183</v>
      </c>
      <c r="B462" t="s">
        <v>2809</v>
      </c>
      <c r="C462" t="s">
        <v>2869</v>
      </c>
      <c r="D462">
        <f>IF(OR(B462="", C462=""), "", (C462 - B462))</f>
        <v>6</v>
      </c>
      <c r="E462" t="str">
        <f>IF(C462&lt;B462, "INVALID: Ship date before order date", "")</f>
        <v/>
      </c>
      <c r="F462" t="str">
        <f>IF(B462="", "", TEXT(B462, "mmmm"))</f>
        <v>September</v>
      </c>
      <c r="G462">
        <f>IF(B462="", "", YEAR(B462))</f>
        <v>2025</v>
      </c>
      <c r="H462" t="s">
        <v>1448</v>
      </c>
      <c r="I462" t="s">
        <v>126</v>
      </c>
      <c r="J462" t="s">
        <v>89</v>
      </c>
      <c r="K462" t="s">
        <v>2970</v>
      </c>
      <c r="L462" t="s">
        <v>25</v>
      </c>
      <c r="M462" t="s">
        <v>26</v>
      </c>
      <c r="N462" t="s">
        <v>74</v>
      </c>
      <c r="O462" t="s">
        <v>79</v>
      </c>
      <c r="P462" t="s">
        <v>1449</v>
      </c>
      <c r="Q462" t="s">
        <v>30</v>
      </c>
      <c r="R462">
        <v>9</v>
      </c>
      <c r="S462" s="15">
        <v>1359.88</v>
      </c>
      <c r="T462" s="4">
        <v>0.05</v>
      </c>
      <c r="U462" s="3" t="str">
        <f>IF(T462&lt;0, "negative_discount", IF(AND(T462&gt;0.5, T462&lt;=1), "high_discount", ""))</f>
        <v/>
      </c>
      <c r="V462" s="11">
        <v>11626.97</v>
      </c>
      <c r="W462" s="12">
        <v>11626.97</v>
      </c>
      <c r="X462" s="11">
        <v>7394.07</v>
      </c>
      <c r="Y462" s="11">
        <v>4232.8999999999996</v>
      </c>
      <c r="Z462" s="11">
        <f>ROUND(W462-X462,2)</f>
        <v>4232.8999999999996</v>
      </c>
      <c r="AA462" s="4">
        <f>IF(W462=0,0,Z462/W462)</f>
        <v>0.36405873585293502</v>
      </c>
      <c r="AB462" t="s">
        <v>31</v>
      </c>
      <c r="AC462" t="s">
        <v>32</v>
      </c>
      <c r="AD462" t="str">
        <f>IF(AND(E462="", T462&gt;=0, T462&lt;=0.5, K462&lt;&gt;"Unknown", Q462&lt;&gt;"Unknown"), "CLEAN", _xlfn.CONCAT("WARNING: ", IF(E462&lt;&gt;"","invalid_date",""), IF(T462&lt;0,"negative_discount",""), IF(AND(T462&gt;0.5,T462&lt;=1),"high_discount",""), IF(K462="Unknown","missing_region",""), IF(Q462="Unknown","missing_ship_mode","")))</f>
        <v>WARNING: missing_region</v>
      </c>
      <c r="AE462" t="str">
        <f>IF(COUNTIF($AF$2:$AF$926,AF462)&gt;1,"DUPLICATE","UNIQUE")</f>
        <v>UNIQUE</v>
      </c>
      <c r="AF462" t="str">
        <f>A462&amp;"|"&amp;B462&amp;"|"&amp;H462&amp;"|"&amp;I462&amp;"|"&amp;R462&amp;"|"&amp;S462&amp;"|"&amp;V462</f>
        <v>ORD-2025-10461|2025-09-30|CUST-5551|Aarav Sharma|9|1359.88|11626.97</v>
      </c>
      <c r="AG462" t="str">
        <f>IF(COUNTIF($A$2:$A$913,A462)&gt;1,"TRUE","FALSE")</f>
        <v>FALSE</v>
      </c>
    </row>
    <row r="463" spans="1:33">
      <c r="A463" t="s">
        <v>3184</v>
      </c>
      <c r="B463" t="s">
        <v>1621</v>
      </c>
      <c r="C463" t="s">
        <v>886</v>
      </c>
      <c r="D463">
        <f>IF(OR(B463="", C463=""), "", (C463 - B463))</f>
        <v>1</v>
      </c>
      <c r="E463" t="str">
        <f>IF(C463&lt;B463, "INVALID: Ship date before order date", "")</f>
        <v/>
      </c>
      <c r="F463" t="str">
        <f>IF(B463="", "", TEXT(B463, "mmmm"))</f>
        <v>May</v>
      </c>
      <c r="G463">
        <f>IF(B463="", "", YEAR(B463))</f>
        <v>2025</v>
      </c>
      <c r="H463" t="s">
        <v>1450</v>
      </c>
      <c r="I463" t="s">
        <v>78</v>
      </c>
      <c r="J463" t="s">
        <v>89</v>
      </c>
      <c r="K463" t="s">
        <v>53</v>
      </c>
      <c r="L463" t="s">
        <v>83</v>
      </c>
      <c r="M463" t="s">
        <v>84</v>
      </c>
      <c r="N463" t="s">
        <v>27</v>
      </c>
      <c r="O463" t="s">
        <v>28</v>
      </c>
      <c r="P463" t="s">
        <v>1451</v>
      </c>
      <c r="Q463" t="s">
        <v>58</v>
      </c>
      <c r="R463">
        <v>3</v>
      </c>
      <c r="S463" s="15">
        <v>3378.15</v>
      </c>
      <c r="T463" s="4">
        <v>0.15</v>
      </c>
      <c r="U463" s="3" t="str">
        <f>IF(T463&lt;0, "negative_discount", IF(AND(T463&gt;0.5, T463&lt;=1), "high_discount", ""))</f>
        <v/>
      </c>
      <c r="V463" s="11">
        <v>8614.2800000000007</v>
      </c>
      <c r="W463" s="12">
        <v>8614.2800000000007</v>
      </c>
      <c r="X463" s="11">
        <v>7052.08</v>
      </c>
      <c r="Y463" s="11">
        <v>1562.2</v>
      </c>
      <c r="Z463" s="11">
        <f>ROUND(W463-X463,2)</f>
        <v>1562.2</v>
      </c>
      <c r="AA463" s="4">
        <f>IF(W463=0,0,Z463/W463)</f>
        <v>0.18135003737979261</v>
      </c>
      <c r="AB463" t="s">
        <v>31</v>
      </c>
      <c r="AC463" t="s">
        <v>32</v>
      </c>
      <c r="AD463" t="str">
        <f>IF(AND(E463="", T463&gt;=0, T463&lt;=0.5, K463&lt;&gt;"Unknown", Q463&lt;&gt;"Unknown"), "CLEAN", _xlfn.CONCAT("WARNING: ", IF(E463&lt;&gt;"","invalid_date",""), IF(T463&lt;0,"negative_discount",""), IF(AND(T463&gt;0.5,T463&lt;=1),"high_discount",""), IF(K463="Unknown","missing_region",""), IF(Q463="Unknown","missing_ship_mode","")))</f>
        <v>CLEAN</v>
      </c>
      <c r="AE463" t="str">
        <f>IF(COUNTIF($AF$2:$AF$926,AF463)&gt;1,"DUPLICATE","UNIQUE")</f>
        <v>UNIQUE</v>
      </c>
      <c r="AF463" t="str">
        <f>A463&amp;"|"&amp;B463&amp;"|"&amp;H463&amp;"|"&amp;I463&amp;"|"&amp;R463&amp;"|"&amp;S463&amp;"|"&amp;V463</f>
        <v>ORD-2025-10462|2025-05-25|CUST-3659|Neha Gupta|3|3378.15|8614.28</v>
      </c>
      <c r="AG463" t="str">
        <f>IF(COUNTIF($A$2:$A$913,A463)&gt;1,"TRUE","FALSE")</f>
        <v>FALSE</v>
      </c>
    </row>
    <row r="464" spans="1:33">
      <c r="A464" t="s">
        <v>1452</v>
      </c>
      <c r="B464" t="s">
        <v>1699</v>
      </c>
      <c r="C464" t="s">
        <v>453</v>
      </c>
      <c r="D464">
        <f>IF(OR(B464="", C464=""), "", (C464 - B464))</f>
        <v>2</v>
      </c>
      <c r="E464" t="str">
        <f>IF(C464&lt;B464, "INVALID: Ship date before order date", "")</f>
        <v/>
      </c>
      <c r="F464" t="str">
        <f>IF(B464="", "", TEXT(B464, "mmmm"))</f>
        <v>September</v>
      </c>
      <c r="G464">
        <f>IF(B464="", "", YEAR(B464))</f>
        <v>2024</v>
      </c>
      <c r="H464" t="s">
        <v>1453</v>
      </c>
      <c r="I464" t="s">
        <v>126</v>
      </c>
      <c r="J464" t="s">
        <v>93</v>
      </c>
      <c r="K464" t="s">
        <v>24</v>
      </c>
      <c r="L464" t="s">
        <v>353</v>
      </c>
      <c r="M464" t="s">
        <v>354</v>
      </c>
      <c r="N464" t="s">
        <v>27</v>
      </c>
      <c r="O464" t="s">
        <v>149</v>
      </c>
      <c r="P464" t="s">
        <v>1454</v>
      </c>
      <c r="Q464" t="s">
        <v>49</v>
      </c>
      <c r="R464">
        <v>2</v>
      </c>
      <c r="S464" s="15">
        <v>1275.1400000000001</v>
      </c>
      <c r="T464" s="4">
        <v>0.2</v>
      </c>
      <c r="U464" s="3" t="str">
        <f>IF(T464&lt;0, "negative_discount", IF(AND(T464&gt;0.5, T464&lt;=1), "high_discount", ""))</f>
        <v/>
      </c>
      <c r="V464" s="11">
        <v>2040.22</v>
      </c>
      <c r="W464" s="12">
        <v>2040.22</v>
      </c>
      <c r="X464" s="11">
        <v>1395.71</v>
      </c>
      <c r="Y464" s="11">
        <v>644.51</v>
      </c>
      <c r="Z464" s="11">
        <f>ROUND(W464-X464,2)</f>
        <v>644.51</v>
      </c>
      <c r="AA464" s="4">
        <f>IF(W464=0,0,Z464/W464)</f>
        <v>0.31590220662477575</v>
      </c>
      <c r="AB464" t="s">
        <v>31</v>
      </c>
      <c r="AC464" t="s">
        <v>32</v>
      </c>
      <c r="AD464" t="str">
        <f>IF(AND(E464="", T464&gt;=0, T464&lt;=0.5, K464&lt;&gt;"Unknown", Q464&lt;&gt;"Unknown"), "CLEAN", _xlfn.CONCAT("WARNING: ", IF(E464&lt;&gt;"","invalid_date",""), IF(T464&lt;0,"negative_discount",""), IF(AND(T464&gt;0.5,T464&lt;=1),"high_discount",""), IF(K464="Unknown","missing_region",""), IF(Q464="Unknown","missing_ship_mode","")))</f>
        <v>CLEAN</v>
      </c>
      <c r="AE464" t="str">
        <f>IF(COUNTIF($AF$2:$AF$926,AF464)&gt;1,"DUPLICATE","UNIQUE")</f>
        <v>UNIQUE</v>
      </c>
      <c r="AF464" t="str">
        <f>A464&amp;"|"&amp;B464&amp;"|"&amp;H464&amp;"|"&amp;I464&amp;"|"&amp;R464&amp;"|"&amp;S464&amp;"|"&amp;V464</f>
        <v>ORD-2024-10463|2024-09-23|CUST-6594|Aarav Sharma|2|1275.14|2040.22</v>
      </c>
      <c r="AG464" t="str">
        <f>IF(COUNTIF($A$2:$A$913,A464)&gt;1,"TRUE","FALSE")</f>
        <v>FALSE</v>
      </c>
    </row>
    <row r="465" spans="1:33">
      <c r="A465" t="s">
        <v>3185</v>
      </c>
      <c r="B465" t="s">
        <v>2810</v>
      </c>
      <c r="C465" t="s">
        <v>1455</v>
      </c>
      <c r="D465">
        <f>IF(OR(B465="", C465=""), "", (C465 - B465))</f>
        <v>-144</v>
      </c>
      <c r="E465" t="str">
        <f>IF(C465&lt;B465, "INVALID: Ship date before order date", "")</f>
        <v>INVALID: Ship date before order date</v>
      </c>
      <c r="F465" t="str">
        <f>IF(B465="", "", TEXT(B465, "mmmm"))</f>
        <v>July</v>
      </c>
      <c r="G465">
        <f>IF(B465="", "", YEAR(B465))</f>
        <v>2025</v>
      </c>
      <c r="H465" t="s">
        <v>1456</v>
      </c>
      <c r="I465" t="s">
        <v>52</v>
      </c>
      <c r="J465" t="s">
        <v>89</v>
      </c>
      <c r="K465" t="s">
        <v>62</v>
      </c>
      <c r="L465" t="s">
        <v>72</v>
      </c>
      <c r="M465" t="s">
        <v>73</v>
      </c>
      <c r="N465" t="s">
        <v>74</v>
      </c>
      <c r="O465" t="s">
        <v>168</v>
      </c>
      <c r="P465" t="s">
        <v>1457</v>
      </c>
      <c r="Q465" t="s">
        <v>58</v>
      </c>
      <c r="R465">
        <v>4</v>
      </c>
      <c r="S465" s="15">
        <v>889.5</v>
      </c>
      <c r="T465" s="4">
        <v>0.2</v>
      </c>
      <c r="U465" s="3" t="str">
        <f>IF(T465&lt;0, "negative_discount", IF(AND(T465&gt;0.5, T465&lt;=1), "high_discount", ""))</f>
        <v/>
      </c>
      <c r="V465" s="11">
        <v>2846.4</v>
      </c>
      <c r="W465" s="12">
        <v>2846.4</v>
      </c>
      <c r="X465" s="11">
        <v>2132.37</v>
      </c>
      <c r="Y465" s="11">
        <v>714.03</v>
      </c>
      <c r="Z465" s="11">
        <f>ROUND(W465-X465,2)</f>
        <v>714.03</v>
      </c>
      <c r="AA465" s="4">
        <f>IF(W465=0,0,Z465/W465)</f>
        <v>0.25085370994940975</v>
      </c>
      <c r="AB465" t="s">
        <v>31</v>
      </c>
      <c r="AC465" t="s">
        <v>32</v>
      </c>
      <c r="AD465" t="str">
        <f>IF(AND(E465="", T465&gt;=0, T465&lt;=0.5, K465&lt;&gt;"Unknown", Q465&lt;&gt;"Unknown"), "CLEAN", _xlfn.CONCAT("WARNING: ", IF(E465&lt;&gt;"","invalid_date",""), IF(T465&lt;0,"negative_discount",""), IF(AND(T465&gt;0.5,T465&lt;=1),"high_discount",""), IF(K465="Unknown","missing_region",""), IF(Q465="Unknown","missing_ship_mode","")))</f>
        <v>WARNING: invalid_date</v>
      </c>
      <c r="AE465" t="str">
        <f>IF(COUNTIF($AF$2:$AF$926,AF465)&gt;1,"DUPLICATE","UNIQUE")</f>
        <v>UNIQUE</v>
      </c>
      <c r="AF465" t="str">
        <f>A465&amp;"|"&amp;B465&amp;"|"&amp;H465&amp;"|"&amp;I465&amp;"|"&amp;R465&amp;"|"&amp;S465&amp;"|"&amp;V465</f>
        <v>ORD-2025-10464|2025-07-02|CUST-2626|Arjun Bose|4|889.5|2846.4</v>
      </c>
      <c r="AG465" t="str">
        <f>IF(COUNTIF($A$2:$A$913,A465)&gt;1,"TRUE","FALSE")</f>
        <v>FALSE</v>
      </c>
    </row>
    <row r="466" spans="1:33">
      <c r="A466" t="s">
        <v>3186</v>
      </c>
      <c r="B466" t="s">
        <v>2811</v>
      </c>
      <c r="C466" t="s">
        <v>1358</v>
      </c>
      <c r="D466">
        <f>IF(OR(B466="", C466=""), "", (C466 - B466))</f>
        <v>-233</v>
      </c>
      <c r="E466" t="str">
        <f>IF(C466&lt;B466, "INVALID: Ship date before order date", "")</f>
        <v>INVALID: Ship date before order date</v>
      </c>
      <c r="F466" t="str">
        <f>IF(B466="", "", TEXT(B466, "mmmm"))</f>
        <v>November</v>
      </c>
      <c r="G466">
        <f>IF(B466="", "", YEAR(B466))</f>
        <v>2025</v>
      </c>
      <c r="H466" t="s">
        <v>1458</v>
      </c>
      <c r="I466" t="s">
        <v>52</v>
      </c>
      <c r="J466" t="s">
        <v>89</v>
      </c>
      <c r="K466" t="s">
        <v>37</v>
      </c>
      <c r="L466" t="s">
        <v>142</v>
      </c>
      <c r="M466" t="s">
        <v>143</v>
      </c>
      <c r="N466" t="s">
        <v>27</v>
      </c>
      <c r="O466" t="s">
        <v>28</v>
      </c>
      <c r="P466" t="s">
        <v>1459</v>
      </c>
      <c r="Q466" t="s">
        <v>43</v>
      </c>
      <c r="R466">
        <v>3</v>
      </c>
      <c r="S466" s="15">
        <v>3625.08</v>
      </c>
      <c r="T466" s="4">
        <v>0.05</v>
      </c>
      <c r="U466" s="3" t="str">
        <f>IF(T466&lt;0, "negative_discount", IF(AND(T466&gt;0.5, T466&lt;=1), "high_discount", ""))</f>
        <v/>
      </c>
      <c r="V466" s="11">
        <v>10331.48</v>
      </c>
      <c r="W466" s="12">
        <v>10331.48</v>
      </c>
      <c r="X466" s="11">
        <v>7131.91</v>
      </c>
      <c r="Y466" s="11">
        <v>3199.57</v>
      </c>
      <c r="Z466" s="11">
        <f>ROUND(W466-X466,2)</f>
        <v>3199.57</v>
      </c>
      <c r="AA466" s="4">
        <f>IF(W466=0,0,Z466/W466)</f>
        <v>0.30969135109393819</v>
      </c>
      <c r="AB466" t="s">
        <v>109</v>
      </c>
      <c r="AC466" t="s">
        <v>67</v>
      </c>
      <c r="AD466" t="str">
        <f>IF(AND(E466="", T466&gt;=0, T466&lt;=0.5, K466&lt;&gt;"Unknown", Q466&lt;&gt;"Unknown"), "CLEAN", _xlfn.CONCAT("WARNING: ", IF(E466&lt;&gt;"","invalid_date",""), IF(T466&lt;0,"negative_discount",""), IF(AND(T466&gt;0.5,T466&lt;=1),"high_discount",""), IF(K466="Unknown","missing_region",""), IF(Q466="Unknown","missing_ship_mode","")))</f>
        <v>WARNING: invalid_date</v>
      </c>
      <c r="AE466" t="str">
        <f>IF(COUNTIF($AF$2:$AF$926,AF466)&gt;1,"DUPLICATE","UNIQUE")</f>
        <v>UNIQUE</v>
      </c>
      <c r="AF466" t="str">
        <f>A466&amp;"|"&amp;B466&amp;"|"&amp;H466&amp;"|"&amp;I466&amp;"|"&amp;R466&amp;"|"&amp;S466&amp;"|"&amp;V466</f>
        <v>ORD-2025-10465|2025-11-03|CUST-7362|Arjun Bose|3|3625.08|10331.48</v>
      </c>
      <c r="AG466" t="str">
        <f>IF(COUNTIF($A$2:$A$913,A466)&gt;1,"TRUE","FALSE")</f>
        <v>FALSE</v>
      </c>
    </row>
    <row r="467" spans="1:33">
      <c r="A467" t="s">
        <v>1460</v>
      </c>
      <c r="B467" t="s">
        <v>2812</v>
      </c>
      <c r="C467" t="s">
        <v>1461</v>
      </c>
      <c r="D467">
        <f>IF(OR(B467="", C467=""), "", (C467 - B467))</f>
        <v>8</v>
      </c>
      <c r="E467" t="str">
        <f>IF(C467&lt;B467, "INVALID: Ship date before order date", "")</f>
        <v/>
      </c>
      <c r="F467" t="str">
        <f>IF(B467="", "", TEXT(B467, "mmmm"))</f>
        <v>January</v>
      </c>
      <c r="G467">
        <f>IF(B467="", "", YEAR(B467))</f>
        <v>2024</v>
      </c>
      <c r="H467" t="s">
        <v>1462</v>
      </c>
      <c r="I467" t="s">
        <v>126</v>
      </c>
      <c r="J467" t="s">
        <v>36</v>
      </c>
      <c r="K467" t="s">
        <v>62</v>
      </c>
      <c r="L467" t="s">
        <v>72</v>
      </c>
      <c r="M467" t="s">
        <v>73</v>
      </c>
      <c r="N467" t="s">
        <v>27</v>
      </c>
      <c r="O467" t="s">
        <v>90</v>
      </c>
      <c r="P467" t="s">
        <v>1463</v>
      </c>
      <c r="Q467" t="s">
        <v>58</v>
      </c>
      <c r="R467">
        <v>2</v>
      </c>
      <c r="S467" s="15">
        <v>1258.9000000000001</v>
      </c>
      <c r="T467" s="4">
        <v>0</v>
      </c>
      <c r="U467" s="3" t="str">
        <f>IF(T467&lt;0, "negative_discount", IF(AND(T467&gt;0.5, T467&lt;=1), "high_discount", ""))</f>
        <v/>
      </c>
      <c r="V467" s="11">
        <v>2517.8000000000002</v>
      </c>
      <c r="W467" s="12">
        <v>2517.8000000000002</v>
      </c>
      <c r="X467" s="11">
        <v>1478.54</v>
      </c>
      <c r="Y467" s="11">
        <v>1039.26</v>
      </c>
      <c r="Z467" s="11">
        <f>ROUND(W467-X467,2)</f>
        <v>1039.26</v>
      </c>
      <c r="AA467" s="4">
        <f>IF(W467=0,0,Z467/W467)</f>
        <v>0.41276511239971403</v>
      </c>
      <c r="AB467" t="s">
        <v>31</v>
      </c>
      <c r="AC467" t="s">
        <v>32</v>
      </c>
      <c r="AD467" t="str">
        <f>IF(AND(E467="", T467&gt;=0, T467&lt;=0.5, K467&lt;&gt;"Unknown", Q467&lt;&gt;"Unknown"), "CLEAN", _xlfn.CONCAT("WARNING: ", IF(E467&lt;&gt;"","invalid_date",""), IF(T467&lt;0,"negative_discount",""), IF(AND(T467&gt;0.5,T467&lt;=1),"high_discount",""), IF(K467="Unknown","missing_region",""), IF(Q467="Unknown","missing_ship_mode","")))</f>
        <v>CLEAN</v>
      </c>
      <c r="AE467" t="str">
        <f>IF(COUNTIF($AF$2:$AF$926,AF467)&gt;1,"DUPLICATE","UNIQUE")</f>
        <v>UNIQUE</v>
      </c>
      <c r="AF467" t="str">
        <f>A467&amp;"|"&amp;B467&amp;"|"&amp;H467&amp;"|"&amp;I467&amp;"|"&amp;R467&amp;"|"&amp;S467&amp;"|"&amp;V467</f>
        <v>ORD-2024-10466|2024-01-29|CUST-1748|Aarav Sharma|2|1258.9|2517.8</v>
      </c>
      <c r="AG467" t="str">
        <f>IF(COUNTIF($A$2:$A$913,A467)&gt;1,"TRUE","FALSE")</f>
        <v>FALSE</v>
      </c>
    </row>
    <row r="468" spans="1:33">
      <c r="A468" t="s">
        <v>1464</v>
      </c>
      <c r="B468" t="s">
        <v>2813</v>
      </c>
      <c r="C468" t="s">
        <v>129</v>
      </c>
      <c r="D468">
        <f>IF(OR(B468="", C468=""), "", (C468 - B468))</f>
        <v>-84</v>
      </c>
      <c r="E468" t="str">
        <f>IF(C468&lt;B468, "INVALID: Ship date before order date", "")</f>
        <v>INVALID: Ship date before order date</v>
      </c>
      <c r="F468" t="str">
        <f>IF(B468="", "", TEXT(B468, "mmmm"))</f>
        <v>April</v>
      </c>
      <c r="G468">
        <f>IF(B468="", "", YEAR(B468))</f>
        <v>2024</v>
      </c>
      <c r="H468" t="s">
        <v>1465</v>
      </c>
      <c r="I468" t="s">
        <v>35</v>
      </c>
      <c r="J468" t="s">
        <v>36</v>
      </c>
      <c r="K468" t="s">
        <v>37</v>
      </c>
      <c r="L468" t="s">
        <v>142</v>
      </c>
      <c r="M468" t="s">
        <v>143</v>
      </c>
      <c r="N468" t="s">
        <v>74</v>
      </c>
      <c r="O468" t="s">
        <v>75</v>
      </c>
      <c r="P468" t="s">
        <v>1466</v>
      </c>
      <c r="Q468" t="s">
        <v>43</v>
      </c>
      <c r="R468">
        <v>9</v>
      </c>
      <c r="S468" s="15">
        <v>1591.96</v>
      </c>
      <c r="T468" s="4">
        <v>0.2</v>
      </c>
      <c r="U468" s="3" t="str">
        <f>IF(T468&lt;0, "negative_discount", IF(AND(T468&gt;0.5, T468&lt;=1), "high_discount", ""))</f>
        <v/>
      </c>
      <c r="V468" s="11">
        <v>11462.11</v>
      </c>
      <c r="W468" s="12">
        <v>11462.11</v>
      </c>
      <c r="X468" s="11">
        <v>7105.48</v>
      </c>
      <c r="Y468" s="11">
        <v>4356.63</v>
      </c>
      <c r="Z468" s="11">
        <f>ROUND(W468-X468,2)</f>
        <v>4356.63</v>
      </c>
      <c r="AA468" s="4">
        <f>IF(W468=0,0,Z468/W468)</f>
        <v>0.38008970425166044</v>
      </c>
      <c r="AB468" t="s">
        <v>31</v>
      </c>
      <c r="AC468" t="s">
        <v>32</v>
      </c>
      <c r="AD468" t="str">
        <f>IF(AND(E468="", T468&gt;=0, T468&lt;=0.5, K468&lt;&gt;"Unknown", Q468&lt;&gt;"Unknown"), "CLEAN", _xlfn.CONCAT("WARNING: ", IF(E468&lt;&gt;"","invalid_date",""), IF(T468&lt;0,"negative_discount",""), IF(AND(T468&gt;0.5,T468&lt;=1),"high_discount",""), IF(K468="Unknown","missing_region",""), IF(Q468="Unknown","missing_ship_mode","")))</f>
        <v>WARNING: invalid_date</v>
      </c>
      <c r="AE468" t="str">
        <f>IF(COUNTIF($AF$2:$AF$926,AF468)&gt;1,"DUPLICATE","UNIQUE")</f>
        <v>UNIQUE</v>
      </c>
      <c r="AF468" t="str">
        <f>A468&amp;"|"&amp;B468&amp;"|"&amp;H468&amp;"|"&amp;I468&amp;"|"&amp;R468&amp;"|"&amp;S468&amp;"|"&amp;V468</f>
        <v>ORD-2024-10467|2024-04-01|CUST-2725|Mira Das|9|1591.96|11462.11</v>
      </c>
      <c r="AG468" t="str">
        <f>IF(COUNTIF($A$2:$A$913,A468)&gt;1,"TRUE","FALSE")</f>
        <v>FALSE</v>
      </c>
    </row>
    <row r="469" spans="1:33">
      <c r="A469" t="s">
        <v>1467</v>
      </c>
      <c r="B469" t="s">
        <v>2814</v>
      </c>
      <c r="C469" t="s">
        <v>2773</v>
      </c>
      <c r="D469">
        <f>IF(OR(B469="", C469=""), "", (C469 - B469))</f>
        <v>1</v>
      </c>
      <c r="E469" t="str">
        <f>IF(C469&lt;B469, "INVALID: Ship date before order date", "")</f>
        <v/>
      </c>
      <c r="F469" t="str">
        <f>IF(B469="", "", TEXT(B469, "mmmm"))</f>
        <v>August</v>
      </c>
      <c r="G469">
        <f>IF(B469="", "", YEAR(B469))</f>
        <v>2024</v>
      </c>
      <c r="H469" t="s">
        <v>1468</v>
      </c>
      <c r="I469" t="s">
        <v>88</v>
      </c>
      <c r="J469" t="s">
        <v>89</v>
      </c>
      <c r="K469" t="s">
        <v>37</v>
      </c>
      <c r="L469" t="s">
        <v>38</v>
      </c>
      <c r="M469" t="s">
        <v>39</v>
      </c>
      <c r="N469" t="s">
        <v>74</v>
      </c>
      <c r="O469" t="s">
        <v>79</v>
      </c>
      <c r="P469" t="s">
        <v>1469</v>
      </c>
      <c r="Q469" t="s">
        <v>49</v>
      </c>
      <c r="R469">
        <v>5</v>
      </c>
      <c r="S469" s="15">
        <v>4288.33</v>
      </c>
      <c r="T469" s="4">
        <v>0.1</v>
      </c>
      <c r="U469" s="3" t="str">
        <f>IF(T469&lt;0, "negative_discount", IF(AND(T469&gt;0.5, T469&lt;=1), "high_discount", ""))</f>
        <v/>
      </c>
      <c r="V469" s="11">
        <v>19297.490000000002</v>
      </c>
      <c r="W469" s="12">
        <v>19297.490000000002</v>
      </c>
      <c r="X469" s="11">
        <v>15451.66</v>
      </c>
      <c r="Y469" s="11">
        <v>3845.83</v>
      </c>
      <c r="Z469" s="11">
        <f>ROUND(W469-X469,2)</f>
        <v>3845.83</v>
      </c>
      <c r="AA469" s="4">
        <f>IF(W469=0,0,Z469/W469)</f>
        <v>0.19929172135858081</v>
      </c>
      <c r="AB469" t="s">
        <v>99</v>
      </c>
      <c r="AC469" t="s">
        <v>67</v>
      </c>
      <c r="AD469" t="str">
        <f>IF(AND(E469="", T469&gt;=0, T469&lt;=0.5, K469&lt;&gt;"Unknown", Q469&lt;&gt;"Unknown"), "CLEAN", _xlfn.CONCAT("WARNING: ", IF(E469&lt;&gt;"","invalid_date",""), IF(T469&lt;0,"negative_discount",""), IF(AND(T469&gt;0.5,T469&lt;=1),"high_discount",""), IF(K469="Unknown","missing_region",""), IF(Q469="Unknown","missing_ship_mode","")))</f>
        <v>CLEAN</v>
      </c>
      <c r="AE469" t="str">
        <f>IF(COUNTIF($AF$2:$AF$926,AF469)&gt;1,"DUPLICATE","UNIQUE")</f>
        <v>UNIQUE</v>
      </c>
      <c r="AF469" t="str">
        <f>A469&amp;"|"&amp;B469&amp;"|"&amp;H469&amp;"|"&amp;I469&amp;"|"&amp;R469&amp;"|"&amp;S469&amp;"|"&amp;V469</f>
        <v>ORD-2024-10468|2024-08-20|CUST-9470|Aditi Sen|5|4288.33|19297.49</v>
      </c>
      <c r="AG469" t="str">
        <f>IF(COUNTIF($A$2:$A$913,A469)&gt;1,"TRUE","FALSE")</f>
        <v>FALSE</v>
      </c>
    </row>
    <row r="470" spans="1:33">
      <c r="A470" t="s">
        <v>3187</v>
      </c>
      <c r="B470" t="s">
        <v>524</v>
      </c>
      <c r="C470" t="s">
        <v>2692</v>
      </c>
      <c r="D470">
        <f>IF(OR(B470="", C470=""), "", (C470 - B470))</f>
        <v>-2</v>
      </c>
      <c r="E470" t="str">
        <f>IF(C470&lt;B470, "INVALID: Ship date before order date", "")</f>
        <v>INVALID: Ship date before order date</v>
      </c>
      <c r="F470" t="str">
        <f>IF(B470="", "", TEXT(B470, "mmmm"))</f>
        <v>January</v>
      </c>
      <c r="G470">
        <f>IF(B470="", "", YEAR(B470))</f>
        <v>2025</v>
      </c>
      <c r="H470" t="s">
        <v>1470</v>
      </c>
      <c r="I470" t="s">
        <v>126</v>
      </c>
      <c r="J470" t="s">
        <v>93</v>
      </c>
      <c r="K470" t="s">
        <v>37</v>
      </c>
      <c r="L470" t="s">
        <v>96</v>
      </c>
      <c r="M470" t="s">
        <v>97</v>
      </c>
      <c r="N470" t="s">
        <v>27</v>
      </c>
      <c r="O470" t="s">
        <v>149</v>
      </c>
      <c r="P470" t="s">
        <v>1471</v>
      </c>
      <c r="Q470" t="s">
        <v>30</v>
      </c>
      <c r="R470">
        <v>3</v>
      </c>
      <c r="S470" s="15">
        <v>2188.33</v>
      </c>
      <c r="T470" s="4">
        <v>0</v>
      </c>
      <c r="U470" s="3" t="str">
        <f>IF(T470&lt;0, "negative_discount", IF(AND(T470&gt;0.5, T470&lt;=1), "high_discount", ""))</f>
        <v/>
      </c>
      <c r="V470" s="11">
        <v>6564.99</v>
      </c>
      <c r="W470" s="12">
        <v>6564.99</v>
      </c>
      <c r="X470" s="11">
        <v>5407.24</v>
      </c>
      <c r="Y470" s="11">
        <v>1157.75</v>
      </c>
      <c r="Z470" s="11">
        <f>ROUND(W470-X470,2)</f>
        <v>1157.75</v>
      </c>
      <c r="AA470" s="4">
        <f>IF(W470=0,0,Z470/W470)</f>
        <v>0.17635213458055535</v>
      </c>
      <c r="AB470" t="s">
        <v>31</v>
      </c>
      <c r="AC470" t="s">
        <v>32</v>
      </c>
      <c r="AD470" t="str">
        <f>IF(AND(E470="", T470&gt;=0, T470&lt;=0.5, K470&lt;&gt;"Unknown", Q470&lt;&gt;"Unknown"), "CLEAN", _xlfn.CONCAT("WARNING: ", IF(E470&lt;&gt;"","invalid_date",""), IF(T470&lt;0,"negative_discount",""), IF(AND(T470&gt;0.5,T470&lt;=1),"high_discount",""), IF(K470="Unknown","missing_region",""), IF(Q470="Unknown","missing_ship_mode","")))</f>
        <v>WARNING: invalid_date</v>
      </c>
      <c r="AE470" t="str">
        <f>IF(COUNTIF($AF$2:$AF$926,AF470)&gt;1,"DUPLICATE","UNIQUE")</f>
        <v>UNIQUE</v>
      </c>
      <c r="AF470" t="str">
        <f>A470&amp;"|"&amp;B470&amp;"|"&amp;H470&amp;"|"&amp;I470&amp;"|"&amp;R470&amp;"|"&amp;S470&amp;"|"&amp;V470</f>
        <v>ORD-2025-10469|2025-01-09|CUST-4176|Aarav Sharma|3|2188.33|6564.99</v>
      </c>
      <c r="AG470" t="str">
        <f>IF(COUNTIF($A$2:$A$913,A470)&gt;1,"TRUE","FALSE")</f>
        <v>FALSE</v>
      </c>
    </row>
    <row r="471" spans="1:33">
      <c r="A471" t="s">
        <v>1472</v>
      </c>
      <c r="B471" t="s">
        <v>1473</v>
      </c>
      <c r="C471" t="s">
        <v>300</v>
      </c>
      <c r="D471">
        <f>IF(OR(B471="", C471=""), "", (C471 - B471))</f>
        <v>6</v>
      </c>
      <c r="E471" t="str">
        <f>IF(C471&lt;B471, "INVALID: Ship date before order date", "")</f>
        <v/>
      </c>
      <c r="F471" t="str">
        <f>IF(B471="", "", TEXT(B471, "mmmm"))</f>
        <v>January</v>
      </c>
      <c r="G471">
        <f>IF(B471="", "", YEAR(B471))</f>
        <v>2024</v>
      </c>
      <c r="H471" t="s">
        <v>1474</v>
      </c>
      <c r="I471" t="s">
        <v>88</v>
      </c>
      <c r="J471" t="s">
        <v>89</v>
      </c>
      <c r="K471" t="s">
        <v>62</v>
      </c>
      <c r="L471" t="s">
        <v>185</v>
      </c>
      <c r="M471" t="s">
        <v>186</v>
      </c>
      <c r="N471" t="s">
        <v>74</v>
      </c>
      <c r="O471" t="s">
        <v>79</v>
      </c>
      <c r="P471" t="s">
        <v>1475</v>
      </c>
      <c r="Q471" t="s">
        <v>49</v>
      </c>
      <c r="R471">
        <v>3</v>
      </c>
      <c r="S471" s="15">
        <v>1041.6600000000001</v>
      </c>
      <c r="T471" s="4">
        <v>0.1</v>
      </c>
      <c r="U471" s="3" t="str">
        <f>IF(T471&lt;0, "negative_discount", IF(AND(T471&gt;0.5, T471&lt;=1), "high_discount", ""))</f>
        <v/>
      </c>
      <c r="V471" s="11">
        <v>2812.48</v>
      </c>
      <c r="W471" s="12">
        <v>2812.48</v>
      </c>
      <c r="X471" s="11">
        <v>2282.12</v>
      </c>
      <c r="Y471" s="11">
        <v>530.36</v>
      </c>
      <c r="Z471" s="11">
        <f>ROUND(W471-X471,2)</f>
        <v>530.36</v>
      </c>
      <c r="AA471" s="4">
        <f>IF(W471=0,0,Z471/W471)</f>
        <v>0.18857378541358516</v>
      </c>
      <c r="AB471" t="s">
        <v>31</v>
      </c>
      <c r="AC471" t="s">
        <v>32</v>
      </c>
      <c r="AD471" t="str">
        <f>IF(AND(E471="", T471&gt;=0, T471&lt;=0.5, K471&lt;&gt;"Unknown", Q471&lt;&gt;"Unknown"), "CLEAN", _xlfn.CONCAT("WARNING: ", IF(E471&lt;&gt;"","invalid_date",""), IF(T471&lt;0,"negative_discount",""), IF(AND(T471&gt;0.5,T471&lt;=1),"high_discount",""), IF(K471="Unknown","missing_region",""), IF(Q471="Unknown","missing_ship_mode","")))</f>
        <v>CLEAN</v>
      </c>
      <c r="AE471" t="str">
        <f>IF(COUNTIF($AF$2:$AF$926,AF471)&gt;1,"DUPLICATE","UNIQUE")</f>
        <v>UNIQUE</v>
      </c>
      <c r="AF471" t="str">
        <f>A471&amp;"|"&amp;B471&amp;"|"&amp;H471&amp;"|"&amp;I471&amp;"|"&amp;R471&amp;"|"&amp;S471&amp;"|"&amp;V471</f>
        <v>ORD-2024-10470|2024-01-19|CUST-3448|Aditi Sen|3|1041.66|2812.48</v>
      </c>
      <c r="AG471" t="str">
        <f>IF(COUNTIF($A$2:$A$913,A471)&gt;1,"TRUE","FALSE")</f>
        <v>FALSE</v>
      </c>
    </row>
    <row r="472" spans="1:33">
      <c r="A472" t="s">
        <v>1476</v>
      </c>
      <c r="B472" t="s">
        <v>2815</v>
      </c>
      <c r="C472" t="s">
        <v>2770</v>
      </c>
      <c r="D472">
        <f>IF(OR(B472="", C472=""), "", (C472 - B472))</f>
        <v>3</v>
      </c>
      <c r="E472" t="str">
        <f>IF(C472&lt;B472, "INVALID: Ship date before order date", "")</f>
        <v/>
      </c>
      <c r="F472" t="str">
        <f>IF(B472="", "", TEXT(B472, "mmmm"))</f>
        <v>July</v>
      </c>
      <c r="G472">
        <f>IF(B472="", "", YEAR(B472))</f>
        <v>2024</v>
      </c>
      <c r="H472" t="s">
        <v>1477</v>
      </c>
      <c r="I472" t="s">
        <v>88</v>
      </c>
      <c r="J472" t="s">
        <v>23</v>
      </c>
      <c r="K472" t="s">
        <v>24</v>
      </c>
      <c r="L472" t="s">
        <v>25</v>
      </c>
      <c r="M472" t="s">
        <v>26</v>
      </c>
      <c r="N472" t="s">
        <v>40</v>
      </c>
      <c r="O472" t="s">
        <v>41</v>
      </c>
      <c r="P472" t="s">
        <v>1478</v>
      </c>
      <c r="Q472" t="s">
        <v>43</v>
      </c>
      <c r="R472">
        <v>2</v>
      </c>
      <c r="S472" s="15">
        <v>4424.78</v>
      </c>
      <c r="T472" s="4">
        <v>0.2</v>
      </c>
      <c r="U472" s="3" t="str">
        <f>IF(T472&lt;0, "negative_discount", IF(AND(T472&gt;0.5, T472&lt;=1), "high_discount", ""))</f>
        <v/>
      </c>
      <c r="V472" s="11">
        <v>7079.65</v>
      </c>
      <c r="W472" s="12">
        <v>7079.65</v>
      </c>
      <c r="X472" s="11">
        <v>4465.91</v>
      </c>
      <c r="Y472" s="11">
        <v>2613.7399999999998</v>
      </c>
      <c r="Z472" s="11">
        <f>ROUND(W472-X472,2)</f>
        <v>2613.7399999999998</v>
      </c>
      <c r="AA472" s="4">
        <f>IF(W472=0,0,Z472/W472)</f>
        <v>0.36919056733030586</v>
      </c>
      <c r="AB472" t="s">
        <v>31</v>
      </c>
      <c r="AC472" t="s">
        <v>32</v>
      </c>
      <c r="AD472" t="str">
        <f>IF(AND(E472="", T472&gt;=0, T472&lt;=0.5, K472&lt;&gt;"Unknown", Q472&lt;&gt;"Unknown"), "CLEAN", _xlfn.CONCAT("WARNING: ", IF(E472&lt;&gt;"","invalid_date",""), IF(T472&lt;0,"negative_discount",""), IF(AND(T472&gt;0.5,T472&lt;=1),"high_discount",""), IF(K472="Unknown","missing_region",""), IF(Q472="Unknown","missing_ship_mode","")))</f>
        <v>CLEAN</v>
      </c>
      <c r="AE472" t="str">
        <f>IF(COUNTIF($AF$2:$AF$926,AF472)&gt;1,"DUPLICATE","UNIQUE")</f>
        <v>UNIQUE</v>
      </c>
      <c r="AF472" t="str">
        <f>A472&amp;"|"&amp;B472&amp;"|"&amp;H472&amp;"|"&amp;I472&amp;"|"&amp;R472&amp;"|"&amp;S472&amp;"|"&amp;V472</f>
        <v>ORD-2024-10471|2024-07-28|CUST-4970|Aditi Sen|2|4424.78|7079.65</v>
      </c>
      <c r="AG472" t="str">
        <f>IF(COUNTIF($A$2:$A$913,A472)&gt;1,"TRUE","FALSE")</f>
        <v>FALSE</v>
      </c>
    </row>
    <row r="473" spans="1:33">
      <c r="A473" t="s">
        <v>1479</v>
      </c>
      <c r="B473" t="s">
        <v>2750</v>
      </c>
      <c r="C473" t="s">
        <v>464</v>
      </c>
      <c r="D473">
        <f>IF(OR(B473="", C473=""), "", (C473 - B473))</f>
        <v>-261</v>
      </c>
      <c r="E473" t="str">
        <f>IF(C473&lt;B473, "INVALID: Ship date before order date", "")</f>
        <v>INVALID: Ship date before order date</v>
      </c>
      <c r="F473" t="str">
        <f>IF(B473="", "", TEXT(B473, "mmmm"))</f>
        <v>November</v>
      </c>
      <c r="G473">
        <f>IF(B473="", "", YEAR(B473))</f>
        <v>2024</v>
      </c>
      <c r="H473" t="s">
        <v>1480</v>
      </c>
      <c r="I473" t="s">
        <v>263</v>
      </c>
      <c r="J473" t="s">
        <v>23</v>
      </c>
      <c r="K473" t="s">
        <v>53</v>
      </c>
      <c r="L473" t="s">
        <v>54</v>
      </c>
      <c r="M473" t="s">
        <v>55</v>
      </c>
      <c r="N473" t="s">
        <v>27</v>
      </c>
      <c r="O473" t="s">
        <v>149</v>
      </c>
      <c r="P473" t="s">
        <v>1481</v>
      </c>
      <c r="Q473" t="s">
        <v>58</v>
      </c>
      <c r="R473">
        <v>3</v>
      </c>
      <c r="S473" s="15">
        <v>3019.14</v>
      </c>
      <c r="T473" s="4">
        <v>0.25</v>
      </c>
      <c r="U473" s="3" t="str">
        <f>IF(T473&lt;0, "negative_discount", IF(AND(T473&gt;0.5, T473&lt;=1), "high_discount", ""))</f>
        <v/>
      </c>
      <c r="V473" s="11">
        <v>6793.07</v>
      </c>
      <c r="W473" s="12">
        <v>6793.07</v>
      </c>
      <c r="X473" s="11">
        <v>4985.22</v>
      </c>
      <c r="Y473" s="11">
        <v>1807.85</v>
      </c>
      <c r="Z473" s="11">
        <f>ROUND(W473-X473,2)</f>
        <v>1807.85</v>
      </c>
      <c r="AA473" s="4">
        <f>IF(W473=0,0,Z473/W473)</f>
        <v>0.26613151343943164</v>
      </c>
      <c r="AB473" t="s">
        <v>31</v>
      </c>
      <c r="AC473" t="s">
        <v>32</v>
      </c>
      <c r="AD473" t="str">
        <f>IF(AND(E473="", T473&gt;=0, T473&lt;=0.5, K473&lt;&gt;"Unknown", Q473&lt;&gt;"Unknown"), "CLEAN", _xlfn.CONCAT("WARNING: ", IF(E473&lt;&gt;"","invalid_date",""), IF(T473&lt;0,"negative_discount",""), IF(AND(T473&gt;0.5,T473&lt;=1),"high_discount",""), IF(K473="Unknown","missing_region",""), IF(Q473="Unknown","missing_ship_mode","")))</f>
        <v>WARNING: invalid_date</v>
      </c>
      <c r="AE473" t="str">
        <f>IF(COUNTIF($AF$2:$AF$926,AF473)&gt;1,"DUPLICATE","UNIQUE")</f>
        <v>UNIQUE</v>
      </c>
      <c r="AF473" t="str">
        <f>A473&amp;"|"&amp;B473&amp;"|"&amp;H473&amp;"|"&amp;I473&amp;"|"&amp;R473&amp;"|"&amp;S473&amp;"|"&amp;V473</f>
        <v>ORD-2024-10472|2024-11-02|CUST-6147|Kabir Singh|3|3019.14|6793.07</v>
      </c>
      <c r="AG473" t="str">
        <f>IF(COUNTIF($A$2:$A$913,A473)&gt;1,"TRUE","FALSE")</f>
        <v>FALSE</v>
      </c>
    </row>
    <row r="474" spans="1:33">
      <c r="A474" t="s">
        <v>1482</v>
      </c>
      <c r="B474" t="s">
        <v>631</v>
      </c>
      <c r="C474" t="s">
        <v>2412</v>
      </c>
      <c r="D474">
        <f>IF(OR(B474="", C474=""), "", (C474 - B474))</f>
        <v>33</v>
      </c>
      <c r="E474" t="str">
        <f>IF(C474&lt;B474, "INVALID: Ship date before order date", "")</f>
        <v/>
      </c>
      <c r="F474" t="str">
        <f>IF(B474="", "", TEXT(B474, "mmmm"))</f>
        <v>February</v>
      </c>
      <c r="G474">
        <f>IF(B474="", "", YEAR(B474))</f>
        <v>2024</v>
      </c>
      <c r="H474" t="s">
        <v>1483</v>
      </c>
      <c r="I474" t="s">
        <v>139</v>
      </c>
      <c r="J474" t="s">
        <v>89</v>
      </c>
      <c r="K474" t="s">
        <v>37</v>
      </c>
      <c r="L474" t="s">
        <v>38</v>
      </c>
      <c r="M474" t="s">
        <v>39</v>
      </c>
      <c r="N474" t="s">
        <v>27</v>
      </c>
      <c r="O474" t="s">
        <v>122</v>
      </c>
      <c r="P474" t="s">
        <v>1484</v>
      </c>
      <c r="Q474" t="s">
        <v>58</v>
      </c>
      <c r="R474">
        <v>7</v>
      </c>
      <c r="S474" s="15">
        <v>263.45999999999998</v>
      </c>
      <c r="T474" s="4">
        <v>0</v>
      </c>
      <c r="U474" s="3" t="str">
        <f>IF(T474&lt;0, "negative_discount", IF(AND(T474&gt;0.5, T474&lt;=1), "high_discount", ""))</f>
        <v/>
      </c>
      <c r="V474" s="11">
        <v>1844.22</v>
      </c>
      <c r="W474" s="12">
        <v>1844.22</v>
      </c>
      <c r="X474" s="11">
        <v>1094.21</v>
      </c>
      <c r="Y474" s="11">
        <v>750.01</v>
      </c>
      <c r="Z474" s="11">
        <f>ROUND(W474-X474,2)</f>
        <v>750.01</v>
      </c>
      <c r="AA474" s="4">
        <f>IF(W474=0,0,Z474/W474)</f>
        <v>0.40668141544934983</v>
      </c>
      <c r="AB474" t="s">
        <v>31</v>
      </c>
      <c r="AC474" t="s">
        <v>32</v>
      </c>
      <c r="AD474" t="str">
        <f>IF(AND(E474="", T474&gt;=0, T474&lt;=0.5, K474&lt;&gt;"Unknown", Q474&lt;&gt;"Unknown"), "CLEAN", _xlfn.CONCAT("WARNING: ", IF(E474&lt;&gt;"","invalid_date",""), IF(T474&lt;0,"negative_discount",""), IF(AND(T474&gt;0.5,T474&lt;=1),"high_discount",""), IF(K474="Unknown","missing_region",""), IF(Q474="Unknown","missing_ship_mode","")))</f>
        <v>CLEAN</v>
      </c>
      <c r="AE474" t="str">
        <f>IF(COUNTIF($AF$2:$AF$926,AF474)&gt;1,"DUPLICATE","UNIQUE")</f>
        <v>UNIQUE</v>
      </c>
      <c r="AF474" t="str">
        <f>A474&amp;"|"&amp;B474&amp;"|"&amp;H474&amp;"|"&amp;I474&amp;"|"&amp;R474&amp;"|"&amp;S474&amp;"|"&amp;V474</f>
        <v>ORD-2024-10473|2024-02-03|CUST-7208|Rohan Mehta|7|263.46|1844.22</v>
      </c>
      <c r="AG474" t="str">
        <f>IF(COUNTIF($A$2:$A$913,A474)&gt;1,"TRUE","FALSE")</f>
        <v>FALSE</v>
      </c>
    </row>
    <row r="475" spans="1:33">
      <c r="A475" t="s">
        <v>1485</v>
      </c>
      <c r="B475" t="s">
        <v>664</v>
      </c>
      <c r="C475" t="s">
        <v>664</v>
      </c>
      <c r="D475">
        <f>IF(OR(B475="", C475=""), "", (C475 - B475))</f>
        <v>0</v>
      </c>
      <c r="E475" t="str">
        <f>IF(C475&lt;B475, "INVALID: Ship date before order date", "")</f>
        <v/>
      </c>
      <c r="F475" t="str">
        <f>IF(B475="", "", TEXT(B475, "mmmm"))</f>
        <v>November</v>
      </c>
      <c r="G475">
        <f>IF(B475="", "", YEAR(B475))</f>
        <v>2024</v>
      </c>
      <c r="H475" t="s">
        <v>1486</v>
      </c>
      <c r="I475" t="s">
        <v>112</v>
      </c>
      <c r="J475" t="s">
        <v>23</v>
      </c>
      <c r="K475" t="s">
        <v>62</v>
      </c>
      <c r="L475" t="s">
        <v>185</v>
      </c>
      <c r="M475" t="s">
        <v>186</v>
      </c>
      <c r="N475" t="s">
        <v>74</v>
      </c>
      <c r="O475" t="s">
        <v>79</v>
      </c>
      <c r="P475" t="s">
        <v>1487</v>
      </c>
      <c r="Q475" t="s">
        <v>58</v>
      </c>
      <c r="R475">
        <v>6</v>
      </c>
      <c r="S475" s="15">
        <v>191.45</v>
      </c>
      <c r="T475" s="4">
        <v>0.2</v>
      </c>
      <c r="U475" s="3" t="str">
        <f>IF(T475&lt;0, "negative_discount", IF(AND(T475&gt;0.5, T475&lt;=1), "high_discount", ""))</f>
        <v/>
      </c>
      <c r="V475" s="11">
        <v>918.96</v>
      </c>
      <c r="W475" s="12">
        <v>918.96</v>
      </c>
      <c r="X475" s="11">
        <v>554.17999999999995</v>
      </c>
      <c r="Y475" s="11">
        <v>364.78</v>
      </c>
      <c r="Z475" s="11">
        <f>ROUND(W475-X475,2)</f>
        <v>364.78</v>
      </c>
      <c r="AA475" s="4">
        <f>IF(W475=0,0,Z475/W475)</f>
        <v>0.39694872464525111</v>
      </c>
      <c r="AB475" t="s">
        <v>31</v>
      </c>
      <c r="AC475" t="s">
        <v>32</v>
      </c>
      <c r="AD475" t="str">
        <f>IF(AND(E475="", T475&gt;=0, T475&lt;=0.5, K475&lt;&gt;"Unknown", Q475&lt;&gt;"Unknown"), "CLEAN", _xlfn.CONCAT("WARNING: ", IF(E475&lt;&gt;"","invalid_date",""), IF(T475&lt;0,"negative_discount",""), IF(AND(T475&gt;0.5,T475&lt;=1),"high_discount",""), IF(K475="Unknown","missing_region",""), IF(Q475="Unknown","missing_ship_mode","")))</f>
        <v>CLEAN</v>
      </c>
      <c r="AE475" t="str">
        <f>IF(COUNTIF($AF$2:$AF$926,AF475)&gt;1,"DUPLICATE","UNIQUE")</f>
        <v>UNIQUE</v>
      </c>
      <c r="AF475" t="str">
        <f>A475&amp;"|"&amp;B475&amp;"|"&amp;H475&amp;"|"&amp;I475&amp;"|"&amp;R475&amp;"|"&amp;S475&amp;"|"&amp;V475</f>
        <v>ORD-2024-10474|2024-11-13|CUST-2794|Priya Menon|6|191.45|918.96</v>
      </c>
      <c r="AG475" t="str">
        <f>IF(COUNTIF($A$2:$A$913,A475)&gt;1,"TRUE","FALSE")</f>
        <v>FALSE</v>
      </c>
    </row>
    <row r="476" spans="1:33">
      <c r="A476" t="s">
        <v>1488</v>
      </c>
      <c r="B476" t="s">
        <v>2542</v>
      </c>
      <c r="C476" t="s">
        <v>1489</v>
      </c>
      <c r="D476">
        <f>IF(OR(B476="", C476=""), "", (C476 - B476))</f>
        <v>96</v>
      </c>
      <c r="E476" t="str">
        <f>IF(C476&lt;B476, "INVALID: Ship date before order date", "")</f>
        <v/>
      </c>
      <c r="F476" t="str">
        <f>IF(B476="", "", TEXT(B476, "mmmm"))</f>
        <v>March</v>
      </c>
      <c r="G476">
        <f>IF(B476="", "", YEAR(B476))</f>
        <v>2024</v>
      </c>
      <c r="H476" t="s">
        <v>1490</v>
      </c>
      <c r="I476" t="s">
        <v>158</v>
      </c>
      <c r="J476" t="s">
        <v>89</v>
      </c>
      <c r="K476" t="s">
        <v>24</v>
      </c>
      <c r="L476" t="s">
        <v>120</v>
      </c>
      <c r="M476" t="s">
        <v>121</v>
      </c>
      <c r="N476" t="s">
        <v>40</v>
      </c>
      <c r="O476" t="s">
        <v>56</v>
      </c>
      <c r="P476" t="s">
        <v>1491</v>
      </c>
      <c r="Q476" t="s">
        <v>58</v>
      </c>
      <c r="R476">
        <v>3</v>
      </c>
      <c r="S476" s="15">
        <v>1633.57</v>
      </c>
      <c r="T476" s="4">
        <v>0</v>
      </c>
      <c r="U476" s="3" t="str">
        <f>IF(T476&lt;0, "negative_discount", IF(AND(T476&gt;0.5, T476&lt;=1), "high_discount", ""))</f>
        <v/>
      </c>
      <c r="V476" s="11">
        <v>4900.71</v>
      </c>
      <c r="W476" s="12">
        <v>4900.71</v>
      </c>
      <c r="X476" s="11">
        <v>2713.9</v>
      </c>
      <c r="Y476" s="11">
        <v>2186.81</v>
      </c>
      <c r="Z476" s="11">
        <f>ROUND(W476-X476,2)</f>
        <v>2186.81</v>
      </c>
      <c r="AA476" s="4">
        <f>IF(W476=0,0,Z476/W476)</f>
        <v>0.44622309828575857</v>
      </c>
      <c r="AB476" t="s">
        <v>31</v>
      </c>
      <c r="AC476" t="s">
        <v>32</v>
      </c>
      <c r="AD476" t="str">
        <f>IF(AND(E476="", T476&gt;=0, T476&lt;=0.5, K476&lt;&gt;"Unknown", Q476&lt;&gt;"Unknown"), "CLEAN", _xlfn.CONCAT("WARNING: ", IF(E476&lt;&gt;"","invalid_date",""), IF(T476&lt;0,"negative_discount",""), IF(AND(T476&gt;0.5,T476&lt;=1),"high_discount",""), IF(K476="Unknown","missing_region",""), IF(Q476="Unknown","missing_ship_mode","")))</f>
        <v>CLEAN</v>
      </c>
      <c r="AE476" t="str">
        <f>IF(COUNTIF($AF$2:$AF$926,AF476)&gt;1,"DUPLICATE","UNIQUE")</f>
        <v>UNIQUE</v>
      </c>
      <c r="AF476" t="str">
        <f>A476&amp;"|"&amp;B476&amp;"|"&amp;H476&amp;"|"&amp;I476&amp;"|"&amp;R476&amp;"|"&amp;S476&amp;"|"&amp;V476</f>
        <v>ORD-2024-10475|2024-03-06|CUST-6249|Diya Patel|3|1633.57|4900.71</v>
      </c>
      <c r="AG476" t="str">
        <f>IF(COUNTIF($A$2:$A$913,A476)&gt;1,"TRUE","FALSE")</f>
        <v>FALSE</v>
      </c>
    </row>
    <row r="477" spans="1:33">
      <c r="A477" t="s">
        <v>3188</v>
      </c>
      <c r="B477" t="s">
        <v>333</v>
      </c>
      <c r="C477" t="s">
        <v>2576</v>
      </c>
      <c r="D477">
        <f>IF(OR(B477="", C477=""), "", (C477 - B477))</f>
        <v>7</v>
      </c>
      <c r="E477" t="str">
        <f>IF(C477&lt;B477, "INVALID: Ship date before order date", "")</f>
        <v/>
      </c>
      <c r="F477" t="str">
        <f>IF(B477="", "", TEXT(B477, "mmmm"))</f>
        <v>March</v>
      </c>
      <c r="G477">
        <f>IF(B477="", "", YEAR(B477))</f>
        <v>2025</v>
      </c>
      <c r="H477" t="s">
        <v>1492</v>
      </c>
      <c r="I477" t="s">
        <v>71</v>
      </c>
      <c r="J477" t="s">
        <v>23</v>
      </c>
      <c r="K477" t="s">
        <v>37</v>
      </c>
      <c r="L477" t="s">
        <v>96</v>
      </c>
      <c r="M477" t="s">
        <v>97</v>
      </c>
      <c r="N477" t="s">
        <v>40</v>
      </c>
      <c r="O477" t="s">
        <v>65</v>
      </c>
      <c r="P477" t="s">
        <v>1493</v>
      </c>
      <c r="Q477" t="s">
        <v>43</v>
      </c>
      <c r="R477">
        <v>8</v>
      </c>
      <c r="S477" s="15">
        <v>3378.82</v>
      </c>
      <c r="T477" s="4">
        <v>0.25</v>
      </c>
      <c r="U477" s="3" t="str">
        <f>IF(T477&lt;0, "negative_discount", IF(AND(T477&gt;0.5, T477&lt;=1), "high_discount", ""))</f>
        <v/>
      </c>
      <c r="V477" s="11">
        <v>20272.919999999998</v>
      </c>
      <c r="W477" s="12">
        <v>20272.919999999998</v>
      </c>
      <c r="X477" s="11">
        <v>15873.38</v>
      </c>
      <c r="Y477" s="11">
        <v>4399.54</v>
      </c>
      <c r="Z477" s="11">
        <f>ROUND(W477-X477,2)</f>
        <v>4399.54</v>
      </c>
      <c r="AA477" s="4">
        <f>IF(W477=0,0,Z477/W477)</f>
        <v>0.21701560505344075</v>
      </c>
      <c r="AB477" t="s">
        <v>109</v>
      </c>
      <c r="AC477" t="s">
        <v>100</v>
      </c>
      <c r="AD477" t="str">
        <f>IF(AND(E477="", T477&gt;=0, T477&lt;=0.5, K477&lt;&gt;"Unknown", Q477&lt;&gt;"Unknown"), "CLEAN", _xlfn.CONCAT("WARNING: ", IF(E477&lt;&gt;"","invalid_date",""), IF(T477&lt;0,"negative_discount",""), IF(AND(T477&gt;0.5,T477&lt;=1),"high_discount",""), IF(K477="Unknown","missing_region",""), IF(Q477="Unknown","missing_ship_mode","")))</f>
        <v>CLEAN</v>
      </c>
      <c r="AE477" t="str">
        <f>IF(COUNTIF($AF$2:$AF$926,AF477)&gt;1,"DUPLICATE","UNIQUE")</f>
        <v>UNIQUE</v>
      </c>
      <c r="AF477" t="str">
        <f>A477&amp;"|"&amp;B477&amp;"|"&amp;H477&amp;"|"&amp;I477&amp;"|"&amp;R477&amp;"|"&amp;S477&amp;"|"&amp;V477</f>
        <v>ORD-2025-10476|2025-03-01|CUST-5712|Vikram Iyer|8|3378.82|20272.92</v>
      </c>
      <c r="AG477" t="str">
        <f>IF(COUNTIF($A$2:$A$913,A477)&gt;1,"TRUE","FALSE")</f>
        <v>FALSE</v>
      </c>
    </row>
    <row r="478" spans="1:33">
      <c r="A478" t="s">
        <v>1494</v>
      </c>
      <c r="B478" t="s">
        <v>2816</v>
      </c>
      <c r="C478" t="s">
        <v>2941</v>
      </c>
      <c r="D478">
        <f>IF(OR(B478="", C478=""), "", (C478 - B478))</f>
        <v>7</v>
      </c>
      <c r="E478" t="str">
        <f>IF(C478&lt;B478, "INVALID: Ship date before order date", "")</f>
        <v/>
      </c>
      <c r="F478" t="str">
        <f>IF(B478="", "", TEXT(B478, "mmmm"))</f>
        <v>May</v>
      </c>
      <c r="G478">
        <f>IF(B478="", "", YEAR(B478))</f>
        <v>2024</v>
      </c>
      <c r="H478" t="s">
        <v>1495</v>
      </c>
      <c r="I478" t="s">
        <v>131</v>
      </c>
      <c r="J478" t="s">
        <v>36</v>
      </c>
      <c r="K478" t="s">
        <v>24</v>
      </c>
      <c r="L478" t="s">
        <v>25</v>
      </c>
      <c r="M478" t="s">
        <v>26</v>
      </c>
      <c r="N478" t="s">
        <v>27</v>
      </c>
      <c r="O478" t="s">
        <v>122</v>
      </c>
      <c r="P478" t="s">
        <v>1496</v>
      </c>
      <c r="Q478" t="s">
        <v>49</v>
      </c>
      <c r="R478">
        <v>3</v>
      </c>
      <c r="S478" s="15">
        <v>383.58</v>
      </c>
      <c r="T478" s="4">
        <v>0.1</v>
      </c>
      <c r="U478" s="3" t="str">
        <f>IF(T478&lt;0, "negative_discount", IF(AND(T478&gt;0.5, T478&lt;=1), "high_discount", ""))</f>
        <v/>
      </c>
      <c r="V478" s="11">
        <v>1035.67</v>
      </c>
      <c r="W478" s="12">
        <v>1035.67</v>
      </c>
      <c r="X478" s="11">
        <v>595.41999999999996</v>
      </c>
      <c r="Y478" s="11">
        <v>440.25</v>
      </c>
      <c r="Z478" s="11">
        <f>ROUND(W478-X478,2)</f>
        <v>440.25</v>
      </c>
      <c r="AA478" s="4">
        <f>IF(W478=0,0,Z478/W478)</f>
        <v>0.42508714165709149</v>
      </c>
      <c r="AB478" t="s">
        <v>31</v>
      </c>
      <c r="AC478" t="s">
        <v>32</v>
      </c>
      <c r="AD478" t="str">
        <f>IF(AND(E478="", T478&gt;=0, T478&lt;=0.5, K478&lt;&gt;"Unknown", Q478&lt;&gt;"Unknown"), "CLEAN", _xlfn.CONCAT("WARNING: ", IF(E478&lt;&gt;"","invalid_date",""), IF(T478&lt;0,"negative_discount",""), IF(AND(T478&gt;0.5,T478&lt;=1),"high_discount",""), IF(K478="Unknown","missing_region",""), IF(Q478="Unknown","missing_ship_mode","")))</f>
        <v>CLEAN</v>
      </c>
      <c r="AE478" t="str">
        <f>IF(COUNTIF($AF$2:$AF$926,AF478)&gt;1,"DUPLICATE","UNIQUE")</f>
        <v>UNIQUE</v>
      </c>
      <c r="AF478" t="str">
        <f>A478&amp;"|"&amp;B478&amp;"|"&amp;H478&amp;"|"&amp;I478&amp;"|"&amp;R478&amp;"|"&amp;S478&amp;"|"&amp;V478</f>
        <v>ORD-2024-10477|2024-05-07|CUST-3004|Sneha Kapoor|3|383.58|1035.67</v>
      </c>
      <c r="AG478" t="str">
        <f>IF(COUNTIF($A$2:$A$913,A478)&gt;1,"TRUE","FALSE")</f>
        <v>FALSE</v>
      </c>
    </row>
    <row r="479" spans="1:33">
      <c r="A479" t="s">
        <v>3189</v>
      </c>
      <c r="B479" t="s">
        <v>1307</v>
      </c>
      <c r="C479" t="s">
        <v>1308</v>
      </c>
      <c r="D479">
        <f>IF(OR(B479="", C479=""), "", (C479 - B479))</f>
        <v>5</v>
      </c>
      <c r="E479" t="str">
        <f>IF(C479&lt;B479, "INVALID: Ship date before order date", "")</f>
        <v/>
      </c>
      <c r="F479" t="str">
        <f>IF(B479="", "", TEXT(B479, "mmmm"))</f>
        <v>August</v>
      </c>
      <c r="G479">
        <f>IF(B479="", "", YEAR(B479))</f>
        <v>2025</v>
      </c>
      <c r="H479" t="s">
        <v>1497</v>
      </c>
      <c r="I479" t="s">
        <v>71</v>
      </c>
      <c r="J479" t="s">
        <v>89</v>
      </c>
      <c r="K479" t="s">
        <v>62</v>
      </c>
      <c r="L479" t="s">
        <v>176</v>
      </c>
      <c r="M479" t="s">
        <v>177</v>
      </c>
      <c r="N479" t="s">
        <v>40</v>
      </c>
      <c r="O479" t="s">
        <v>65</v>
      </c>
      <c r="P479" t="s">
        <v>1498</v>
      </c>
      <c r="Q479" t="s">
        <v>58</v>
      </c>
      <c r="R479">
        <v>6</v>
      </c>
      <c r="S479" s="15">
        <v>2193.23</v>
      </c>
      <c r="T479" s="4">
        <v>0.1</v>
      </c>
      <c r="U479" s="3" t="str">
        <f>IF(T479&lt;0, "negative_discount", IF(AND(T479&gt;0.5, T479&lt;=1), "high_discount", ""))</f>
        <v/>
      </c>
      <c r="V479" s="11">
        <v>11843.44</v>
      </c>
      <c r="W479" s="12">
        <v>11843.44</v>
      </c>
      <c r="X479" s="11">
        <v>9356.8799999999992</v>
      </c>
      <c r="Y479" s="11">
        <v>2486.56</v>
      </c>
      <c r="Z479" s="11">
        <f>ROUND(W479-X479,2)</f>
        <v>2486.56</v>
      </c>
      <c r="AA479" s="4">
        <f>IF(W479=0,0,Z479/W479)</f>
        <v>0.20995251379666718</v>
      </c>
      <c r="AB479" t="s">
        <v>31</v>
      </c>
      <c r="AC479" t="s">
        <v>67</v>
      </c>
      <c r="AD479" t="str">
        <f>IF(AND(E479="", T479&gt;=0, T479&lt;=0.5, K479&lt;&gt;"Unknown", Q479&lt;&gt;"Unknown"), "CLEAN", _xlfn.CONCAT("WARNING: ", IF(E479&lt;&gt;"","invalid_date",""), IF(T479&lt;0,"negative_discount",""), IF(AND(T479&gt;0.5,T479&lt;=1),"high_discount",""), IF(K479="Unknown","missing_region",""), IF(Q479="Unknown","missing_ship_mode","")))</f>
        <v>CLEAN</v>
      </c>
      <c r="AE479" t="str">
        <f>IF(COUNTIF($AF$2:$AF$926,AF479)&gt;1,"DUPLICATE","UNIQUE")</f>
        <v>UNIQUE</v>
      </c>
      <c r="AF479" t="str">
        <f>A479&amp;"|"&amp;B479&amp;"|"&amp;H479&amp;"|"&amp;I479&amp;"|"&amp;R479&amp;"|"&amp;S479&amp;"|"&amp;V479</f>
        <v>ORD-2025-10478|2025-08-23|CUST-6920|Vikram Iyer|6|2193.23|11843.44</v>
      </c>
      <c r="AG479" t="str">
        <f>IF(COUNTIF($A$2:$A$913,A479)&gt;1,"TRUE","FALSE")</f>
        <v>FALSE</v>
      </c>
    </row>
    <row r="480" spans="1:33">
      <c r="A480" t="s">
        <v>1499</v>
      </c>
      <c r="B480" t="s">
        <v>2817</v>
      </c>
      <c r="C480" t="s">
        <v>1500</v>
      </c>
      <c r="D480">
        <f>IF(OR(B480="", C480=""), "", (C480 - B480))</f>
        <v>4</v>
      </c>
      <c r="E480" t="str">
        <f>IF(C480&lt;B480, "INVALID: Ship date before order date", "")</f>
        <v/>
      </c>
      <c r="F480" t="str">
        <f>IF(B480="", "", TEXT(B480, "mmmm"))</f>
        <v>June</v>
      </c>
      <c r="G480">
        <f>IF(B480="", "", YEAR(B480))</f>
        <v>2024</v>
      </c>
      <c r="H480" t="s">
        <v>1501</v>
      </c>
      <c r="I480" t="s">
        <v>35</v>
      </c>
      <c r="J480" t="s">
        <v>93</v>
      </c>
      <c r="K480" t="s">
        <v>2970</v>
      </c>
      <c r="L480" t="s">
        <v>134</v>
      </c>
      <c r="M480" t="s">
        <v>135</v>
      </c>
      <c r="N480" t="s">
        <v>74</v>
      </c>
      <c r="O480" t="s">
        <v>272</v>
      </c>
      <c r="P480" t="s">
        <v>1502</v>
      </c>
      <c r="Q480" t="s">
        <v>43</v>
      </c>
      <c r="R480">
        <v>7</v>
      </c>
      <c r="S480" s="15">
        <v>4079.71</v>
      </c>
      <c r="T480" s="4">
        <v>0</v>
      </c>
      <c r="U480" s="3" t="str">
        <f>IF(T480&lt;0, "negative_discount", IF(AND(T480&gt;0.5, T480&lt;=1), "high_discount", ""))</f>
        <v/>
      </c>
      <c r="V480" s="11">
        <v>25702.17</v>
      </c>
      <c r="W480" s="12">
        <v>28557.97</v>
      </c>
      <c r="X480" s="11">
        <v>14571.48</v>
      </c>
      <c r="Y480" s="11">
        <v>11130.69</v>
      </c>
      <c r="Z480" s="11">
        <f>ROUND(W480-X480,2)</f>
        <v>13986.49</v>
      </c>
      <c r="AA480" s="4">
        <f>IF(W480=0,0,Z480/W480)</f>
        <v>0.48975785043544762</v>
      </c>
      <c r="AB480" t="s">
        <v>99</v>
      </c>
      <c r="AC480" t="s">
        <v>100</v>
      </c>
      <c r="AD480" t="str">
        <f>IF(AND(E480="", T480&gt;=0, T480&lt;=0.5, K480&lt;&gt;"Unknown", Q480&lt;&gt;"Unknown"), "CLEAN", _xlfn.CONCAT("WARNING: ", IF(E480&lt;&gt;"","invalid_date",""), IF(T480&lt;0,"negative_discount",""), IF(AND(T480&gt;0.5,T480&lt;=1),"high_discount",""), IF(K480="Unknown","missing_region",""), IF(Q480="Unknown","missing_ship_mode","")))</f>
        <v>WARNING: missing_region</v>
      </c>
      <c r="AE480" t="str">
        <f>IF(COUNTIF($AF$2:$AF$926,AF480)&gt;1,"DUPLICATE","UNIQUE")</f>
        <v>UNIQUE</v>
      </c>
      <c r="AF480" t="str">
        <f>A480&amp;"|"&amp;B480&amp;"|"&amp;H480&amp;"|"&amp;I480&amp;"|"&amp;R480&amp;"|"&amp;S480&amp;"|"&amp;V480</f>
        <v>ORD-2024-10479|2024-06-09|CUST-4838|Mira Das|7|4079.71|25702.17</v>
      </c>
      <c r="AG480" t="str">
        <f>IF(COUNTIF($A$2:$A$913,A480)&gt;1,"TRUE","FALSE")</f>
        <v>FALSE</v>
      </c>
    </row>
    <row r="481" spans="1:33">
      <c r="A481" t="s">
        <v>1503</v>
      </c>
      <c r="B481" t="s">
        <v>2818</v>
      </c>
      <c r="C481" t="s">
        <v>1342</v>
      </c>
      <c r="D481">
        <f>IF(OR(B481="", C481=""), "", (C481 - B481))</f>
        <v>-3</v>
      </c>
      <c r="E481" t="str">
        <f>IF(C481&lt;B481, "INVALID: Ship date before order date", "")</f>
        <v>INVALID: Ship date before order date</v>
      </c>
      <c r="F481" t="str">
        <f>IF(B481="", "", TEXT(B481, "mmmm"))</f>
        <v>February</v>
      </c>
      <c r="G481">
        <f>IF(B481="", "", YEAR(B481))</f>
        <v>2024</v>
      </c>
      <c r="H481" t="s">
        <v>1504</v>
      </c>
      <c r="I481" t="s">
        <v>52</v>
      </c>
      <c r="J481" t="s">
        <v>89</v>
      </c>
      <c r="K481" t="s">
        <v>37</v>
      </c>
      <c r="L481" t="s">
        <v>38</v>
      </c>
      <c r="M481" t="s">
        <v>39</v>
      </c>
      <c r="N481" t="s">
        <v>40</v>
      </c>
      <c r="O481" t="s">
        <v>65</v>
      </c>
      <c r="P481" t="s">
        <v>1505</v>
      </c>
      <c r="Q481" t="s">
        <v>30</v>
      </c>
      <c r="R481">
        <v>1</v>
      </c>
      <c r="S481" s="15">
        <v>2202.5500000000002</v>
      </c>
      <c r="T481" s="4">
        <v>0</v>
      </c>
      <c r="U481" s="3" t="str">
        <f>IF(T481&lt;0, "negative_discount", IF(AND(T481&gt;0.5, T481&lt;=1), "high_discount", ""))</f>
        <v/>
      </c>
      <c r="V481" s="11">
        <v>1651.91</v>
      </c>
      <c r="W481" s="12">
        <v>2202.5500000000002</v>
      </c>
      <c r="X481" s="11">
        <v>1034.57</v>
      </c>
      <c r="Y481" s="11">
        <v>617.34</v>
      </c>
      <c r="Z481" s="11">
        <f>ROUND(W481-X481,2)</f>
        <v>1167.98</v>
      </c>
      <c r="AA481" s="4">
        <f>IF(W481=0,0,Z481/W481)</f>
        <v>0.53028535107035024</v>
      </c>
      <c r="AB481" t="s">
        <v>31</v>
      </c>
      <c r="AC481" t="s">
        <v>32</v>
      </c>
      <c r="AD481" t="str">
        <f>IF(AND(E481="", T481&gt;=0, T481&lt;=0.5, K481&lt;&gt;"Unknown", Q481&lt;&gt;"Unknown"), "CLEAN", _xlfn.CONCAT("WARNING: ", IF(E481&lt;&gt;"","invalid_date",""), IF(T481&lt;0,"negative_discount",""), IF(AND(T481&gt;0.5,T481&lt;=1),"high_discount",""), IF(K481="Unknown","missing_region",""), IF(Q481="Unknown","missing_ship_mode","")))</f>
        <v>WARNING: invalid_date</v>
      </c>
      <c r="AE481" t="str">
        <f>IF(COUNTIF($AF$2:$AF$926,AF481)&gt;1,"DUPLICATE","UNIQUE")</f>
        <v>UNIQUE</v>
      </c>
      <c r="AF481" t="str">
        <f>A481&amp;"|"&amp;B481&amp;"|"&amp;H481&amp;"|"&amp;I481&amp;"|"&amp;R481&amp;"|"&amp;S481&amp;"|"&amp;V481</f>
        <v>ORD-2024-10480|2024-02-23|CUST-7520|Arjun Bose|1|2202.55|1651.91</v>
      </c>
      <c r="AG481" t="str">
        <f>IF(COUNTIF($A$2:$A$913,A481)&gt;1,"TRUE","FALSE")</f>
        <v>FALSE</v>
      </c>
    </row>
    <row r="482" spans="1:33">
      <c r="A482" t="s">
        <v>3190</v>
      </c>
      <c r="B482" t="s">
        <v>274</v>
      </c>
      <c r="C482" t="s">
        <v>524</v>
      </c>
      <c r="D482">
        <f>IF(OR(B482="", C482=""), "", (C482 - B482))</f>
        <v>4</v>
      </c>
      <c r="E482" t="str">
        <f>IF(C482&lt;B482, "INVALID: Ship date before order date", "")</f>
        <v/>
      </c>
      <c r="F482" t="str">
        <f>IF(B482="", "", TEXT(B482, "mmmm"))</f>
        <v>January</v>
      </c>
      <c r="G482">
        <f>IF(B482="", "", YEAR(B482))</f>
        <v>2025</v>
      </c>
      <c r="H482" t="s">
        <v>1506</v>
      </c>
      <c r="I482" t="s">
        <v>78</v>
      </c>
      <c r="J482" t="s">
        <v>36</v>
      </c>
      <c r="K482" t="s">
        <v>53</v>
      </c>
      <c r="L482" t="s">
        <v>246</v>
      </c>
      <c r="M482" t="s">
        <v>247</v>
      </c>
      <c r="N482" t="s">
        <v>27</v>
      </c>
      <c r="O482" t="s">
        <v>122</v>
      </c>
      <c r="P482" t="s">
        <v>1507</v>
      </c>
      <c r="Q482" t="s">
        <v>2970</v>
      </c>
      <c r="R482">
        <v>5</v>
      </c>
      <c r="S482" s="15">
        <v>905.16</v>
      </c>
      <c r="T482" s="4">
        <v>0</v>
      </c>
      <c r="U482" s="3" t="str">
        <f>IF(T482&lt;0, "negative_discount", IF(AND(T482&gt;0.5, T482&lt;=1), "high_discount", ""))</f>
        <v/>
      </c>
      <c r="V482" s="11">
        <v>4525.8</v>
      </c>
      <c r="W482" s="12">
        <v>4525.8</v>
      </c>
      <c r="X482" s="11">
        <v>2714.51</v>
      </c>
      <c r="Y482" s="11">
        <v>1811.29</v>
      </c>
      <c r="Z482" s="11">
        <f>ROUND(W482-X482,2)</f>
        <v>1811.29</v>
      </c>
      <c r="AA482" s="4">
        <f>IF(W482=0,0,Z482/W482)</f>
        <v>0.40021432674886204</v>
      </c>
      <c r="AB482" t="s">
        <v>31</v>
      </c>
      <c r="AC482" t="s">
        <v>32</v>
      </c>
      <c r="AD482" t="str">
        <f>IF(AND(E482="", T482&gt;=0, T482&lt;=0.5, K482&lt;&gt;"Unknown", Q482&lt;&gt;"Unknown"), "CLEAN", _xlfn.CONCAT("WARNING: ", IF(E482&lt;&gt;"","invalid_date",""), IF(T482&lt;0,"negative_discount",""), IF(AND(T482&gt;0.5,T482&lt;=1),"high_discount",""), IF(K482="Unknown","missing_region",""), IF(Q482="Unknown","missing_ship_mode","")))</f>
        <v>WARNING: missing_ship_mode</v>
      </c>
      <c r="AE482" t="str">
        <f>IF(COUNTIF($AF$2:$AF$926,AF482)&gt;1,"DUPLICATE","UNIQUE")</f>
        <v>UNIQUE</v>
      </c>
      <c r="AF482" t="str">
        <f>A482&amp;"|"&amp;B482&amp;"|"&amp;H482&amp;"|"&amp;I482&amp;"|"&amp;R482&amp;"|"&amp;S482&amp;"|"&amp;V482</f>
        <v>ORD-2025-10481|2025-01-05|CUST-9947|Neha Gupta|5|905.16|4525.8</v>
      </c>
      <c r="AG482" t="str">
        <f>IF(COUNTIF($A$2:$A$913,A482)&gt;1,"TRUE","FALSE")</f>
        <v>FALSE</v>
      </c>
    </row>
    <row r="483" spans="1:33">
      <c r="A483" t="s">
        <v>3191</v>
      </c>
      <c r="B483" t="s">
        <v>1508</v>
      </c>
      <c r="C483" t="s">
        <v>1015</v>
      </c>
      <c r="D483">
        <f>IF(OR(B483="", C483=""), "", (C483 - B483))</f>
        <v>8</v>
      </c>
      <c r="E483" t="str">
        <f>IF(C483&lt;B483, "INVALID: Ship date before order date", "")</f>
        <v/>
      </c>
      <c r="F483" t="str">
        <f>IF(B483="", "", TEXT(B483, "mmmm"))</f>
        <v>June</v>
      </c>
      <c r="G483">
        <f>IF(B483="", "", YEAR(B483))</f>
        <v>2025</v>
      </c>
      <c r="H483" t="s">
        <v>1509</v>
      </c>
      <c r="I483" t="s">
        <v>46</v>
      </c>
      <c r="J483" t="s">
        <v>23</v>
      </c>
      <c r="K483" t="s">
        <v>24</v>
      </c>
      <c r="L483" t="s">
        <v>134</v>
      </c>
      <c r="M483" t="s">
        <v>135</v>
      </c>
      <c r="N483" t="s">
        <v>74</v>
      </c>
      <c r="O483" t="s">
        <v>272</v>
      </c>
      <c r="P483" t="s">
        <v>1510</v>
      </c>
      <c r="Q483" t="s">
        <v>43</v>
      </c>
      <c r="R483">
        <v>4</v>
      </c>
      <c r="S483" s="15">
        <v>2793.88</v>
      </c>
      <c r="T483" s="4">
        <v>0.85</v>
      </c>
      <c r="U483" s="3" t="str">
        <f>IF(T483&lt;0, "negative_discount", IF(AND(T483&gt;0.5, T483&lt;=1), "high_discount", ""))</f>
        <v>high_discount</v>
      </c>
      <c r="V483" s="11">
        <v>10616.74</v>
      </c>
      <c r="W483" s="12">
        <v>1676.33</v>
      </c>
      <c r="X483" s="11">
        <v>6353.59</v>
      </c>
      <c r="Y483" s="11">
        <v>4263.1499999999996</v>
      </c>
      <c r="Z483" s="11">
        <f>ROUND(W483-X483,2)</f>
        <v>-4677.26</v>
      </c>
      <c r="AA483" s="4">
        <f>IF(W483=0,0,Z483/W483)</f>
        <v>-2.7901785447972656</v>
      </c>
      <c r="AB483" t="s">
        <v>31</v>
      </c>
      <c r="AC483" t="s">
        <v>32</v>
      </c>
      <c r="AD483" t="str">
        <f>IF(AND(E483="", T483&gt;=0, T483&lt;=0.5, K483&lt;&gt;"Unknown", Q483&lt;&gt;"Unknown"), "CLEAN", _xlfn.CONCAT("WARNING: ", IF(E483&lt;&gt;"","invalid_date",""), IF(T483&lt;0,"negative_discount",""), IF(AND(T483&gt;0.5,T483&lt;=1),"high_discount",""), IF(K483="Unknown","missing_region",""), IF(Q483="Unknown","missing_ship_mode","")))</f>
        <v>WARNING: high_discount</v>
      </c>
      <c r="AE483" t="str">
        <f>IF(COUNTIF($AF$2:$AF$926,AF483)&gt;1,"DUPLICATE","UNIQUE")</f>
        <v>UNIQUE</v>
      </c>
      <c r="AF483" t="str">
        <f>A483&amp;"|"&amp;B483&amp;"|"&amp;H483&amp;"|"&amp;I483&amp;"|"&amp;R483&amp;"|"&amp;S483&amp;"|"&amp;V483</f>
        <v>ORD-2025-10482|2025-06-05|CUST-4403|Isha Nair|4|2793.88|10616.74</v>
      </c>
      <c r="AG483" t="str">
        <f>IF(COUNTIF($A$2:$A$913,A483)&gt;1,"TRUE","FALSE")</f>
        <v>FALSE</v>
      </c>
    </row>
    <row r="484" spans="1:33">
      <c r="A484" t="s">
        <v>1511</v>
      </c>
      <c r="B484" t="s">
        <v>102</v>
      </c>
      <c r="C484" t="s">
        <v>102</v>
      </c>
      <c r="D484">
        <f>IF(OR(B484="", C484=""), "", (C484 - B484))</f>
        <v>0</v>
      </c>
      <c r="E484" t="str">
        <f>IF(C484&lt;B484, "INVALID: Ship date before order date", "")</f>
        <v/>
      </c>
      <c r="F484" t="str">
        <f>IF(B484="", "", TEXT(B484, "mmmm"))</f>
        <v>July</v>
      </c>
      <c r="G484">
        <f>IF(B484="", "", YEAR(B484))</f>
        <v>2024</v>
      </c>
      <c r="H484" t="s">
        <v>1512</v>
      </c>
      <c r="I484" t="s">
        <v>112</v>
      </c>
      <c r="J484" t="s">
        <v>23</v>
      </c>
      <c r="K484" t="s">
        <v>53</v>
      </c>
      <c r="L484" t="s">
        <v>171</v>
      </c>
      <c r="M484" t="s">
        <v>172</v>
      </c>
      <c r="N484" t="s">
        <v>74</v>
      </c>
      <c r="O484" t="s">
        <v>75</v>
      </c>
      <c r="P484" t="s">
        <v>1513</v>
      </c>
      <c r="Q484" t="s">
        <v>30</v>
      </c>
      <c r="R484">
        <v>3</v>
      </c>
      <c r="S484" s="15">
        <v>1286.22</v>
      </c>
      <c r="T484" s="4">
        <v>0.25</v>
      </c>
      <c r="U484" s="3" t="str">
        <f>IF(T484&lt;0, "negative_discount", IF(AND(T484&gt;0.5, T484&lt;=1), "high_discount", ""))</f>
        <v/>
      </c>
      <c r="V484" s="11">
        <v>2893.99</v>
      </c>
      <c r="W484" s="12">
        <v>2894</v>
      </c>
      <c r="X484" s="11">
        <v>1856.03</v>
      </c>
      <c r="Y484" s="11">
        <v>1037.96</v>
      </c>
      <c r="Z484" s="11">
        <f>ROUND(W484-X484,2)</f>
        <v>1037.97</v>
      </c>
      <c r="AA484" s="4">
        <f>IF(W484=0,0,Z484/W484)</f>
        <v>0.35866275051831376</v>
      </c>
      <c r="AB484" t="s">
        <v>31</v>
      </c>
      <c r="AC484" t="s">
        <v>32</v>
      </c>
      <c r="AD484" t="str">
        <f>IF(AND(E484="", T484&gt;=0, T484&lt;=0.5, K484&lt;&gt;"Unknown", Q484&lt;&gt;"Unknown"), "CLEAN", _xlfn.CONCAT("WARNING: ", IF(E484&lt;&gt;"","invalid_date",""), IF(T484&lt;0,"negative_discount",""), IF(AND(T484&gt;0.5,T484&lt;=1),"high_discount",""), IF(K484="Unknown","missing_region",""), IF(Q484="Unknown","missing_ship_mode","")))</f>
        <v>CLEAN</v>
      </c>
      <c r="AE484" t="str">
        <f>IF(COUNTIF($AF$2:$AF$926,AF484)&gt;1,"DUPLICATE","UNIQUE")</f>
        <v>UNIQUE</v>
      </c>
      <c r="AF484" t="str">
        <f>A484&amp;"|"&amp;B484&amp;"|"&amp;H484&amp;"|"&amp;I484&amp;"|"&amp;R484&amp;"|"&amp;S484&amp;"|"&amp;V484</f>
        <v>ORD-2024-10483|2024-07-22|CUST-3583|Priya Menon|3|1286.22|2893.99</v>
      </c>
      <c r="AG484" t="str">
        <f>IF(COUNTIF($A$2:$A$913,A484)&gt;1,"TRUE","FALSE")</f>
        <v>FALSE</v>
      </c>
    </row>
    <row r="485" spans="1:33">
      <c r="A485" t="s">
        <v>1514</v>
      </c>
      <c r="B485" t="s">
        <v>2819</v>
      </c>
      <c r="C485" t="s">
        <v>2819</v>
      </c>
      <c r="D485">
        <f>IF(OR(B485="", C485=""), "", (C485 - B485))</f>
        <v>0</v>
      </c>
      <c r="E485" t="str">
        <f>IF(C485&lt;B485, "INVALID: Ship date before order date", "")</f>
        <v/>
      </c>
      <c r="F485" t="str">
        <f>IF(B485="", "", TEXT(B485, "mmmm"))</f>
        <v>December</v>
      </c>
      <c r="G485">
        <f>IF(B485="", "", YEAR(B485))</f>
        <v>2024</v>
      </c>
      <c r="H485" t="s">
        <v>1515</v>
      </c>
      <c r="I485" t="s">
        <v>35</v>
      </c>
      <c r="J485" t="s">
        <v>89</v>
      </c>
      <c r="K485" t="s">
        <v>37</v>
      </c>
      <c r="L485" t="s">
        <v>142</v>
      </c>
      <c r="M485" t="s">
        <v>143</v>
      </c>
      <c r="N485" t="s">
        <v>74</v>
      </c>
      <c r="O485" t="s">
        <v>79</v>
      </c>
      <c r="P485" t="s">
        <v>1516</v>
      </c>
      <c r="Q485" t="s">
        <v>58</v>
      </c>
      <c r="R485">
        <v>1</v>
      </c>
      <c r="S485" s="15">
        <v>829.66</v>
      </c>
      <c r="T485" s="4">
        <v>0.15</v>
      </c>
      <c r="U485" s="3" t="str">
        <f>IF(T485&lt;0, "negative_discount", IF(AND(T485&gt;0.5, T485&lt;=1), "high_discount", ""))</f>
        <v/>
      </c>
      <c r="V485" s="11">
        <v>705.21</v>
      </c>
      <c r="W485" s="12">
        <v>705.21</v>
      </c>
      <c r="X485" s="11">
        <v>438.32</v>
      </c>
      <c r="Y485" s="11">
        <v>266.89</v>
      </c>
      <c r="Z485" s="11">
        <f>ROUND(W485-X485,2)</f>
        <v>266.89</v>
      </c>
      <c r="AA485" s="4">
        <f>IF(W485=0,0,Z485/W485)</f>
        <v>0.3784546447157584</v>
      </c>
      <c r="AB485" t="s">
        <v>31</v>
      </c>
      <c r="AC485" t="s">
        <v>32</v>
      </c>
      <c r="AD485" t="str">
        <f>IF(AND(E485="", T485&gt;=0, T485&lt;=0.5, K485&lt;&gt;"Unknown", Q485&lt;&gt;"Unknown"), "CLEAN", _xlfn.CONCAT("WARNING: ", IF(E485&lt;&gt;"","invalid_date",""), IF(T485&lt;0,"negative_discount",""), IF(AND(T485&gt;0.5,T485&lt;=1),"high_discount",""), IF(K485="Unknown","missing_region",""), IF(Q485="Unknown","missing_ship_mode","")))</f>
        <v>CLEAN</v>
      </c>
      <c r="AE485" t="str">
        <f>IF(COUNTIF($AF$2:$AF$926,AF485)&gt;1,"DUPLICATE","UNIQUE")</f>
        <v>UNIQUE</v>
      </c>
      <c r="AF485" t="str">
        <f>A485&amp;"|"&amp;B485&amp;"|"&amp;H485&amp;"|"&amp;I485&amp;"|"&amp;R485&amp;"|"&amp;S485&amp;"|"&amp;V485</f>
        <v>ORD-2024-10484|2024-12-25|CUST-9432|Mira Das|1|829.66|705.21</v>
      </c>
      <c r="AG485" t="str">
        <f>IF(COUNTIF($A$2:$A$913,A485)&gt;1,"TRUE","FALSE")</f>
        <v>FALSE</v>
      </c>
    </row>
    <row r="486" spans="1:33">
      <c r="A486" t="s">
        <v>1517</v>
      </c>
      <c r="B486" t="s">
        <v>1518</v>
      </c>
      <c r="C486" t="s">
        <v>1147</v>
      </c>
      <c r="D486">
        <f>IF(OR(B486="", C486=""), "", (C486 - B486))</f>
        <v>3</v>
      </c>
      <c r="E486" t="str">
        <f>IF(C486&lt;B486, "INVALID: Ship date before order date", "")</f>
        <v/>
      </c>
      <c r="F486" t="str">
        <f>IF(B486="", "", TEXT(B486, "mmmm"))</f>
        <v>December</v>
      </c>
      <c r="G486">
        <f>IF(B486="", "", YEAR(B486))</f>
        <v>2024</v>
      </c>
      <c r="H486" t="s">
        <v>1519</v>
      </c>
      <c r="I486" t="s">
        <v>35</v>
      </c>
      <c r="J486" t="s">
        <v>36</v>
      </c>
      <c r="K486" t="s">
        <v>53</v>
      </c>
      <c r="L486" t="s">
        <v>83</v>
      </c>
      <c r="M486" t="s">
        <v>84</v>
      </c>
      <c r="N486" t="s">
        <v>40</v>
      </c>
      <c r="O486" t="s">
        <v>56</v>
      </c>
      <c r="P486" t="s">
        <v>1520</v>
      </c>
      <c r="Q486" t="s">
        <v>49</v>
      </c>
      <c r="R486">
        <v>6</v>
      </c>
      <c r="S486" s="15">
        <v>3641.22</v>
      </c>
      <c r="T486" s="4">
        <v>0.25</v>
      </c>
      <c r="U486" s="3" t="str">
        <f>IF(T486&lt;0, "negative_discount", IF(AND(T486&gt;0.5, T486&lt;=1), "high_discount", ""))</f>
        <v/>
      </c>
      <c r="V486" s="11">
        <v>16385.490000000002</v>
      </c>
      <c r="W486" s="12">
        <v>16385.490000000002</v>
      </c>
      <c r="X486" s="11">
        <v>13679.24</v>
      </c>
      <c r="Y486" s="11">
        <v>2706.25</v>
      </c>
      <c r="Z486" s="11">
        <f>ROUND(W486-X486,2)</f>
        <v>2706.25</v>
      </c>
      <c r="AA486" s="4">
        <f>IF(W486=0,0,Z486/W486)</f>
        <v>0.1651613714328958</v>
      </c>
      <c r="AB486" t="s">
        <v>31</v>
      </c>
      <c r="AC486" t="s">
        <v>32</v>
      </c>
      <c r="AD486" t="str">
        <f>IF(AND(E486="", T486&gt;=0, T486&lt;=0.5, K486&lt;&gt;"Unknown", Q486&lt;&gt;"Unknown"), "CLEAN", _xlfn.CONCAT("WARNING: ", IF(E486&lt;&gt;"","invalid_date",""), IF(T486&lt;0,"negative_discount",""), IF(AND(T486&gt;0.5,T486&lt;=1),"high_discount",""), IF(K486="Unknown","missing_region",""), IF(Q486="Unknown","missing_ship_mode","")))</f>
        <v>CLEAN</v>
      </c>
      <c r="AE486" t="str">
        <f>IF(COUNTIF($AF$2:$AF$926,AF486)&gt;1,"DUPLICATE","UNIQUE")</f>
        <v>UNIQUE</v>
      </c>
      <c r="AF486" t="str">
        <f>A486&amp;"|"&amp;B486&amp;"|"&amp;H486&amp;"|"&amp;I486&amp;"|"&amp;R486&amp;"|"&amp;S486&amp;"|"&amp;V486</f>
        <v>ORD-2024-10485|2024-12-28|CUST-1801|Mira Das|6|3641.22|16385.49</v>
      </c>
      <c r="AG486" t="str">
        <f>IF(COUNTIF($A$2:$A$913,A486)&gt;1,"TRUE","FALSE")</f>
        <v>FALSE</v>
      </c>
    </row>
    <row r="487" spans="1:33">
      <c r="A487" t="s">
        <v>3192</v>
      </c>
      <c r="B487" t="s">
        <v>1183</v>
      </c>
      <c r="C487" t="s">
        <v>2701</v>
      </c>
      <c r="D487">
        <f>IF(OR(B487="", C487=""), "", (C487 - B487))</f>
        <v>1</v>
      </c>
      <c r="E487" t="str">
        <f>IF(C487&lt;B487, "INVALID: Ship date before order date", "")</f>
        <v/>
      </c>
      <c r="F487" t="str">
        <f>IF(B487="", "", TEXT(B487, "mmmm"))</f>
        <v>January</v>
      </c>
      <c r="G487">
        <f>IF(B487="", "", YEAR(B487))</f>
        <v>2025</v>
      </c>
      <c r="H487" t="s">
        <v>1521</v>
      </c>
      <c r="I487" t="s">
        <v>116</v>
      </c>
      <c r="J487" t="s">
        <v>89</v>
      </c>
      <c r="K487" t="s">
        <v>62</v>
      </c>
      <c r="L487" t="s">
        <v>185</v>
      </c>
      <c r="M487" t="s">
        <v>186</v>
      </c>
      <c r="N487" t="s">
        <v>40</v>
      </c>
      <c r="O487" t="s">
        <v>153</v>
      </c>
      <c r="P487" t="s">
        <v>1522</v>
      </c>
      <c r="Q487" t="s">
        <v>58</v>
      </c>
      <c r="R487">
        <v>4</v>
      </c>
      <c r="S487" s="15">
        <v>2555.19</v>
      </c>
      <c r="T487" s="4">
        <v>0.25</v>
      </c>
      <c r="U487" s="3" t="str">
        <f>IF(T487&lt;0, "negative_discount", IF(AND(T487&gt;0.5, T487&lt;=1), "high_discount", ""))</f>
        <v/>
      </c>
      <c r="V487" s="11">
        <v>7665.57</v>
      </c>
      <c r="W487" s="12">
        <v>7665.57</v>
      </c>
      <c r="X487" s="11">
        <v>5595.6</v>
      </c>
      <c r="Y487" s="11">
        <v>2069.9699999999998</v>
      </c>
      <c r="Z487" s="11">
        <f>ROUND(W487-X487,2)</f>
        <v>2069.9699999999998</v>
      </c>
      <c r="AA487" s="4">
        <f>IF(W487=0,0,Z487/W487)</f>
        <v>0.27003471366121501</v>
      </c>
      <c r="AB487" t="s">
        <v>31</v>
      </c>
      <c r="AC487" t="s">
        <v>32</v>
      </c>
      <c r="AD487" t="str">
        <f>IF(AND(E487="", T487&gt;=0, T487&lt;=0.5, K487&lt;&gt;"Unknown", Q487&lt;&gt;"Unknown"), "CLEAN", _xlfn.CONCAT("WARNING: ", IF(E487&lt;&gt;"","invalid_date",""), IF(T487&lt;0,"negative_discount",""), IF(AND(T487&gt;0.5,T487&lt;=1),"high_discount",""), IF(K487="Unknown","missing_region",""), IF(Q487="Unknown","missing_ship_mode","")))</f>
        <v>CLEAN</v>
      </c>
      <c r="AE487" t="str">
        <f>IF(COUNTIF($AF$2:$AF$926,AF487)&gt;1,"DUPLICATE","UNIQUE")</f>
        <v>UNIQUE</v>
      </c>
      <c r="AF487" t="str">
        <f>A487&amp;"|"&amp;B487&amp;"|"&amp;H487&amp;"|"&amp;I487&amp;"|"&amp;R487&amp;"|"&amp;S487&amp;"|"&amp;V487</f>
        <v>ORD-2025-10486|2025-01-22|CUST-1594|Rahul Verma|4|2555.19|7665.57</v>
      </c>
      <c r="AG487" t="str">
        <f>IF(COUNTIF($A$2:$A$913,A487)&gt;1,"TRUE","FALSE")</f>
        <v>FALSE</v>
      </c>
    </row>
    <row r="488" spans="1:33">
      <c r="A488" t="s">
        <v>3193</v>
      </c>
      <c r="B488" t="s">
        <v>2393</v>
      </c>
      <c r="C488" t="s">
        <v>2942</v>
      </c>
      <c r="D488">
        <f>IF(OR(B488="", C488=""), "", (C488 - B488))</f>
        <v>4</v>
      </c>
      <c r="E488" t="str">
        <f>IF(C488&lt;B488, "INVALID: Ship date before order date", "")</f>
        <v/>
      </c>
      <c r="F488" t="str">
        <f>IF(B488="", "", TEXT(B488, "mmmm"))</f>
        <v>June</v>
      </c>
      <c r="G488">
        <f>IF(B488="", "", YEAR(B488))</f>
        <v>2025</v>
      </c>
      <c r="H488" t="s">
        <v>1523</v>
      </c>
      <c r="I488" t="s">
        <v>116</v>
      </c>
      <c r="J488" t="s">
        <v>89</v>
      </c>
      <c r="K488" t="s">
        <v>62</v>
      </c>
      <c r="L488" t="s">
        <v>185</v>
      </c>
      <c r="M488" t="s">
        <v>186</v>
      </c>
      <c r="N488" t="s">
        <v>40</v>
      </c>
      <c r="O488" t="s">
        <v>41</v>
      </c>
      <c r="P488" t="s">
        <v>1524</v>
      </c>
      <c r="Q488" t="s">
        <v>58</v>
      </c>
      <c r="R488">
        <v>3</v>
      </c>
      <c r="S488" s="15">
        <v>1946.18</v>
      </c>
      <c r="T488" s="4">
        <v>0.2</v>
      </c>
      <c r="U488" s="3" t="str">
        <f>IF(T488&lt;0, "negative_discount", IF(AND(T488&gt;0.5, T488&lt;=1), "high_discount", ""))</f>
        <v/>
      </c>
      <c r="V488" s="11">
        <v>4670.83</v>
      </c>
      <c r="W488" s="12">
        <v>4670.83</v>
      </c>
      <c r="X488" s="11">
        <v>3166.49</v>
      </c>
      <c r="Y488" s="11">
        <v>1504.34</v>
      </c>
      <c r="Z488" s="11">
        <f>ROUND(W488-X488,2)</f>
        <v>1504.34</v>
      </c>
      <c r="AA488" s="4">
        <f>IF(W488=0,0,Z488/W488)</f>
        <v>0.32207123787421077</v>
      </c>
      <c r="AB488" t="s">
        <v>31</v>
      </c>
      <c r="AC488" t="s">
        <v>32</v>
      </c>
      <c r="AD488" t="str">
        <f>IF(AND(E488="", T488&gt;=0, T488&lt;=0.5, K488&lt;&gt;"Unknown", Q488&lt;&gt;"Unknown"), "CLEAN", _xlfn.CONCAT("WARNING: ", IF(E488&lt;&gt;"","invalid_date",""), IF(T488&lt;0,"negative_discount",""), IF(AND(T488&gt;0.5,T488&lt;=1),"high_discount",""), IF(K488="Unknown","missing_region",""), IF(Q488="Unknown","missing_ship_mode","")))</f>
        <v>CLEAN</v>
      </c>
      <c r="AE488" t="str">
        <f>IF(COUNTIF($AF$2:$AF$926,AF488)&gt;1,"DUPLICATE","UNIQUE")</f>
        <v>UNIQUE</v>
      </c>
      <c r="AF488" t="str">
        <f>A488&amp;"|"&amp;B488&amp;"|"&amp;H488&amp;"|"&amp;I488&amp;"|"&amp;R488&amp;"|"&amp;S488&amp;"|"&amp;V488</f>
        <v>ORD-2025-10487|2025-06-22|CUST-8132|Rahul Verma|3|1946.18|4670.83</v>
      </c>
      <c r="AG488" t="str">
        <f>IF(COUNTIF($A$2:$A$913,A488)&gt;1,"TRUE","FALSE")</f>
        <v>FALSE</v>
      </c>
    </row>
    <row r="489" spans="1:33">
      <c r="A489" t="s">
        <v>3194</v>
      </c>
      <c r="B489" t="s">
        <v>796</v>
      </c>
      <c r="C489" t="s">
        <v>2943</v>
      </c>
      <c r="D489">
        <f>IF(OR(B489="", C489=""), "", (C489 - B489))</f>
        <v>7</v>
      </c>
      <c r="E489" t="str">
        <f>IF(C489&lt;B489, "INVALID: Ship date before order date", "")</f>
        <v/>
      </c>
      <c r="F489" t="str">
        <f>IF(B489="", "", TEXT(B489, "mmmm"))</f>
        <v>June</v>
      </c>
      <c r="G489">
        <f>IF(B489="", "", YEAR(B489))</f>
        <v>2025</v>
      </c>
      <c r="H489" t="s">
        <v>1525</v>
      </c>
      <c r="I489" t="s">
        <v>116</v>
      </c>
      <c r="J489" t="s">
        <v>89</v>
      </c>
      <c r="K489" t="s">
        <v>53</v>
      </c>
      <c r="L489" t="s">
        <v>54</v>
      </c>
      <c r="M489" t="s">
        <v>55</v>
      </c>
      <c r="N489" t="s">
        <v>40</v>
      </c>
      <c r="O489" t="s">
        <v>56</v>
      </c>
      <c r="P489" t="s">
        <v>1526</v>
      </c>
      <c r="Q489" t="s">
        <v>58</v>
      </c>
      <c r="R489">
        <v>5</v>
      </c>
      <c r="S489" s="15">
        <v>1231.0999999999999</v>
      </c>
      <c r="T489" s="4">
        <v>0</v>
      </c>
      <c r="U489" s="3" t="str">
        <f>IF(T489&lt;0, "negative_discount", IF(AND(T489&gt;0.5, T489&lt;=1), "high_discount", ""))</f>
        <v/>
      </c>
      <c r="V489" s="11">
        <v>6155.5</v>
      </c>
      <c r="W489" s="12">
        <v>6155.5</v>
      </c>
      <c r="X489" s="11">
        <v>4282.09</v>
      </c>
      <c r="Y489" s="11">
        <v>1873.41</v>
      </c>
      <c r="Z489" s="11">
        <f>ROUND(W489-X489,2)</f>
        <v>1873.41</v>
      </c>
      <c r="AA489" s="4">
        <f>IF(W489=0,0,Z489/W489)</f>
        <v>0.30434733165461786</v>
      </c>
      <c r="AB489" t="s">
        <v>99</v>
      </c>
      <c r="AC489" t="s">
        <v>100</v>
      </c>
      <c r="AD489" t="str">
        <f>IF(AND(E489="", T489&gt;=0, T489&lt;=0.5, K489&lt;&gt;"Unknown", Q489&lt;&gt;"Unknown"), "CLEAN", _xlfn.CONCAT("WARNING: ", IF(E489&lt;&gt;"","invalid_date",""), IF(T489&lt;0,"negative_discount",""), IF(AND(T489&gt;0.5,T489&lt;=1),"high_discount",""), IF(K489="Unknown","missing_region",""), IF(Q489="Unknown","missing_ship_mode","")))</f>
        <v>CLEAN</v>
      </c>
      <c r="AE489" t="str">
        <f>IF(COUNTIF($AF$2:$AF$926,AF489)&gt;1,"DUPLICATE","UNIQUE")</f>
        <v>UNIQUE</v>
      </c>
      <c r="AF489" t="str">
        <f>A489&amp;"|"&amp;B489&amp;"|"&amp;H489&amp;"|"&amp;I489&amp;"|"&amp;R489&amp;"|"&amp;S489&amp;"|"&amp;V489</f>
        <v>ORD-2025-10488|2025-06-10|CUST-7685|Rahul Verma|5|1231.1|6155.5</v>
      </c>
      <c r="AG489" t="str">
        <f>IF(COUNTIF($A$2:$A$913,A489)&gt;1,"TRUE","FALSE")</f>
        <v>FALSE</v>
      </c>
    </row>
    <row r="490" spans="1:33">
      <c r="A490" t="s">
        <v>1527</v>
      </c>
      <c r="B490" t="s">
        <v>2749</v>
      </c>
      <c r="C490" t="s">
        <v>1528</v>
      </c>
      <c r="D490">
        <f>IF(OR(B490="", C490=""), "", (C490 - B490))</f>
        <v>6</v>
      </c>
      <c r="E490" t="str">
        <f>IF(C490&lt;B490, "INVALID: Ship date before order date", "")</f>
        <v/>
      </c>
      <c r="F490" t="str">
        <f>IF(B490="", "", TEXT(B490, "mmmm"))</f>
        <v>October</v>
      </c>
      <c r="G490">
        <f>IF(B490="", "", YEAR(B490))</f>
        <v>2024</v>
      </c>
      <c r="H490" t="s">
        <v>1529</v>
      </c>
      <c r="I490" t="s">
        <v>88</v>
      </c>
      <c r="J490" t="s">
        <v>36</v>
      </c>
      <c r="K490" t="s">
        <v>24</v>
      </c>
      <c r="L490" t="s">
        <v>25</v>
      </c>
      <c r="M490" t="s">
        <v>26</v>
      </c>
      <c r="N490" t="s">
        <v>40</v>
      </c>
      <c r="O490" t="s">
        <v>41</v>
      </c>
      <c r="P490" t="s">
        <v>1530</v>
      </c>
      <c r="Q490" t="s">
        <v>43</v>
      </c>
      <c r="R490">
        <v>7</v>
      </c>
      <c r="S490" s="15">
        <v>1547.6</v>
      </c>
      <c r="T490" s="4">
        <v>0.2</v>
      </c>
      <c r="U490" s="3" t="str">
        <f>IF(T490&lt;0, "negative_discount", IF(AND(T490&gt;0.5, T490&lt;=1), "high_discount", ""))</f>
        <v/>
      </c>
      <c r="V490" s="11">
        <v>8666.56</v>
      </c>
      <c r="W490" s="12">
        <v>8666.56</v>
      </c>
      <c r="X490" s="11">
        <v>5967.44</v>
      </c>
      <c r="Y490" s="11">
        <v>2699.12</v>
      </c>
      <c r="Z490" s="11">
        <f>ROUND(W490-X490,2)</f>
        <v>2699.12</v>
      </c>
      <c r="AA490" s="4">
        <f>IF(W490=0,0,Z490/W490)</f>
        <v>0.31144075619392242</v>
      </c>
      <c r="AB490" t="s">
        <v>31</v>
      </c>
      <c r="AC490" t="s">
        <v>32</v>
      </c>
      <c r="AD490" t="str">
        <f>IF(AND(E490="", T490&gt;=0, T490&lt;=0.5, K490&lt;&gt;"Unknown", Q490&lt;&gt;"Unknown"), "CLEAN", _xlfn.CONCAT("WARNING: ", IF(E490&lt;&gt;"","invalid_date",""), IF(T490&lt;0,"negative_discount",""), IF(AND(T490&gt;0.5,T490&lt;=1),"high_discount",""), IF(K490="Unknown","missing_region",""), IF(Q490="Unknown","missing_ship_mode","")))</f>
        <v>CLEAN</v>
      </c>
      <c r="AE490" t="str">
        <f>IF(COUNTIF($AF$2:$AF$926,AF490)&gt;1,"DUPLICATE","UNIQUE")</f>
        <v>UNIQUE</v>
      </c>
      <c r="AF490" t="str">
        <f>A490&amp;"|"&amp;B490&amp;"|"&amp;H490&amp;"|"&amp;I490&amp;"|"&amp;R490&amp;"|"&amp;S490&amp;"|"&amp;V490</f>
        <v>ORD-2024-10489|2024-10-14|CUST-2183|Aditi Sen|7|1547.6|8666.56</v>
      </c>
      <c r="AG490" t="str">
        <f>IF(COUNTIF($A$2:$A$913,A490)&gt;1,"TRUE","FALSE")</f>
        <v>FALSE</v>
      </c>
    </row>
    <row r="491" spans="1:33">
      <c r="A491" t="s">
        <v>1531</v>
      </c>
      <c r="B491" t="s">
        <v>278</v>
      </c>
      <c r="C491" t="s">
        <v>1532</v>
      </c>
      <c r="D491">
        <f>IF(OR(B491="", C491=""), "", (C491 - B491))</f>
        <v>5</v>
      </c>
      <c r="E491" t="str">
        <f>IF(C491&lt;B491, "INVALID: Ship date before order date", "")</f>
        <v/>
      </c>
      <c r="F491" t="str">
        <f>IF(B491="", "", TEXT(B491, "mmmm"))</f>
        <v>February</v>
      </c>
      <c r="G491">
        <f>IF(B491="", "", YEAR(B491))</f>
        <v>2024</v>
      </c>
      <c r="H491" t="s">
        <v>1533</v>
      </c>
      <c r="I491" t="s">
        <v>52</v>
      </c>
      <c r="J491" t="s">
        <v>93</v>
      </c>
      <c r="K491" t="s">
        <v>37</v>
      </c>
      <c r="L491" t="s">
        <v>96</v>
      </c>
      <c r="M491" t="s">
        <v>97</v>
      </c>
      <c r="N491" t="s">
        <v>74</v>
      </c>
      <c r="O491" t="s">
        <v>75</v>
      </c>
      <c r="P491" t="s">
        <v>1534</v>
      </c>
      <c r="Q491" t="s">
        <v>30</v>
      </c>
      <c r="R491">
        <v>1</v>
      </c>
      <c r="S491" s="15">
        <v>452.19</v>
      </c>
      <c r="T491" s="4">
        <v>0.2</v>
      </c>
      <c r="U491" s="3" t="str">
        <f>IF(T491&lt;0, "negative_discount", IF(AND(T491&gt;0.5, T491&lt;=1), "high_discount", ""))</f>
        <v/>
      </c>
      <c r="V491" s="11">
        <v>361.75</v>
      </c>
      <c r="W491" s="12">
        <v>361.75</v>
      </c>
      <c r="X491" s="11">
        <v>262.52999999999997</v>
      </c>
      <c r="Y491" s="11">
        <v>99.22</v>
      </c>
      <c r="Z491" s="11">
        <f>ROUND(W491-X491,2)</f>
        <v>99.22</v>
      </c>
      <c r="AA491" s="4">
        <f>IF(W491=0,0,Z491/W491)</f>
        <v>0.27427781617138908</v>
      </c>
      <c r="AB491" t="s">
        <v>31</v>
      </c>
      <c r="AC491" t="s">
        <v>32</v>
      </c>
      <c r="AD491" t="str">
        <f>IF(AND(E491="", T491&gt;=0, T491&lt;=0.5, K491&lt;&gt;"Unknown", Q491&lt;&gt;"Unknown"), "CLEAN", _xlfn.CONCAT("WARNING: ", IF(E491&lt;&gt;"","invalid_date",""), IF(T491&lt;0,"negative_discount",""), IF(AND(T491&gt;0.5,T491&lt;=1),"high_discount",""), IF(K491="Unknown","missing_region",""), IF(Q491="Unknown","missing_ship_mode","")))</f>
        <v>CLEAN</v>
      </c>
      <c r="AE491" t="str">
        <f>IF(COUNTIF($AF$2:$AF$926,AF491)&gt;1,"DUPLICATE","UNIQUE")</f>
        <v>UNIQUE</v>
      </c>
      <c r="AF491" t="str">
        <f>A491&amp;"|"&amp;B491&amp;"|"&amp;H491&amp;"|"&amp;I491&amp;"|"&amp;R491&amp;"|"&amp;S491&amp;"|"&amp;V491</f>
        <v>ORD-2024-10490|2024-02-07|CUST-1636|Arjun Bose|1|452.19|361.75</v>
      </c>
      <c r="AG491" t="str">
        <f>IF(COUNTIF($A$2:$A$913,A491)&gt;1,"TRUE","FALSE")</f>
        <v>FALSE</v>
      </c>
    </row>
    <row r="492" spans="1:33">
      <c r="A492" t="s">
        <v>1535</v>
      </c>
      <c r="B492" t="s">
        <v>1536</v>
      </c>
      <c r="C492" t="s">
        <v>1851</v>
      </c>
      <c r="D492">
        <f>IF(OR(B492="", C492=""), "", (C492 - B492))</f>
        <v>3</v>
      </c>
      <c r="E492" t="str">
        <f>IF(C492&lt;B492, "INVALID: Ship date before order date", "")</f>
        <v/>
      </c>
      <c r="F492" t="str">
        <f>IF(B492="", "", TEXT(B492, "mmmm"))</f>
        <v>September</v>
      </c>
      <c r="G492">
        <f>IF(B492="", "", YEAR(B492))</f>
        <v>2024</v>
      </c>
      <c r="H492" t="s">
        <v>1537</v>
      </c>
      <c r="I492" t="s">
        <v>88</v>
      </c>
      <c r="J492" t="s">
        <v>23</v>
      </c>
      <c r="K492" t="s">
        <v>62</v>
      </c>
      <c r="L492" t="s">
        <v>25</v>
      </c>
      <c r="M492" t="s">
        <v>107</v>
      </c>
      <c r="N492" t="s">
        <v>27</v>
      </c>
      <c r="O492" t="s">
        <v>149</v>
      </c>
      <c r="P492" t="s">
        <v>1538</v>
      </c>
      <c r="Q492" t="s">
        <v>49</v>
      </c>
      <c r="R492">
        <v>7</v>
      </c>
      <c r="S492" s="15">
        <v>406.42</v>
      </c>
      <c r="T492" s="4">
        <v>0.15</v>
      </c>
      <c r="U492" s="3" t="str">
        <f>IF(T492&lt;0, "negative_discount", IF(AND(T492&gt;0.5, T492&lt;=1), "high_discount", ""))</f>
        <v/>
      </c>
      <c r="V492" s="11">
        <v>2418.1999999999998</v>
      </c>
      <c r="W492" s="12">
        <v>2418.1999999999998</v>
      </c>
      <c r="X492" s="11">
        <v>1613.82</v>
      </c>
      <c r="Y492" s="11">
        <v>804.38</v>
      </c>
      <c r="Z492" s="11">
        <f>ROUND(W492-X492,2)</f>
        <v>804.38</v>
      </c>
      <c r="AA492" s="4">
        <f>IF(W492=0,0,Z492/W492)</f>
        <v>0.33263584484327186</v>
      </c>
      <c r="AB492" t="s">
        <v>31</v>
      </c>
      <c r="AC492" t="s">
        <v>32</v>
      </c>
      <c r="AD492" t="str">
        <f>IF(AND(E492="", T492&gt;=0, T492&lt;=0.5, K492&lt;&gt;"Unknown", Q492&lt;&gt;"Unknown"), "CLEAN", _xlfn.CONCAT("WARNING: ", IF(E492&lt;&gt;"","invalid_date",""), IF(T492&lt;0,"negative_discount",""), IF(AND(T492&gt;0.5,T492&lt;=1),"high_discount",""), IF(K492="Unknown","missing_region",""), IF(Q492="Unknown","missing_ship_mode","")))</f>
        <v>CLEAN</v>
      </c>
      <c r="AE492" t="str">
        <f>IF(COUNTIF($AF$2:$AF$926,AF492)&gt;1,"DUPLICATE","UNIQUE")</f>
        <v>UNIQUE</v>
      </c>
      <c r="AF492" t="str">
        <f>A492&amp;"|"&amp;B492&amp;"|"&amp;H492&amp;"|"&amp;I492&amp;"|"&amp;R492&amp;"|"&amp;S492&amp;"|"&amp;V492</f>
        <v>ORD-2024-10491|2024-09-16|CUST-1350|Aditi Sen|7|406.42|2418.2</v>
      </c>
      <c r="AG492" t="str">
        <f>IF(COUNTIF($A$2:$A$913,A492)&gt;1,"TRUE","FALSE")</f>
        <v>FALSE</v>
      </c>
    </row>
    <row r="493" spans="1:33">
      <c r="A493" t="s">
        <v>3195</v>
      </c>
      <c r="B493" t="s">
        <v>1274</v>
      </c>
      <c r="C493" t="s">
        <v>2824</v>
      </c>
      <c r="D493">
        <f>IF(OR(B493="", C493=""), "", (C493 - B493))</f>
        <v>1</v>
      </c>
      <c r="E493" t="str">
        <f>IF(C493&lt;B493, "INVALID: Ship date before order date", "")</f>
        <v/>
      </c>
      <c r="F493" t="str">
        <f>IF(B493="", "", TEXT(B493, "mmmm"))</f>
        <v>April</v>
      </c>
      <c r="G493">
        <f>IF(B493="", "", YEAR(B493))</f>
        <v>2025</v>
      </c>
      <c r="H493" t="s">
        <v>1539</v>
      </c>
      <c r="I493" t="s">
        <v>35</v>
      </c>
      <c r="J493" t="s">
        <v>89</v>
      </c>
      <c r="K493" t="s">
        <v>53</v>
      </c>
      <c r="L493" t="s">
        <v>180</v>
      </c>
      <c r="M493" t="s">
        <v>181</v>
      </c>
      <c r="N493" t="s">
        <v>74</v>
      </c>
      <c r="O493" t="s">
        <v>75</v>
      </c>
      <c r="P493" t="s">
        <v>1540</v>
      </c>
      <c r="Q493" t="s">
        <v>58</v>
      </c>
      <c r="R493">
        <v>4</v>
      </c>
      <c r="S493" s="15">
        <v>606.58000000000004</v>
      </c>
      <c r="T493" s="4">
        <v>0.2</v>
      </c>
      <c r="U493" s="3" t="str">
        <f>IF(T493&lt;0, "negative_discount", IF(AND(T493&gt;0.5, T493&lt;=1), "high_discount", ""))</f>
        <v/>
      </c>
      <c r="V493" s="11">
        <v>1941.06</v>
      </c>
      <c r="W493" s="12">
        <v>1941.06</v>
      </c>
      <c r="X493" s="11">
        <v>1207.42</v>
      </c>
      <c r="Y493" s="11">
        <v>733.64</v>
      </c>
      <c r="Z493" s="11">
        <f>ROUND(W493-X493,2)</f>
        <v>733.64</v>
      </c>
      <c r="AA493" s="4">
        <f>IF(W493=0,0,Z493/W493)</f>
        <v>0.3779584350818625</v>
      </c>
      <c r="AB493" t="s">
        <v>31</v>
      </c>
      <c r="AC493" t="s">
        <v>32</v>
      </c>
      <c r="AD493" t="str">
        <f>IF(AND(E493="", T493&gt;=0, T493&lt;=0.5, K493&lt;&gt;"Unknown", Q493&lt;&gt;"Unknown"), "CLEAN", _xlfn.CONCAT("WARNING: ", IF(E493&lt;&gt;"","invalid_date",""), IF(T493&lt;0,"negative_discount",""), IF(AND(T493&gt;0.5,T493&lt;=1),"high_discount",""), IF(K493="Unknown","missing_region",""), IF(Q493="Unknown","missing_ship_mode","")))</f>
        <v>CLEAN</v>
      </c>
      <c r="AE493" t="str">
        <f>IF(COUNTIF($AF$2:$AF$926,AF493)&gt;1,"DUPLICATE","UNIQUE")</f>
        <v>UNIQUE</v>
      </c>
      <c r="AF493" t="str">
        <f>A493&amp;"|"&amp;B493&amp;"|"&amp;H493&amp;"|"&amp;I493&amp;"|"&amp;R493&amp;"|"&amp;S493&amp;"|"&amp;V493</f>
        <v>ORD-2025-10492|2025-04-29|CUST-4101|Mira Das|4|606.58|1941.06</v>
      </c>
      <c r="AG493" t="str">
        <f>IF(COUNTIF($A$2:$A$913,A493)&gt;1,"TRUE","FALSE")</f>
        <v>FALSE</v>
      </c>
    </row>
    <row r="494" spans="1:33">
      <c r="A494" t="s">
        <v>3196</v>
      </c>
      <c r="B494" t="s">
        <v>785</v>
      </c>
      <c r="C494" t="s">
        <v>2810</v>
      </c>
      <c r="D494">
        <f>IF(OR(B494="", C494=""), "", (C494 - B494))</f>
        <v>4</v>
      </c>
      <c r="E494" t="str">
        <f>IF(C494&lt;B494, "INVALID: Ship date before order date", "")</f>
        <v/>
      </c>
      <c r="F494" t="str">
        <f>IF(B494="", "", TEXT(B494, "mmmm"))</f>
        <v>June</v>
      </c>
      <c r="G494">
        <f>IF(B494="", "", YEAR(B494))</f>
        <v>2025</v>
      </c>
      <c r="H494" t="s">
        <v>1541</v>
      </c>
      <c r="I494" t="s">
        <v>61</v>
      </c>
      <c r="J494" t="s">
        <v>89</v>
      </c>
      <c r="K494" t="s">
        <v>53</v>
      </c>
      <c r="L494" t="s">
        <v>83</v>
      </c>
      <c r="M494" t="s">
        <v>84</v>
      </c>
      <c r="N494" t="s">
        <v>27</v>
      </c>
      <c r="O494" t="s">
        <v>122</v>
      </c>
      <c r="P494" t="s">
        <v>1542</v>
      </c>
      <c r="Q494" t="s">
        <v>30</v>
      </c>
      <c r="R494">
        <v>2</v>
      </c>
      <c r="S494" s="15">
        <v>2725.44</v>
      </c>
      <c r="T494" s="4">
        <v>0.25</v>
      </c>
      <c r="U494" s="3" t="str">
        <f>IF(T494&lt;0, "negative_discount", IF(AND(T494&gt;0.5, T494&lt;=1), "high_discount", ""))</f>
        <v/>
      </c>
      <c r="V494" s="11">
        <v>4088.16</v>
      </c>
      <c r="W494" s="12">
        <v>4088.16</v>
      </c>
      <c r="X494" s="11">
        <v>3205.68</v>
      </c>
      <c r="Y494" s="11">
        <v>882.48</v>
      </c>
      <c r="Z494" s="11">
        <f>ROUND(W494-X494,2)</f>
        <v>882.48</v>
      </c>
      <c r="AA494" s="4">
        <f>IF(W494=0,0,Z494/W494)</f>
        <v>0.21586239286133616</v>
      </c>
      <c r="AB494" t="s">
        <v>31</v>
      </c>
      <c r="AC494" t="s">
        <v>32</v>
      </c>
      <c r="AD494" t="str">
        <f>IF(AND(E494="", T494&gt;=0, T494&lt;=0.5, K494&lt;&gt;"Unknown", Q494&lt;&gt;"Unknown"), "CLEAN", _xlfn.CONCAT("WARNING: ", IF(E494&lt;&gt;"","invalid_date",""), IF(T494&lt;0,"negative_discount",""), IF(AND(T494&gt;0.5,T494&lt;=1),"high_discount",""), IF(K494="Unknown","missing_region",""), IF(Q494="Unknown","missing_ship_mode","")))</f>
        <v>CLEAN</v>
      </c>
      <c r="AE494" t="str">
        <f>IF(COUNTIF($AF$2:$AF$926,AF494)&gt;1,"DUPLICATE","UNIQUE")</f>
        <v>UNIQUE</v>
      </c>
      <c r="AF494" t="str">
        <f>A494&amp;"|"&amp;B494&amp;"|"&amp;H494&amp;"|"&amp;I494&amp;"|"&amp;R494&amp;"|"&amp;S494&amp;"|"&amp;V494</f>
        <v>ORD-2025-10493|2025-06-28|CUST-4679|Ananya Rao|2|2725.44|4088.16</v>
      </c>
      <c r="AG494" t="str">
        <f>IF(COUNTIF($A$2:$A$913,A494)&gt;1,"TRUE","FALSE")</f>
        <v>FALSE</v>
      </c>
    </row>
    <row r="495" spans="1:33">
      <c r="A495" t="s">
        <v>3197</v>
      </c>
      <c r="B495" t="s">
        <v>1543</v>
      </c>
      <c r="C495" t="s">
        <v>1543</v>
      </c>
      <c r="D495">
        <f>IF(OR(B495="", C495=""), "", (C495 - B495))</f>
        <v>0</v>
      </c>
      <c r="E495" t="str">
        <f>IF(C495&lt;B495, "INVALID: Ship date before order date", "")</f>
        <v/>
      </c>
      <c r="F495" t="str">
        <f>IF(B495="", "", TEXT(B495, "mmmm"))</f>
        <v>February</v>
      </c>
      <c r="G495">
        <f>IF(B495="", "", YEAR(B495))</f>
        <v>2025</v>
      </c>
      <c r="H495" t="s">
        <v>1544</v>
      </c>
      <c r="I495" t="s">
        <v>263</v>
      </c>
      <c r="J495" t="s">
        <v>89</v>
      </c>
      <c r="K495" t="s">
        <v>37</v>
      </c>
      <c r="L495" t="s">
        <v>38</v>
      </c>
      <c r="M495" t="s">
        <v>39</v>
      </c>
      <c r="N495" t="s">
        <v>27</v>
      </c>
      <c r="O495" t="s">
        <v>28</v>
      </c>
      <c r="P495" t="s">
        <v>1545</v>
      </c>
      <c r="Q495" t="s">
        <v>30</v>
      </c>
      <c r="R495">
        <v>7</v>
      </c>
      <c r="S495" s="15">
        <v>2296.6999999999998</v>
      </c>
      <c r="T495" s="4">
        <v>0.05</v>
      </c>
      <c r="U495" s="3" t="str">
        <f>IF(T495&lt;0, "negative_discount", IF(AND(T495&gt;0.5, T495&lt;=1), "high_discount", ""))</f>
        <v/>
      </c>
      <c r="V495" s="11">
        <v>15273.05</v>
      </c>
      <c r="W495" s="12">
        <v>15273.06</v>
      </c>
      <c r="X495" s="11">
        <v>11088.76</v>
      </c>
      <c r="Y495" s="11">
        <v>4184.29</v>
      </c>
      <c r="Z495" s="11">
        <f>ROUND(W495-X495,2)</f>
        <v>4184.3</v>
      </c>
      <c r="AA495" s="4">
        <f>IF(W495=0,0,Z495/W495)</f>
        <v>0.27396605526331985</v>
      </c>
      <c r="AB495" t="s">
        <v>31</v>
      </c>
      <c r="AC495" t="s">
        <v>32</v>
      </c>
      <c r="AD495" t="str">
        <f>IF(AND(E495="", T495&gt;=0, T495&lt;=0.5, K495&lt;&gt;"Unknown", Q495&lt;&gt;"Unknown"), "CLEAN", _xlfn.CONCAT("WARNING: ", IF(E495&lt;&gt;"","invalid_date",""), IF(T495&lt;0,"negative_discount",""), IF(AND(T495&gt;0.5,T495&lt;=1),"high_discount",""), IF(K495="Unknown","missing_region",""), IF(Q495="Unknown","missing_ship_mode","")))</f>
        <v>CLEAN</v>
      </c>
      <c r="AE495" t="str">
        <f>IF(COUNTIF($AF$2:$AF$926,AF495)&gt;1,"DUPLICATE","UNIQUE")</f>
        <v>UNIQUE</v>
      </c>
      <c r="AF495" t="str">
        <f>A495&amp;"|"&amp;B495&amp;"|"&amp;H495&amp;"|"&amp;I495&amp;"|"&amp;R495&amp;"|"&amp;S495&amp;"|"&amp;V495</f>
        <v>ORD-2025-10494|2025-02-13|CUST-3765|Kabir Singh|7|2296.7|15273.05</v>
      </c>
      <c r="AG495" t="str">
        <f>IF(COUNTIF($A$2:$A$913,A495)&gt;1,"TRUE","FALSE")</f>
        <v>FALSE</v>
      </c>
    </row>
    <row r="496" spans="1:33">
      <c r="A496" t="s">
        <v>1546</v>
      </c>
      <c r="B496" t="s">
        <v>1547</v>
      </c>
      <c r="C496" t="s">
        <v>1548</v>
      </c>
      <c r="D496">
        <f>IF(OR(B496="", C496=""), "", (C496 - B496))</f>
        <v>8</v>
      </c>
      <c r="E496" t="str">
        <f>IF(C496&lt;B496, "INVALID: Ship date before order date", "")</f>
        <v/>
      </c>
      <c r="F496" t="str">
        <f>IF(B496="", "", TEXT(B496, "mmmm"))</f>
        <v>November</v>
      </c>
      <c r="G496">
        <f>IF(B496="", "", YEAR(B496))</f>
        <v>2024</v>
      </c>
      <c r="H496" t="s">
        <v>1549</v>
      </c>
      <c r="I496" t="s">
        <v>46</v>
      </c>
      <c r="J496" t="s">
        <v>23</v>
      </c>
      <c r="K496" t="s">
        <v>62</v>
      </c>
      <c r="L496" t="s">
        <v>72</v>
      </c>
      <c r="M496" t="s">
        <v>73</v>
      </c>
      <c r="N496" t="s">
        <v>74</v>
      </c>
      <c r="O496" t="s">
        <v>168</v>
      </c>
      <c r="P496" t="s">
        <v>1550</v>
      </c>
      <c r="Q496" t="s">
        <v>58</v>
      </c>
      <c r="R496">
        <v>3</v>
      </c>
      <c r="S496" s="15">
        <v>671.68</v>
      </c>
      <c r="T496" s="4">
        <v>-0.13</v>
      </c>
      <c r="U496" s="3" t="str">
        <f>IF(T496&lt;0, "negative_discount", IF(AND(T496&gt;0.5, T496&lt;=1), "high_discount", ""))</f>
        <v>negative_discount</v>
      </c>
      <c r="V496" s="11">
        <v>1712.78</v>
      </c>
      <c r="W496" s="12">
        <v>2277</v>
      </c>
      <c r="X496" s="11">
        <v>1569.38</v>
      </c>
      <c r="Y496" s="11">
        <v>360.66</v>
      </c>
      <c r="Z496" s="11">
        <f>ROUND(W496-X496,2)</f>
        <v>707.62</v>
      </c>
      <c r="AA496" s="4">
        <f>IF(W496=0,0,Z496/W496)</f>
        <v>0.31076855511638118</v>
      </c>
      <c r="AB496" t="s">
        <v>151</v>
      </c>
      <c r="AC496" t="s">
        <v>67</v>
      </c>
      <c r="AD496" t="str">
        <f>IF(AND(E496="", T496&gt;=0, T496&lt;=0.5, K496&lt;&gt;"Unknown", Q496&lt;&gt;"Unknown"), "CLEAN", _xlfn.CONCAT("WARNING: ", IF(E496&lt;&gt;"","invalid_date",""), IF(T496&lt;0,"negative_discount",""), IF(AND(T496&gt;0.5,T496&lt;=1),"high_discount",""), IF(K496="Unknown","missing_region",""), IF(Q496="Unknown","missing_ship_mode","")))</f>
        <v>WARNING: negative_discount</v>
      </c>
      <c r="AE496" t="str">
        <f>IF(COUNTIF($AF$2:$AF$926,AF496)&gt;1,"DUPLICATE","UNIQUE")</f>
        <v>UNIQUE</v>
      </c>
      <c r="AF496" t="str">
        <f>A496&amp;"|"&amp;B496&amp;"|"&amp;H496&amp;"|"&amp;I496&amp;"|"&amp;R496&amp;"|"&amp;S496&amp;"|"&amp;V496</f>
        <v>ORD-2024-10495|2024-11-14|CUST-9056|Isha Nair|3|671.68|1712.78</v>
      </c>
      <c r="AG496" t="str">
        <f>IF(COUNTIF($A$2:$A$913,A496)&gt;1,"TRUE","FALSE")</f>
        <v>FALSE</v>
      </c>
    </row>
    <row r="497" spans="1:33">
      <c r="A497" t="s">
        <v>1551</v>
      </c>
      <c r="B497" t="s">
        <v>1151</v>
      </c>
      <c r="C497" t="s">
        <v>2740</v>
      </c>
      <c r="D497">
        <f>IF(OR(B497="", C497=""), "", (C497 - B497))</f>
        <v>6</v>
      </c>
      <c r="E497" t="str">
        <f>IF(C497&lt;B497, "INVALID: Ship date before order date", "")</f>
        <v/>
      </c>
      <c r="F497" t="str">
        <f>IF(B497="", "", TEXT(B497, "mmmm"))</f>
        <v>May</v>
      </c>
      <c r="G497">
        <f>IF(B497="", "", YEAR(B497))</f>
        <v>2024</v>
      </c>
      <c r="H497" t="s">
        <v>1552</v>
      </c>
      <c r="I497" t="s">
        <v>35</v>
      </c>
      <c r="J497" t="s">
        <v>36</v>
      </c>
      <c r="K497" t="s">
        <v>37</v>
      </c>
      <c r="L497" t="s">
        <v>163</v>
      </c>
      <c r="M497" t="s">
        <v>164</v>
      </c>
      <c r="N497" t="s">
        <v>74</v>
      </c>
      <c r="O497" t="s">
        <v>168</v>
      </c>
      <c r="P497" t="s">
        <v>1553</v>
      </c>
      <c r="Q497" t="s">
        <v>30</v>
      </c>
      <c r="R497">
        <v>4</v>
      </c>
      <c r="S497" s="15">
        <v>995.98</v>
      </c>
      <c r="T497" s="4">
        <v>0.05</v>
      </c>
      <c r="U497" s="3" t="str">
        <f>IF(T497&lt;0, "negative_discount", IF(AND(T497&gt;0.5, T497&lt;=1), "high_discount", ""))</f>
        <v/>
      </c>
      <c r="V497" s="11">
        <v>3784.72</v>
      </c>
      <c r="W497" s="12">
        <v>3784.72</v>
      </c>
      <c r="X497" s="11">
        <v>2419.2399999999998</v>
      </c>
      <c r="Y497" s="11">
        <v>1365.48</v>
      </c>
      <c r="Z497" s="11">
        <f>ROUND(W497-X497,2)</f>
        <v>1365.48</v>
      </c>
      <c r="AA497" s="4">
        <f>IF(W497=0,0,Z497/W497)</f>
        <v>0.3607875879853728</v>
      </c>
      <c r="AB497" t="s">
        <v>99</v>
      </c>
      <c r="AC497" t="s">
        <v>100</v>
      </c>
      <c r="AD497" t="str">
        <f>IF(AND(E497="", T497&gt;=0, T497&lt;=0.5, K497&lt;&gt;"Unknown", Q497&lt;&gt;"Unknown"), "CLEAN", _xlfn.CONCAT("WARNING: ", IF(E497&lt;&gt;"","invalid_date",""), IF(T497&lt;0,"negative_discount",""), IF(AND(T497&gt;0.5,T497&lt;=1),"high_discount",""), IF(K497="Unknown","missing_region",""), IF(Q497="Unknown","missing_ship_mode","")))</f>
        <v>CLEAN</v>
      </c>
      <c r="AE497" t="str">
        <f>IF(COUNTIF($AF$2:$AF$926,AF497)&gt;1,"DUPLICATE","UNIQUE")</f>
        <v>UNIQUE</v>
      </c>
      <c r="AF497" t="str">
        <f>A497&amp;"|"&amp;B497&amp;"|"&amp;H497&amp;"|"&amp;I497&amp;"|"&amp;R497&amp;"|"&amp;S497&amp;"|"&amp;V497</f>
        <v>ORD-2024-10496|2024-05-09|CUST-9801|Mira Das|4|995.98|3784.72</v>
      </c>
      <c r="AG497" t="str">
        <f>IF(COUNTIF($A$2:$A$913,A497)&gt;1,"TRUE","FALSE")</f>
        <v>FALSE</v>
      </c>
    </row>
    <row r="498" spans="1:33">
      <c r="A498" t="s">
        <v>3198</v>
      </c>
      <c r="B498" t="s">
        <v>1554</v>
      </c>
      <c r="C498" t="s">
        <v>1555</v>
      </c>
      <c r="D498">
        <f>IF(OR(B498="", C498=""), "", (C498 - B498))</f>
        <v>2</v>
      </c>
      <c r="E498" t="str">
        <f>IF(C498&lt;B498, "INVALID: Ship date before order date", "")</f>
        <v/>
      </c>
      <c r="F498" t="str">
        <f>IF(B498="", "", TEXT(B498, "mmmm"))</f>
        <v>July</v>
      </c>
      <c r="G498">
        <f>IF(B498="", "", YEAR(B498))</f>
        <v>2025</v>
      </c>
      <c r="H498" t="s">
        <v>1556</v>
      </c>
      <c r="I498" t="s">
        <v>263</v>
      </c>
      <c r="J498" t="s">
        <v>36</v>
      </c>
      <c r="K498" t="s">
        <v>37</v>
      </c>
      <c r="L498" t="s">
        <v>226</v>
      </c>
      <c r="M498" t="s">
        <v>227</v>
      </c>
      <c r="N498" t="s">
        <v>40</v>
      </c>
      <c r="O498" t="s">
        <v>65</v>
      </c>
      <c r="P498" t="s">
        <v>1557</v>
      </c>
      <c r="Q498" t="s">
        <v>30</v>
      </c>
      <c r="R498">
        <v>2</v>
      </c>
      <c r="S498" s="15">
        <v>3686.42</v>
      </c>
      <c r="T498" s="4">
        <v>0.1</v>
      </c>
      <c r="U498" s="3" t="str">
        <f>IF(T498&lt;0, "negative_discount", IF(AND(T498&gt;0.5, T498&lt;=1), "high_discount", ""))</f>
        <v/>
      </c>
      <c r="V498" s="11">
        <v>6635.56</v>
      </c>
      <c r="W498" s="12">
        <v>6635.56</v>
      </c>
      <c r="X498" s="11">
        <v>3652.91</v>
      </c>
      <c r="Y498" s="11">
        <v>2982.65</v>
      </c>
      <c r="Z498" s="11">
        <f>ROUND(W498-X498,2)</f>
        <v>2982.65</v>
      </c>
      <c r="AA498" s="4">
        <f>IF(W498=0,0,Z498/W498)</f>
        <v>0.4494948429371447</v>
      </c>
      <c r="AB498" t="s">
        <v>31</v>
      </c>
      <c r="AC498" t="s">
        <v>32</v>
      </c>
      <c r="AD498" t="str">
        <f>IF(AND(E498="", T498&gt;=0, T498&lt;=0.5, K498&lt;&gt;"Unknown", Q498&lt;&gt;"Unknown"), "CLEAN", _xlfn.CONCAT("WARNING: ", IF(E498&lt;&gt;"","invalid_date",""), IF(T498&lt;0,"negative_discount",""), IF(AND(T498&gt;0.5,T498&lt;=1),"high_discount",""), IF(K498="Unknown","missing_region",""), IF(Q498="Unknown","missing_ship_mode","")))</f>
        <v>CLEAN</v>
      </c>
      <c r="AE498" t="str">
        <f>IF(COUNTIF($AF$2:$AF$926,AF498)&gt;1,"DUPLICATE","UNIQUE")</f>
        <v>UNIQUE</v>
      </c>
      <c r="AF498" t="str">
        <f>A498&amp;"|"&amp;B498&amp;"|"&amp;H498&amp;"|"&amp;I498&amp;"|"&amp;R498&amp;"|"&amp;S498&amp;"|"&amp;V498</f>
        <v>ORD-2025-10497|2025-07-04|CUST-2038|Kabir Singh|2|3686.42|6635.56</v>
      </c>
      <c r="AG498" t="str">
        <f>IF(COUNTIF($A$2:$A$913,A498)&gt;1,"TRUE","FALSE")</f>
        <v>FALSE</v>
      </c>
    </row>
    <row r="499" spans="1:33">
      <c r="A499" t="s">
        <v>1558</v>
      </c>
      <c r="B499" t="s">
        <v>1318</v>
      </c>
      <c r="C499" t="s">
        <v>1318</v>
      </c>
      <c r="D499">
        <f>IF(OR(B499="", C499=""), "", (C499 - B499))</f>
        <v>0</v>
      </c>
      <c r="E499" t="str">
        <f>IF(C499&lt;B499, "INVALID: Ship date before order date", "")</f>
        <v/>
      </c>
      <c r="F499" t="str">
        <f>IF(B499="", "", TEXT(B499, "mmmm"))</f>
        <v>August</v>
      </c>
      <c r="G499">
        <f>IF(B499="", "", YEAR(B499))</f>
        <v>2024</v>
      </c>
      <c r="H499" t="s">
        <v>1559</v>
      </c>
      <c r="I499" t="s">
        <v>131</v>
      </c>
      <c r="J499" t="s">
        <v>36</v>
      </c>
      <c r="K499" t="s">
        <v>24</v>
      </c>
      <c r="L499" t="s">
        <v>134</v>
      </c>
      <c r="M499" t="s">
        <v>135</v>
      </c>
      <c r="N499" t="s">
        <v>74</v>
      </c>
      <c r="O499" t="s">
        <v>75</v>
      </c>
      <c r="P499" t="s">
        <v>1560</v>
      </c>
      <c r="Q499" t="s">
        <v>30</v>
      </c>
      <c r="R499">
        <v>1</v>
      </c>
      <c r="S499" s="15">
        <v>3106.88</v>
      </c>
      <c r="T499" s="4">
        <v>0.2</v>
      </c>
      <c r="U499" s="3" t="str">
        <f>IF(T499&lt;0, "negative_discount", IF(AND(T499&gt;0.5, T499&lt;=1), "high_discount", ""))</f>
        <v/>
      </c>
      <c r="V499" s="11">
        <v>2485.5</v>
      </c>
      <c r="W499" s="12">
        <v>2485.5</v>
      </c>
      <c r="X499" s="11">
        <v>2028.43</v>
      </c>
      <c r="Y499" s="11">
        <v>457.07</v>
      </c>
      <c r="Z499" s="11">
        <f>ROUND(W499-X499,2)</f>
        <v>457.07</v>
      </c>
      <c r="AA499" s="4">
        <f>IF(W499=0,0,Z499/W499)</f>
        <v>0.18389458861396096</v>
      </c>
      <c r="AB499" t="s">
        <v>31</v>
      </c>
      <c r="AC499" t="s">
        <v>67</v>
      </c>
      <c r="AD499" t="str">
        <f>IF(AND(E499="", T499&gt;=0, T499&lt;=0.5, K499&lt;&gt;"Unknown", Q499&lt;&gt;"Unknown"), "CLEAN", _xlfn.CONCAT("WARNING: ", IF(E499&lt;&gt;"","invalid_date",""), IF(T499&lt;0,"negative_discount",""), IF(AND(T499&gt;0.5,T499&lt;=1),"high_discount",""), IF(K499="Unknown","missing_region",""), IF(Q499="Unknown","missing_ship_mode","")))</f>
        <v>CLEAN</v>
      </c>
      <c r="AE499" t="str">
        <f>IF(COUNTIF($AF$2:$AF$926,AF499)&gt;1,"DUPLICATE","UNIQUE")</f>
        <v>UNIQUE</v>
      </c>
      <c r="AF499" t="str">
        <f>A499&amp;"|"&amp;B499&amp;"|"&amp;H499&amp;"|"&amp;I499&amp;"|"&amp;R499&amp;"|"&amp;S499&amp;"|"&amp;V499</f>
        <v>ORD-2024-10498|2024-08-29|CUST-1567|Sneha Kapoor|1|3106.88|2485.5</v>
      </c>
      <c r="AG499" t="str">
        <f>IF(COUNTIF($A$2:$A$913,A499)&gt;1,"TRUE","FALSE")</f>
        <v>FALSE</v>
      </c>
    </row>
    <row r="500" spans="1:33">
      <c r="A500" t="s">
        <v>3199</v>
      </c>
      <c r="B500" t="s">
        <v>1561</v>
      </c>
      <c r="C500" t="s">
        <v>1780</v>
      </c>
      <c r="D500">
        <f>IF(OR(B500="", C500=""), "", (C500 - B500))</f>
        <v>3</v>
      </c>
      <c r="E500" t="str">
        <f>IF(C500&lt;B500, "INVALID: Ship date before order date", "")</f>
        <v/>
      </c>
      <c r="F500" t="str">
        <f>IF(B500="", "", TEXT(B500, "mmmm"))</f>
        <v>September</v>
      </c>
      <c r="G500">
        <f>IF(B500="", "", YEAR(B500))</f>
        <v>2025</v>
      </c>
      <c r="H500" t="s">
        <v>1562</v>
      </c>
      <c r="I500" t="s">
        <v>22</v>
      </c>
      <c r="J500" t="s">
        <v>23</v>
      </c>
      <c r="K500" t="s">
        <v>24</v>
      </c>
      <c r="L500" t="s">
        <v>120</v>
      </c>
      <c r="M500" t="s">
        <v>121</v>
      </c>
      <c r="N500" t="s">
        <v>40</v>
      </c>
      <c r="O500" t="s">
        <v>65</v>
      </c>
      <c r="P500" t="s">
        <v>1563</v>
      </c>
      <c r="Q500" t="s">
        <v>43</v>
      </c>
      <c r="R500">
        <v>2</v>
      </c>
      <c r="S500" s="15">
        <v>447.55</v>
      </c>
      <c r="T500" s="4">
        <v>0.05</v>
      </c>
      <c r="U500" s="3" t="str">
        <f>IF(T500&lt;0, "negative_discount", IF(AND(T500&gt;0.5, T500&lt;=1), "high_discount", ""))</f>
        <v/>
      </c>
      <c r="V500" s="11">
        <v>850.35</v>
      </c>
      <c r="W500" s="12">
        <v>850.35</v>
      </c>
      <c r="X500" s="11">
        <v>600.98</v>
      </c>
      <c r="Y500" s="11">
        <v>249.37</v>
      </c>
      <c r="Z500" s="11">
        <f>ROUND(W500-X500,2)</f>
        <v>249.37</v>
      </c>
      <c r="AA500" s="4">
        <f>IF(W500=0,0,Z500/W500)</f>
        <v>0.29325571823366847</v>
      </c>
      <c r="AB500" t="s">
        <v>99</v>
      </c>
      <c r="AC500" t="s">
        <v>67</v>
      </c>
      <c r="AD500" t="str">
        <f>IF(AND(E500="", T500&gt;=0, T500&lt;=0.5, K500&lt;&gt;"Unknown", Q500&lt;&gt;"Unknown"), "CLEAN", _xlfn.CONCAT("WARNING: ", IF(E500&lt;&gt;"","invalid_date",""), IF(T500&lt;0,"negative_discount",""), IF(AND(T500&gt;0.5,T500&lt;=1),"high_discount",""), IF(K500="Unknown","missing_region",""), IF(Q500="Unknown","missing_ship_mode","")))</f>
        <v>CLEAN</v>
      </c>
      <c r="AE500" t="str">
        <f>IF(COUNTIF($AF$2:$AF$926,AF500)&gt;1,"DUPLICATE","UNIQUE")</f>
        <v>UNIQUE</v>
      </c>
      <c r="AF500" t="str">
        <f>A500&amp;"|"&amp;B500&amp;"|"&amp;H500&amp;"|"&amp;I500&amp;"|"&amp;R500&amp;"|"&amp;S500&amp;"|"&amp;V500</f>
        <v>ORD-2025-10499|2025-09-07|CUST-1190|Karan Malhotra|2|447.55|850.35</v>
      </c>
      <c r="AG500" t="str">
        <f>IF(COUNTIF($A$2:$A$913,A500)&gt;1,"TRUE","FALSE")</f>
        <v>FALSE</v>
      </c>
    </row>
    <row r="501" spans="1:33">
      <c r="A501" t="s">
        <v>1564</v>
      </c>
      <c r="B501" t="s">
        <v>1565</v>
      </c>
      <c r="C501" t="s">
        <v>2924</v>
      </c>
      <c r="D501">
        <f>IF(OR(B501="", C501=""), "", (C501 - B501))</f>
        <v>4</v>
      </c>
      <c r="E501" t="str">
        <f>IF(C501&lt;B501, "INVALID: Ship date before order date", "")</f>
        <v/>
      </c>
      <c r="F501" t="str">
        <f>IF(B501="", "", TEXT(B501, "mmmm"))</f>
        <v>December</v>
      </c>
      <c r="G501">
        <f>IF(B501="", "", YEAR(B501))</f>
        <v>2024</v>
      </c>
      <c r="H501" t="s">
        <v>1566</v>
      </c>
      <c r="I501" t="s">
        <v>116</v>
      </c>
      <c r="J501" t="s">
        <v>93</v>
      </c>
      <c r="K501" t="s">
        <v>24</v>
      </c>
      <c r="L501" t="s">
        <v>134</v>
      </c>
      <c r="M501" t="s">
        <v>135</v>
      </c>
      <c r="N501" t="s">
        <v>40</v>
      </c>
      <c r="O501" t="s">
        <v>65</v>
      </c>
      <c r="P501" t="s">
        <v>1567</v>
      </c>
      <c r="Q501" t="s">
        <v>58</v>
      </c>
      <c r="R501">
        <v>9</v>
      </c>
      <c r="S501" s="15">
        <v>1110.8699999999999</v>
      </c>
      <c r="T501" s="4">
        <v>0</v>
      </c>
      <c r="U501" s="3" t="str">
        <f>IF(T501&lt;0, "negative_discount", IF(AND(T501&gt;0.5, T501&lt;=1), "high_discount", ""))</f>
        <v/>
      </c>
      <c r="V501" s="11">
        <v>7498.37</v>
      </c>
      <c r="W501" s="12">
        <v>9997.83</v>
      </c>
      <c r="X501" s="11">
        <v>6059.07</v>
      </c>
      <c r="Y501" s="11">
        <v>1439.3</v>
      </c>
      <c r="Z501" s="11">
        <f>ROUND(W501-X501,2)</f>
        <v>3938.76</v>
      </c>
      <c r="AA501" s="4">
        <f>IF(W501=0,0,Z501/W501)</f>
        <v>0.39396148964325262</v>
      </c>
      <c r="AB501" t="s">
        <v>31</v>
      </c>
      <c r="AC501" t="s">
        <v>67</v>
      </c>
      <c r="AD501" t="str">
        <f>IF(AND(E501="", T501&gt;=0, T501&lt;=0.5, K501&lt;&gt;"Unknown", Q501&lt;&gt;"Unknown"), "CLEAN", _xlfn.CONCAT("WARNING: ", IF(E501&lt;&gt;"","invalid_date",""), IF(T501&lt;0,"negative_discount",""), IF(AND(T501&gt;0.5,T501&lt;=1),"high_discount",""), IF(K501="Unknown","missing_region",""), IF(Q501="Unknown","missing_ship_mode","")))</f>
        <v>CLEAN</v>
      </c>
      <c r="AE501" t="str">
        <f>IF(COUNTIF($AF$2:$AF$926,AF501)&gt;1,"DUPLICATE","UNIQUE")</f>
        <v>UNIQUE</v>
      </c>
      <c r="AF501" t="str">
        <f>A501&amp;"|"&amp;B501&amp;"|"&amp;H501&amp;"|"&amp;I501&amp;"|"&amp;R501&amp;"|"&amp;S501&amp;"|"&amp;V501</f>
        <v>ORD-2024-10500|2024-12-22|CUST-5604|Rahul Verma|9|1110.87|7498.37</v>
      </c>
      <c r="AG501" t="str">
        <f>IF(COUNTIF($A$2:$A$913,A501)&gt;1,"TRUE","FALSE")</f>
        <v>FALSE</v>
      </c>
    </row>
    <row r="502" spans="1:33">
      <c r="A502" t="s">
        <v>1568</v>
      </c>
      <c r="B502" t="s">
        <v>2820</v>
      </c>
      <c r="C502" t="s">
        <v>2026</v>
      </c>
      <c r="D502">
        <f>IF(OR(B502="", C502=""), "", (C502 - B502))</f>
        <v>5</v>
      </c>
      <c r="E502" t="str">
        <f>IF(C502&lt;B502, "INVALID: Ship date before order date", "")</f>
        <v/>
      </c>
      <c r="F502" t="str">
        <f>IF(B502="", "", TEXT(B502, "mmmm"))</f>
        <v>May</v>
      </c>
      <c r="G502">
        <f>IF(B502="", "", YEAR(B502))</f>
        <v>2024</v>
      </c>
      <c r="H502" t="s">
        <v>1569</v>
      </c>
      <c r="I502" t="s">
        <v>131</v>
      </c>
      <c r="J502" t="s">
        <v>23</v>
      </c>
      <c r="K502" t="s">
        <v>53</v>
      </c>
      <c r="L502" t="s">
        <v>180</v>
      </c>
      <c r="M502" t="s">
        <v>181</v>
      </c>
      <c r="N502" t="s">
        <v>74</v>
      </c>
      <c r="O502" t="s">
        <v>168</v>
      </c>
      <c r="P502" t="s">
        <v>1570</v>
      </c>
      <c r="Q502" t="s">
        <v>43</v>
      </c>
      <c r="R502">
        <v>9</v>
      </c>
      <c r="S502" s="15">
        <v>3795.99</v>
      </c>
      <c r="T502" s="4">
        <v>0.85</v>
      </c>
      <c r="U502" s="3" t="str">
        <f>IF(T502&lt;0, "negative_discount", IF(AND(T502&gt;0.5, T502&lt;=1), "high_discount", ""))</f>
        <v>high_discount</v>
      </c>
      <c r="V502" s="11">
        <v>34163.910000000003</v>
      </c>
      <c r="W502" s="12">
        <v>5124.59</v>
      </c>
      <c r="X502" s="11">
        <v>28577.15</v>
      </c>
      <c r="Y502" s="11">
        <v>5586.76</v>
      </c>
      <c r="Z502" s="11">
        <f>ROUND(W502-X502,2)</f>
        <v>-23452.560000000001</v>
      </c>
      <c r="AA502" s="4">
        <f>IF(W502=0,0,Z502/W502)</f>
        <v>-4.5764753863235885</v>
      </c>
      <c r="AB502" t="s">
        <v>31</v>
      </c>
      <c r="AC502" t="s">
        <v>32</v>
      </c>
      <c r="AD502" t="str">
        <f>IF(AND(E502="", T502&gt;=0, T502&lt;=0.5, K502&lt;&gt;"Unknown", Q502&lt;&gt;"Unknown"), "CLEAN", _xlfn.CONCAT("WARNING: ", IF(E502&lt;&gt;"","invalid_date",""), IF(T502&lt;0,"negative_discount",""), IF(AND(T502&gt;0.5,T502&lt;=1),"high_discount",""), IF(K502="Unknown","missing_region",""), IF(Q502="Unknown","missing_ship_mode","")))</f>
        <v>WARNING: high_discount</v>
      </c>
      <c r="AE502" t="str">
        <f>IF(COUNTIF($AF$2:$AF$926,AF502)&gt;1,"DUPLICATE","UNIQUE")</f>
        <v>UNIQUE</v>
      </c>
      <c r="AF502" t="str">
        <f>A502&amp;"|"&amp;B502&amp;"|"&amp;H502&amp;"|"&amp;I502&amp;"|"&amp;R502&amp;"|"&amp;S502&amp;"|"&amp;V502</f>
        <v>ORD-2024-10501|2024-05-17|CUST-7661|Sneha Kapoor|9|3795.99|34163.91</v>
      </c>
      <c r="AG502" t="str">
        <f>IF(COUNTIF($A$2:$A$913,A502)&gt;1,"TRUE","FALSE")</f>
        <v>FALSE</v>
      </c>
    </row>
    <row r="503" spans="1:33">
      <c r="A503" t="s">
        <v>1571</v>
      </c>
      <c r="B503" t="s">
        <v>2229</v>
      </c>
      <c r="C503" t="s">
        <v>2844</v>
      </c>
      <c r="D503">
        <f>IF(OR(B503="", C503=""), "", (C503 - B503))</f>
        <v>6</v>
      </c>
      <c r="E503" t="str">
        <f>IF(C503&lt;B503, "INVALID: Ship date before order date", "")</f>
        <v/>
      </c>
      <c r="F503" t="str">
        <f>IF(B503="", "", TEXT(B503, "mmmm"))</f>
        <v>August</v>
      </c>
      <c r="G503">
        <f>IF(B503="", "", YEAR(B503))</f>
        <v>2024</v>
      </c>
      <c r="H503" t="s">
        <v>800</v>
      </c>
      <c r="I503" t="s">
        <v>78</v>
      </c>
      <c r="J503" t="s">
        <v>23</v>
      </c>
      <c r="K503" t="s">
        <v>37</v>
      </c>
      <c r="L503" t="s">
        <v>226</v>
      </c>
      <c r="M503" t="s">
        <v>227</v>
      </c>
      <c r="N503" t="s">
        <v>27</v>
      </c>
      <c r="O503" t="s">
        <v>47</v>
      </c>
      <c r="P503" t="s">
        <v>1572</v>
      </c>
      <c r="Q503" t="s">
        <v>30</v>
      </c>
      <c r="R503">
        <v>6</v>
      </c>
      <c r="S503" s="15">
        <v>3497.54</v>
      </c>
      <c r="T503" s="4">
        <v>0.15</v>
      </c>
      <c r="U503" s="3" t="str">
        <f>IF(T503&lt;0, "negative_discount", IF(AND(T503&gt;0.5, T503&lt;=1), "high_discount", ""))</f>
        <v/>
      </c>
      <c r="V503" s="11">
        <v>17837.45</v>
      </c>
      <c r="W503" s="12">
        <v>17837.45</v>
      </c>
      <c r="X503" s="11">
        <v>13627.02</v>
      </c>
      <c r="Y503" s="11">
        <v>4210.43</v>
      </c>
      <c r="Z503" s="11">
        <f>ROUND(W503-X503,2)</f>
        <v>4210.43</v>
      </c>
      <c r="AA503" s="4">
        <f>IF(W503=0,0,Z503/W503)</f>
        <v>0.23604438975301964</v>
      </c>
      <c r="AB503" t="s">
        <v>31</v>
      </c>
      <c r="AC503" t="s">
        <v>32</v>
      </c>
      <c r="AD503" t="str">
        <f>IF(AND(E503="", T503&gt;=0, T503&lt;=0.5, K503&lt;&gt;"Unknown", Q503&lt;&gt;"Unknown"), "CLEAN", _xlfn.CONCAT("WARNING: ", IF(E503&lt;&gt;"","invalid_date",""), IF(T503&lt;0,"negative_discount",""), IF(AND(T503&gt;0.5,T503&lt;=1),"high_discount",""), IF(K503="Unknown","missing_region",""), IF(Q503="Unknown","missing_ship_mode","")))</f>
        <v>CLEAN</v>
      </c>
      <c r="AE503" t="str">
        <f>IF(COUNTIF($AF$2:$AF$926,AF503)&gt;1,"DUPLICATE","UNIQUE")</f>
        <v>UNIQUE</v>
      </c>
      <c r="AF503" t="str">
        <f>A503&amp;"|"&amp;B503&amp;"|"&amp;H503&amp;"|"&amp;I503&amp;"|"&amp;R503&amp;"|"&amp;S503&amp;"|"&amp;V503</f>
        <v>ORD-2024-10502|2024-08-11|CUST-3710|Neha Gupta|6|3497.54|17837.45</v>
      </c>
      <c r="AG503" t="str">
        <f>IF(COUNTIF($A$2:$A$913,A503)&gt;1,"TRUE","FALSE")</f>
        <v>FALSE</v>
      </c>
    </row>
    <row r="504" spans="1:33">
      <c r="A504" t="s">
        <v>1573</v>
      </c>
      <c r="B504" t="s">
        <v>2813</v>
      </c>
      <c r="C504" t="s">
        <v>1574</v>
      </c>
      <c r="D504">
        <f>IF(OR(B504="", C504=""), "", (C504 - B504))</f>
        <v>8</v>
      </c>
      <c r="E504" t="str">
        <f>IF(C504&lt;B504, "INVALID: Ship date before order date", "")</f>
        <v/>
      </c>
      <c r="F504" t="str">
        <f>IF(B504="", "", TEXT(B504, "mmmm"))</f>
        <v>April</v>
      </c>
      <c r="G504">
        <f>IF(B504="", "", YEAR(B504))</f>
        <v>2024</v>
      </c>
      <c r="H504" t="s">
        <v>1575</v>
      </c>
      <c r="I504" t="s">
        <v>112</v>
      </c>
      <c r="J504" t="s">
        <v>36</v>
      </c>
      <c r="K504" t="s">
        <v>37</v>
      </c>
      <c r="L504" t="s">
        <v>38</v>
      </c>
      <c r="M504" t="s">
        <v>39</v>
      </c>
      <c r="N504" t="s">
        <v>74</v>
      </c>
      <c r="O504" t="s">
        <v>79</v>
      </c>
      <c r="P504" t="s">
        <v>1576</v>
      </c>
      <c r="Q504" t="s">
        <v>30</v>
      </c>
      <c r="R504">
        <v>6</v>
      </c>
      <c r="S504" s="15">
        <v>826.93</v>
      </c>
      <c r="T504" s="4">
        <v>0.1</v>
      </c>
      <c r="U504" s="3" t="str">
        <f>IF(T504&lt;0, "negative_discount", IF(AND(T504&gt;0.5, T504&lt;=1), "high_discount", ""))</f>
        <v/>
      </c>
      <c r="V504" s="11">
        <v>4465.42</v>
      </c>
      <c r="W504" s="12">
        <v>4465.42</v>
      </c>
      <c r="X504" s="11">
        <v>3377.1</v>
      </c>
      <c r="Y504" s="11">
        <v>1088.32</v>
      </c>
      <c r="Z504" s="11">
        <f>ROUND(W504-X504,2)</f>
        <v>1088.32</v>
      </c>
      <c r="AA504" s="4">
        <f>IF(W504=0,0,Z504/W504)</f>
        <v>0.24372175517644476</v>
      </c>
      <c r="AB504" t="s">
        <v>31</v>
      </c>
      <c r="AC504" t="s">
        <v>32</v>
      </c>
      <c r="AD504" t="str">
        <f>IF(AND(E504="", T504&gt;=0, T504&lt;=0.5, K504&lt;&gt;"Unknown", Q504&lt;&gt;"Unknown"), "CLEAN", _xlfn.CONCAT("WARNING: ", IF(E504&lt;&gt;"","invalid_date",""), IF(T504&lt;0,"negative_discount",""), IF(AND(T504&gt;0.5,T504&lt;=1),"high_discount",""), IF(K504="Unknown","missing_region",""), IF(Q504="Unknown","missing_ship_mode","")))</f>
        <v>CLEAN</v>
      </c>
      <c r="AE504" t="str">
        <f>IF(COUNTIF($AF$2:$AF$926,AF504)&gt;1,"DUPLICATE","UNIQUE")</f>
        <v>UNIQUE</v>
      </c>
      <c r="AF504" t="str">
        <f>A504&amp;"|"&amp;B504&amp;"|"&amp;H504&amp;"|"&amp;I504&amp;"|"&amp;R504&amp;"|"&amp;S504&amp;"|"&amp;V504</f>
        <v>ORD-2024-10503|2024-04-01|CUST-1534|Priya Menon|6|826.93|4465.42</v>
      </c>
      <c r="AG504" t="str">
        <f>IF(COUNTIF($A$2:$A$913,A504)&gt;1,"TRUE","FALSE")</f>
        <v>FALSE</v>
      </c>
    </row>
    <row r="505" spans="1:33">
      <c r="A505" t="s">
        <v>1577</v>
      </c>
      <c r="B505" t="s">
        <v>1578</v>
      </c>
      <c r="C505" t="s">
        <v>1579</v>
      </c>
      <c r="D505">
        <f>IF(OR(B505="", C505=""), "", (C505 - B505))</f>
        <v>7</v>
      </c>
      <c r="E505" t="str">
        <f>IF(C505&lt;B505, "INVALID: Ship date before order date", "")</f>
        <v/>
      </c>
      <c r="F505" t="str">
        <f>IF(B505="", "", TEXT(B505, "mmmm"))</f>
        <v>September</v>
      </c>
      <c r="G505">
        <f>IF(B505="", "", YEAR(B505))</f>
        <v>2024</v>
      </c>
      <c r="H505" t="s">
        <v>1580</v>
      </c>
      <c r="I505" t="s">
        <v>126</v>
      </c>
      <c r="J505" t="s">
        <v>23</v>
      </c>
      <c r="K505" t="s">
        <v>53</v>
      </c>
      <c r="L505" t="s">
        <v>246</v>
      </c>
      <c r="M505" t="s">
        <v>247</v>
      </c>
      <c r="N505" t="s">
        <v>74</v>
      </c>
      <c r="O505" t="s">
        <v>168</v>
      </c>
      <c r="P505" t="s">
        <v>1581</v>
      </c>
      <c r="Q505" t="s">
        <v>58</v>
      </c>
      <c r="R505">
        <v>7</v>
      </c>
      <c r="S505" s="15">
        <v>1681.6</v>
      </c>
      <c r="T505" s="4">
        <v>0.1</v>
      </c>
      <c r="U505" s="3" t="str">
        <f>IF(T505&lt;0, "negative_discount", IF(AND(T505&gt;0.5, T505&lt;=1), "high_discount", ""))</f>
        <v/>
      </c>
      <c r="V505" s="11">
        <v>10594.08</v>
      </c>
      <c r="W505" s="12">
        <v>10594.08</v>
      </c>
      <c r="X505" s="11">
        <v>7160.31</v>
      </c>
      <c r="Y505" s="11">
        <v>3433.77</v>
      </c>
      <c r="Z505" s="11">
        <f>ROUND(W505-X505,2)</f>
        <v>3433.77</v>
      </c>
      <c r="AA505" s="4">
        <f>IF(W505=0,0,Z505/W505)</f>
        <v>0.32412158488514342</v>
      </c>
      <c r="AB505" t="s">
        <v>31</v>
      </c>
      <c r="AC505" t="s">
        <v>32</v>
      </c>
      <c r="AD505" t="str">
        <f>IF(AND(E505="", T505&gt;=0, T505&lt;=0.5, K505&lt;&gt;"Unknown", Q505&lt;&gt;"Unknown"), "CLEAN", _xlfn.CONCAT("WARNING: ", IF(E505&lt;&gt;"","invalid_date",""), IF(T505&lt;0,"negative_discount",""), IF(AND(T505&gt;0.5,T505&lt;=1),"high_discount",""), IF(K505="Unknown","missing_region",""), IF(Q505="Unknown","missing_ship_mode","")))</f>
        <v>CLEAN</v>
      </c>
      <c r="AE505" t="str">
        <f>IF(COUNTIF($AF$2:$AF$926,AF505)&gt;1,"DUPLICATE","UNIQUE")</f>
        <v>UNIQUE</v>
      </c>
      <c r="AF505" t="str">
        <f>A505&amp;"|"&amp;B505&amp;"|"&amp;H505&amp;"|"&amp;I505&amp;"|"&amp;R505&amp;"|"&amp;S505&amp;"|"&amp;V505</f>
        <v>ORD-2024-10504|2024-09-28|CUST-7422|Aarav Sharma|7|1681.6|10594.08</v>
      </c>
      <c r="AG505" t="str">
        <f>IF(COUNTIF($A$2:$A$913,A505)&gt;1,"TRUE","FALSE")</f>
        <v>FALSE</v>
      </c>
    </row>
    <row r="506" spans="1:33">
      <c r="A506" t="s">
        <v>3200</v>
      </c>
      <c r="B506" t="s">
        <v>1582</v>
      </c>
      <c r="C506" t="s">
        <v>1583</v>
      </c>
      <c r="D506">
        <f>IF(OR(B506="", C506=""), "", (C506 - B506))</f>
        <v>5</v>
      </c>
      <c r="E506" t="str">
        <f>IF(C506&lt;B506, "INVALID: Ship date before order date", "")</f>
        <v/>
      </c>
      <c r="F506" t="str">
        <f>IF(B506="", "", TEXT(B506, "mmmm"))</f>
        <v>February</v>
      </c>
      <c r="G506">
        <f>IF(B506="", "", YEAR(B506))</f>
        <v>2025</v>
      </c>
      <c r="H506" t="s">
        <v>1584</v>
      </c>
      <c r="I506" t="s">
        <v>52</v>
      </c>
      <c r="J506" t="s">
        <v>89</v>
      </c>
      <c r="K506" t="s">
        <v>62</v>
      </c>
      <c r="L506" t="s">
        <v>176</v>
      </c>
      <c r="M506" t="s">
        <v>177</v>
      </c>
      <c r="N506" t="s">
        <v>27</v>
      </c>
      <c r="O506" t="s">
        <v>47</v>
      </c>
      <c r="P506" t="s">
        <v>1585</v>
      </c>
      <c r="Q506" t="s">
        <v>58</v>
      </c>
      <c r="R506">
        <v>4</v>
      </c>
      <c r="S506" s="15">
        <v>4328.12</v>
      </c>
      <c r="T506" s="4">
        <v>0</v>
      </c>
      <c r="U506" s="3" t="str">
        <f>IF(T506&lt;0, "negative_discount", IF(AND(T506&gt;0.5, T506&lt;=1), "high_discount", ""))</f>
        <v/>
      </c>
      <c r="V506" s="11">
        <v>17312.48</v>
      </c>
      <c r="W506" s="12">
        <v>17312.48</v>
      </c>
      <c r="X506" s="11">
        <v>14424.22</v>
      </c>
      <c r="Y506" s="11">
        <v>2888.26</v>
      </c>
      <c r="Z506" s="11">
        <f>ROUND(W506-X506,2)</f>
        <v>2888.26</v>
      </c>
      <c r="AA506" s="4">
        <f>IF(W506=0,0,Z506/W506)</f>
        <v>0.16683109525613893</v>
      </c>
      <c r="AB506" t="s">
        <v>31</v>
      </c>
      <c r="AC506" t="s">
        <v>32</v>
      </c>
      <c r="AD506" t="str">
        <f>IF(AND(E506="", T506&gt;=0, T506&lt;=0.5, K506&lt;&gt;"Unknown", Q506&lt;&gt;"Unknown"), "CLEAN", _xlfn.CONCAT("WARNING: ", IF(E506&lt;&gt;"","invalid_date",""), IF(T506&lt;0,"negative_discount",""), IF(AND(T506&gt;0.5,T506&lt;=1),"high_discount",""), IF(K506="Unknown","missing_region",""), IF(Q506="Unknown","missing_ship_mode","")))</f>
        <v>CLEAN</v>
      </c>
      <c r="AE506" t="str">
        <f>IF(COUNTIF($AF$2:$AF$926,AF506)&gt;1,"DUPLICATE","UNIQUE")</f>
        <v>UNIQUE</v>
      </c>
      <c r="AF506" t="str">
        <f>A506&amp;"|"&amp;B506&amp;"|"&amp;H506&amp;"|"&amp;I506&amp;"|"&amp;R506&amp;"|"&amp;S506&amp;"|"&amp;V506</f>
        <v>ORD-2025-10505|2025-02-12|CUST-9693|Arjun Bose|4|4328.12|17312.48</v>
      </c>
      <c r="AG506" t="str">
        <f>IF(COUNTIF($A$2:$A$913,A506)&gt;1,"TRUE","FALSE")</f>
        <v>FALSE</v>
      </c>
    </row>
    <row r="507" spans="1:33">
      <c r="A507" t="s">
        <v>1586</v>
      </c>
      <c r="B507" t="s">
        <v>1587</v>
      </c>
      <c r="C507" t="s">
        <v>1547</v>
      </c>
      <c r="D507">
        <f>IF(OR(B507="", C507=""), "", (C507 - B507))</f>
        <v>5</v>
      </c>
      <c r="E507" t="str">
        <f>IF(C507&lt;B507, "INVALID: Ship date before order date", "")</f>
        <v/>
      </c>
      <c r="F507" t="str">
        <f>IF(B507="", "", TEXT(B507, "mmmm"))</f>
        <v>November</v>
      </c>
      <c r="G507">
        <f>IF(B507="", "", YEAR(B507))</f>
        <v>2024</v>
      </c>
      <c r="H507" t="s">
        <v>1588</v>
      </c>
      <c r="I507" t="s">
        <v>78</v>
      </c>
      <c r="J507" t="s">
        <v>89</v>
      </c>
      <c r="K507" t="s">
        <v>62</v>
      </c>
      <c r="L507" t="s">
        <v>72</v>
      </c>
      <c r="M507" t="s">
        <v>73</v>
      </c>
      <c r="N507" t="s">
        <v>27</v>
      </c>
      <c r="O507" t="s">
        <v>47</v>
      </c>
      <c r="P507" t="s">
        <v>1589</v>
      </c>
      <c r="Q507" t="s">
        <v>49</v>
      </c>
      <c r="R507">
        <v>9</v>
      </c>
      <c r="S507" s="15">
        <v>2438.29</v>
      </c>
      <c r="T507" s="4">
        <v>0</v>
      </c>
      <c r="U507" s="3" t="str">
        <f>IF(T507&lt;0, "negative_discount", IF(AND(T507&gt;0.5, T507&lt;=1), "high_discount", ""))</f>
        <v/>
      </c>
      <c r="V507" s="11">
        <v>17555.689999999999</v>
      </c>
      <c r="W507" s="12">
        <v>21944.61</v>
      </c>
      <c r="X507" s="11">
        <v>13293.2</v>
      </c>
      <c r="Y507" s="11">
        <v>4262.49</v>
      </c>
      <c r="Z507" s="11">
        <f>ROUND(W507-X507,2)</f>
        <v>8651.41</v>
      </c>
      <c r="AA507" s="4">
        <f>IF(W507=0,0,Z507/W507)</f>
        <v>0.39423849409946221</v>
      </c>
      <c r="AB507" t="s">
        <v>31</v>
      </c>
      <c r="AC507" t="s">
        <v>67</v>
      </c>
      <c r="AD507" t="str">
        <f>IF(AND(E507="", T507&gt;=0, T507&lt;=0.5, K507&lt;&gt;"Unknown", Q507&lt;&gt;"Unknown"), "CLEAN", _xlfn.CONCAT("WARNING: ", IF(E507&lt;&gt;"","invalid_date",""), IF(T507&lt;0,"negative_discount",""), IF(AND(T507&gt;0.5,T507&lt;=1),"high_discount",""), IF(K507="Unknown","missing_region",""), IF(Q507="Unknown","missing_ship_mode","")))</f>
        <v>CLEAN</v>
      </c>
      <c r="AE507" t="str">
        <f>IF(COUNTIF($AF$2:$AF$926,AF507)&gt;1,"DUPLICATE","UNIQUE")</f>
        <v>UNIQUE</v>
      </c>
      <c r="AF507" t="str">
        <f>A507&amp;"|"&amp;B507&amp;"|"&amp;H507&amp;"|"&amp;I507&amp;"|"&amp;R507&amp;"|"&amp;S507&amp;"|"&amp;V507</f>
        <v>ORD-2024-10506|2024-11-09|CUST-5458|Neha Gupta|9|2438.29|17555.69</v>
      </c>
      <c r="AG507" t="str">
        <f>IF(COUNTIF($A$2:$A$913,A507)&gt;1,"TRUE","FALSE")</f>
        <v>FALSE</v>
      </c>
    </row>
    <row r="508" spans="1:33">
      <c r="A508" t="s">
        <v>1590</v>
      </c>
      <c r="B508" t="s">
        <v>1591</v>
      </c>
      <c r="C508" t="s">
        <v>1591</v>
      </c>
      <c r="D508">
        <f>IF(OR(B508="", C508=""), "", (C508 - B508))</f>
        <v>0</v>
      </c>
      <c r="E508" t="str">
        <f>IF(C508&lt;B508, "INVALID: Ship date before order date", "")</f>
        <v/>
      </c>
      <c r="F508" t="str">
        <f>IF(B508="", "", TEXT(B508, "mmmm"))</f>
        <v>December</v>
      </c>
      <c r="G508">
        <f>IF(B508="", "", YEAR(B508))</f>
        <v>2024</v>
      </c>
      <c r="H508" t="s">
        <v>1592</v>
      </c>
      <c r="I508" t="s">
        <v>126</v>
      </c>
      <c r="J508" t="s">
        <v>36</v>
      </c>
      <c r="K508" t="s">
        <v>24</v>
      </c>
      <c r="L508" t="s">
        <v>120</v>
      </c>
      <c r="M508" t="s">
        <v>121</v>
      </c>
      <c r="N508" t="s">
        <v>40</v>
      </c>
      <c r="O508" t="s">
        <v>56</v>
      </c>
      <c r="P508" t="s">
        <v>1593</v>
      </c>
      <c r="Q508" t="s">
        <v>49</v>
      </c>
      <c r="R508">
        <v>2</v>
      </c>
      <c r="S508" s="15">
        <v>669.8</v>
      </c>
      <c r="T508" s="4">
        <v>0.1</v>
      </c>
      <c r="U508" s="3" t="str">
        <f>IF(T508&lt;0, "negative_discount", IF(AND(T508&gt;0.5, T508&lt;=1), "high_discount", ""))</f>
        <v/>
      </c>
      <c r="V508" s="11">
        <v>1205.6400000000001</v>
      </c>
      <c r="W508" s="12">
        <v>1205.6400000000001</v>
      </c>
      <c r="X508" s="11">
        <v>842.07</v>
      </c>
      <c r="Y508" s="11">
        <v>363.57</v>
      </c>
      <c r="Z508" s="11">
        <f>ROUND(W508-X508,2)</f>
        <v>363.57</v>
      </c>
      <c r="AA508" s="4">
        <f>IF(W508=0,0,Z508/W508)</f>
        <v>0.30155767890912705</v>
      </c>
      <c r="AB508" t="s">
        <v>99</v>
      </c>
      <c r="AC508" t="s">
        <v>100</v>
      </c>
      <c r="AD508" t="str">
        <f>IF(AND(E508="", T508&gt;=0, T508&lt;=0.5, K508&lt;&gt;"Unknown", Q508&lt;&gt;"Unknown"), "CLEAN", _xlfn.CONCAT("WARNING: ", IF(E508&lt;&gt;"","invalid_date",""), IF(T508&lt;0,"negative_discount",""), IF(AND(T508&gt;0.5,T508&lt;=1),"high_discount",""), IF(K508="Unknown","missing_region",""), IF(Q508="Unknown","missing_ship_mode","")))</f>
        <v>CLEAN</v>
      </c>
      <c r="AE508" t="str">
        <f>IF(COUNTIF($AF$2:$AF$926,AF508)&gt;1,"DUPLICATE","UNIQUE")</f>
        <v>UNIQUE</v>
      </c>
      <c r="AF508" t="str">
        <f>A508&amp;"|"&amp;B508&amp;"|"&amp;H508&amp;"|"&amp;I508&amp;"|"&amp;R508&amp;"|"&amp;S508&amp;"|"&amp;V508</f>
        <v>ORD-2024-10507|2024-12-15|CUST-3011|Aarav Sharma|2|669.8|1205.64</v>
      </c>
      <c r="AG508" t="str">
        <f>IF(COUNTIF($A$2:$A$913,A508)&gt;1,"TRUE","FALSE")</f>
        <v>FALSE</v>
      </c>
    </row>
    <row r="509" spans="1:33">
      <c r="A509" t="s">
        <v>3201</v>
      </c>
      <c r="B509" t="s">
        <v>1375</v>
      </c>
      <c r="C509" t="s">
        <v>1355</v>
      </c>
      <c r="D509">
        <f>IF(OR(B509="", C509=""), "", (C509 - B509))</f>
        <v>7</v>
      </c>
      <c r="E509" t="str">
        <f>IF(C509&lt;B509, "INVALID: Ship date before order date", "")</f>
        <v/>
      </c>
      <c r="F509" t="str">
        <f>IF(B509="", "", TEXT(B509, "mmmm"))</f>
        <v>April</v>
      </c>
      <c r="G509">
        <f>IF(B509="", "", YEAR(B509))</f>
        <v>2025</v>
      </c>
      <c r="H509" t="s">
        <v>1594</v>
      </c>
      <c r="I509" t="s">
        <v>46</v>
      </c>
      <c r="J509" t="s">
        <v>36</v>
      </c>
      <c r="K509" t="s">
        <v>24</v>
      </c>
      <c r="L509" t="s">
        <v>234</v>
      </c>
      <c r="M509" t="s">
        <v>235</v>
      </c>
      <c r="N509" t="s">
        <v>27</v>
      </c>
      <c r="O509" t="s">
        <v>149</v>
      </c>
      <c r="P509" t="s">
        <v>1595</v>
      </c>
      <c r="Q509" t="s">
        <v>43</v>
      </c>
      <c r="R509">
        <v>4</v>
      </c>
      <c r="S509" s="15">
        <v>2990.42</v>
      </c>
      <c r="T509" s="4">
        <v>0.25</v>
      </c>
      <c r="U509" s="3" t="str">
        <f>IF(T509&lt;0, "negative_discount", IF(AND(T509&gt;0.5, T509&lt;=1), "high_discount", ""))</f>
        <v/>
      </c>
      <c r="V509" s="11">
        <v>8971.26</v>
      </c>
      <c r="W509" s="12">
        <v>8971.26</v>
      </c>
      <c r="X509" s="11">
        <v>6814.35</v>
      </c>
      <c r="Y509" s="11">
        <v>2156.91</v>
      </c>
      <c r="Z509" s="11">
        <f>ROUND(W509-X509,2)</f>
        <v>2156.91</v>
      </c>
      <c r="AA509" s="4">
        <f>IF(W509=0,0,Z509/W509)</f>
        <v>0.24042442198754688</v>
      </c>
      <c r="AB509" t="s">
        <v>31</v>
      </c>
      <c r="AC509" t="s">
        <v>32</v>
      </c>
      <c r="AD509" t="str">
        <f>IF(AND(E509="", T509&gt;=0, T509&lt;=0.5, K509&lt;&gt;"Unknown", Q509&lt;&gt;"Unknown"), "CLEAN", _xlfn.CONCAT("WARNING: ", IF(E509&lt;&gt;"","invalid_date",""), IF(T509&lt;0,"negative_discount",""), IF(AND(T509&gt;0.5,T509&lt;=1),"high_discount",""), IF(K509="Unknown","missing_region",""), IF(Q509="Unknown","missing_ship_mode","")))</f>
        <v>CLEAN</v>
      </c>
      <c r="AE509" t="str">
        <f>IF(COUNTIF($AF$2:$AF$926,AF509)&gt;1,"DUPLICATE","UNIQUE")</f>
        <v>UNIQUE</v>
      </c>
      <c r="AF509" t="str">
        <f>A509&amp;"|"&amp;B509&amp;"|"&amp;H509&amp;"|"&amp;I509&amp;"|"&amp;R509&amp;"|"&amp;S509&amp;"|"&amp;V509</f>
        <v>ORD-2025-10508|2025-04-15|CUST-1826|Isha Nair|4|2990.42|8971.26</v>
      </c>
      <c r="AG509" t="str">
        <f>IF(COUNTIF($A$2:$A$913,A509)&gt;1,"TRUE","FALSE")</f>
        <v>FALSE</v>
      </c>
    </row>
    <row r="510" spans="1:33">
      <c r="A510" t="s">
        <v>1596</v>
      </c>
      <c r="B510" t="s">
        <v>2821</v>
      </c>
      <c r="C510" t="s">
        <v>2761</v>
      </c>
      <c r="D510">
        <f>IF(OR(B510="", C510=""), "", (C510 - B510))</f>
        <v>95</v>
      </c>
      <c r="E510" t="str">
        <f>IF(C510&lt;B510, "INVALID: Ship date before order date", "")</f>
        <v/>
      </c>
      <c r="F510" t="str">
        <f>IF(B510="", "", TEXT(B510, "mmmm"))</f>
        <v>March</v>
      </c>
      <c r="G510">
        <f>IF(B510="", "", YEAR(B510))</f>
        <v>2024</v>
      </c>
      <c r="H510" t="s">
        <v>1597</v>
      </c>
      <c r="I510" t="s">
        <v>46</v>
      </c>
      <c r="J510" t="s">
        <v>36</v>
      </c>
      <c r="K510" t="s">
        <v>24</v>
      </c>
      <c r="L510" t="s">
        <v>234</v>
      </c>
      <c r="M510" t="s">
        <v>235</v>
      </c>
      <c r="N510" t="s">
        <v>74</v>
      </c>
      <c r="O510" t="s">
        <v>272</v>
      </c>
      <c r="P510" t="s">
        <v>1598</v>
      </c>
      <c r="Q510" t="s">
        <v>30</v>
      </c>
      <c r="R510">
        <v>4</v>
      </c>
      <c r="S510" s="15">
        <v>1831</v>
      </c>
      <c r="T510" s="4">
        <v>0</v>
      </c>
      <c r="U510" s="3" t="str">
        <f>IF(T510&lt;0, "negative_discount", IF(AND(T510&gt;0.5, T510&lt;=1), "high_discount", ""))</f>
        <v/>
      </c>
      <c r="V510" s="11">
        <v>7324</v>
      </c>
      <c r="W510" s="12">
        <v>7324</v>
      </c>
      <c r="X510" s="11">
        <v>4179.63</v>
      </c>
      <c r="Y510" s="11">
        <v>3144.37</v>
      </c>
      <c r="Z510" s="11">
        <f>ROUND(W510-X510,2)</f>
        <v>3144.37</v>
      </c>
      <c r="AA510" s="4">
        <f>IF(W510=0,0,Z510/W510)</f>
        <v>0.42932413981430911</v>
      </c>
      <c r="AB510" t="s">
        <v>31</v>
      </c>
      <c r="AC510" t="s">
        <v>32</v>
      </c>
      <c r="AD510" t="str">
        <f>IF(AND(E510="", T510&gt;=0, T510&lt;=0.5, K510&lt;&gt;"Unknown", Q510&lt;&gt;"Unknown"), "CLEAN", _xlfn.CONCAT("WARNING: ", IF(E510&lt;&gt;"","invalid_date",""), IF(T510&lt;0,"negative_discount",""), IF(AND(T510&gt;0.5,T510&lt;=1),"high_discount",""), IF(K510="Unknown","missing_region",""), IF(Q510="Unknown","missing_ship_mode","")))</f>
        <v>CLEAN</v>
      </c>
      <c r="AE510" t="str">
        <f>IF(COUNTIF($AF$2:$AF$926,AF510)&gt;1,"DUPLICATE","UNIQUE")</f>
        <v>UNIQUE</v>
      </c>
      <c r="AF510" t="str">
        <f>A510&amp;"|"&amp;B510&amp;"|"&amp;H510&amp;"|"&amp;I510&amp;"|"&amp;R510&amp;"|"&amp;S510&amp;"|"&amp;V510</f>
        <v>ORD-2024-10509|2024-03-31|CUST-3333|Isha Nair|4|1831|7324</v>
      </c>
      <c r="AG510" t="str">
        <f>IF(COUNTIF($A$2:$A$913,A510)&gt;1,"TRUE","FALSE")</f>
        <v>FALSE</v>
      </c>
    </row>
    <row r="511" spans="1:33">
      <c r="A511" t="s">
        <v>3202</v>
      </c>
      <c r="B511" t="s">
        <v>1599</v>
      </c>
      <c r="C511" t="s">
        <v>2944</v>
      </c>
      <c r="D511">
        <f>IF(OR(B511="", C511=""), "", (C511 - B511))</f>
        <v>2</v>
      </c>
      <c r="E511" t="str">
        <f>IF(C511&lt;B511, "INVALID: Ship date before order date", "")</f>
        <v/>
      </c>
      <c r="F511" t="str">
        <f>IF(B511="", "", TEXT(B511, "mmmm"))</f>
        <v>May</v>
      </c>
      <c r="G511">
        <f>IF(B511="", "", YEAR(B511))</f>
        <v>2025</v>
      </c>
      <c r="H511" t="s">
        <v>1600</v>
      </c>
      <c r="I511" t="s">
        <v>78</v>
      </c>
      <c r="J511" t="s">
        <v>23</v>
      </c>
      <c r="K511" t="s">
        <v>62</v>
      </c>
      <c r="L511" t="s">
        <v>176</v>
      </c>
      <c r="M511" t="s">
        <v>177</v>
      </c>
      <c r="N511" t="s">
        <v>74</v>
      </c>
      <c r="O511" t="s">
        <v>272</v>
      </c>
      <c r="P511" t="s">
        <v>1601</v>
      </c>
      <c r="Q511" t="s">
        <v>43</v>
      </c>
      <c r="R511">
        <v>8</v>
      </c>
      <c r="S511" s="15">
        <v>3631.44</v>
      </c>
      <c r="T511" s="4">
        <v>0.2</v>
      </c>
      <c r="U511" s="3" t="str">
        <f>IF(T511&lt;0, "negative_discount", IF(AND(T511&gt;0.5, T511&lt;=1), "high_discount", ""))</f>
        <v/>
      </c>
      <c r="V511" s="11">
        <v>23241.22</v>
      </c>
      <c r="W511" s="12">
        <v>23241.22</v>
      </c>
      <c r="X511" s="11">
        <v>17220.900000000001</v>
      </c>
      <c r="Y511" s="11">
        <v>6020.32</v>
      </c>
      <c r="Z511" s="11">
        <f>ROUND(W511-X511,2)</f>
        <v>6020.32</v>
      </c>
      <c r="AA511" s="4">
        <f>IF(W511=0,0,Z511/W511)</f>
        <v>0.25903631564952267</v>
      </c>
      <c r="AB511" t="s">
        <v>31</v>
      </c>
      <c r="AC511" t="s">
        <v>32</v>
      </c>
      <c r="AD511" t="str">
        <f>IF(AND(E511="", T511&gt;=0, T511&lt;=0.5, K511&lt;&gt;"Unknown", Q511&lt;&gt;"Unknown"), "CLEAN", _xlfn.CONCAT("WARNING: ", IF(E511&lt;&gt;"","invalid_date",""), IF(T511&lt;0,"negative_discount",""), IF(AND(T511&gt;0.5,T511&lt;=1),"high_discount",""), IF(K511="Unknown","missing_region",""), IF(Q511="Unknown","missing_ship_mode","")))</f>
        <v>CLEAN</v>
      </c>
      <c r="AE511" t="str">
        <f>IF(COUNTIF($AF$2:$AF$926,AF511)&gt;1,"DUPLICATE","UNIQUE")</f>
        <v>UNIQUE</v>
      </c>
      <c r="AF511" t="str">
        <f>A511&amp;"|"&amp;B511&amp;"|"&amp;H511&amp;"|"&amp;I511&amp;"|"&amp;R511&amp;"|"&amp;S511&amp;"|"&amp;V511</f>
        <v>ORD-2025-10510|2025-05-12|CUST-7901|Neha Gupta|8|3631.44|23241.22</v>
      </c>
      <c r="AG511" t="str">
        <f>IF(COUNTIF($A$2:$A$913,A511)&gt;1,"TRUE","FALSE")</f>
        <v>FALSE</v>
      </c>
    </row>
    <row r="512" spans="1:33">
      <c r="A512" t="s">
        <v>1602</v>
      </c>
      <c r="B512" t="s">
        <v>2710</v>
      </c>
      <c r="C512" t="s">
        <v>2920</v>
      </c>
      <c r="D512">
        <f>IF(OR(B512="", C512=""), "", (C512 - B512))</f>
        <v>3</v>
      </c>
      <c r="E512" t="str">
        <f>IF(C512&lt;B512, "INVALID: Ship date before order date", "")</f>
        <v/>
      </c>
      <c r="F512" t="str">
        <f>IF(B512="", "", TEXT(B512, "mmmm"))</f>
        <v>October</v>
      </c>
      <c r="G512">
        <f>IF(B512="", "", YEAR(B512))</f>
        <v>2024</v>
      </c>
      <c r="H512" t="s">
        <v>1603</v>
      </c>
      <c r="I512" t="s">
        <v>126</v>
      </c>
      <c r="J512" t="s">
        <v>23</v>
      </c>
      <c r="K512" t="s">
        <v>53</v>
      </c>
      <c r="L512" t="s">
        <v>171</v>
      </c>
      <c r="M512" t="s">
        <v>172</v>
      </c>
      <c r="N512" t="s">
        <v>27</v>
      </c>
      <c r="O512" t="s">
        <v>122</v>
      </c>
      <c r="P512" t="s">
        <v>1604</v>
      </c>
      <c r="Q512" t="s">
        <v>30</v>
      </c>
      <c r="R512">
        <v>2</v>
      </c>
      <c r="S512" s="15">
        <v>4238.51</v>
      </c>
      <c r="T512" s="4">
        <v>0</v>
      </c>
      <c r="U512" s="3" t="str">
        <f>IF(T512&lt;0, "negative_discount", IF(AND(T512&gt;0.5, T512&lt;=1), "high_discount", ""))</f>
        <v/>
      </c>
      <c r="V512" s="11">
        <v>8477.02</v>
      </c>
      <c r="W512" s="12">
        <v>8477.02</v>
      </c>
      <c r="X512" s="11">
        <v>6884.96</v>
      </c>
      <c r="Y512" s="11">
        <v>1592.06</v>
      </c>
      <c r="Z512" s="11">
        <f>ROUND(W512-X512,2)</f>
        <v>1592.06</v>
      </c>
      <c r="AA512" s="4">
        <f>IF(W512=0,0,Z512/W512)</f>
        <v>0.18780892341884292</v>
      </c>
      <c r="AB512" t="s">
        <v>31</v>
      </c>
      <c r="AC512" t="s">
        <v>32</v>
      </c>
      <c r="AD512" t="str">
        <f>IF(AND(E512="", T512&gt;=0, T512&lt;=0.5, K512&lt;&gt;"Unknown", Q512&lt;&gt;"Unknown"), "CLEAN", _xlfn.CONCAT("WARNING: ", IF(E512&lt;&gt;"","invalid_date",""), IF(T512&lt;0,"negative_discount",""), IF(AND(T512&gt;0.5,T512&lt;=1),"high_discount",""), IF(K512="Unknown","missing_region",""), IF(Q512="Unknown","missing_ship_mode","")))</f>
        <v>CLEAN</v>
      </c>
      <c r="AE512" t="str">
        <f>IF(COUNTIF($AF$2:$AF$926,AF512)&gt;1,"DUPLICATE","UNIQUE")</f>
        <v>UNIQUE</v>
      </c>
      <c r="AF512" t="str">
        <f>A512&amp;"|"&amp;B512&amp;"|"&amp;H512&amp;"|"&amp;I512&amp;"|"&amp;R512&amp;"|"&amp;S512&amp;"|"&amp;V512</f>
        <v>ORD-2024-10511|2024-10-18|CUST-9759|Aarav Sharma|2|4238.51|8477.02</v>
      </c>
      <c r="AG512" t="str">
        <f>IF(COUNTIF($A$2:$A$913,A512)&gt;1,"TRUE","FALSE")</f>
        <v>FALSE</v>
      </c>
    </row>
    <row r="513" spans="1:33">
      <c r="A513" t="s">
        <v>1605</v>
      </c>
      <c r="B513" t="s">
        <v>2822</v>
      </c>
      <c r="C513" t="s">
        <v>2691</v>
      </c>
      <c r="D513">
        <f>IF(OR(B513="", C513=""), "", (C513 - B513))</f>
        <v>3</v>
      </c>
      <c r="E513" t="str">
        <f>IF(C513&lt;B513, "INVALID: Ship date before order date", "")</f>
        <v/>
      </c>
      <c r="F513" t="str">
        <f>IF(B513="", "", TEXT(B513, "mmmm"))</f>
        <v>October</v>
      </c>
      <c r="G513">
        <f>IF(B513="", "", YEAR(B513))</f>
        <v>2024</v>
      </c>
      <c r="H513" t="s">
        <v>1606</v>
      </c>
      <c r="I513" t="s">
        <v>131</v>
      </c>
      <c r="J513" t="s">
        <v>23</v>
      </c>
      <c r="K513" t="s">
        <v>62</v>
      </c>
      <c r="L513" t="s">
        <v>72</v>
      </c>
      <c r="M513" t="s">
        <v>73</v>
      </c>
      <c r="N513" t="s">
        <v>40</v>
      </c>
      <c r="O513" t="s">
        <v>153</v>
      </c>
      <c r="P513" t="s">
        <v>1607</v>
      </c>
      <c r="Q513" t="s">
        <v>58</v>
      </c>
      <c r="R513">
        <v>9</v>
      </c>
      <c r="S513" s="15">
        <v>544.27</v>
      </c>
      <c r="T513" s="4">
        <v>0.25</v>
      </c>
      <c r="U513" s="3" t="str">
        <f>IF(T513&lt;0, "negative_discount", IF(AND(T513&gt;0.5, T513&lt;=1), "high_discount", ""))</f>
        <v/>
      </c>
      <c r="V513" s="11">
        <v>3673.82</v>
      </c>
      <c r="W513" s="12">
        <v>3673.82</v>
      </c>
      <c r="X513" s="11">
        <v>2088.15</v>
      </c>
      <c r="Y513" s="11">
        <v>1585.67</v>
      </c>
      <c r="Z513" s="11">
        <f>ROUND(W513-X513,2)</f>
        <v>1585.67</v>
      </c>
      <c r="AA513" s="4">
        <f>IF(W513=0,0,Z513/W513)</f>
        <v>0.43161341600840541</v>
      </c>
      <c r="AB513" t="s">
        <v>31</v>
      </c>
      <c r="AC513" t="s">
        <v>32</v>
      </c>
      <c r="AD513" t="str">
        <f>IF(AND(E513="", T513&gt;=0, T513&lt;=0.5, K513&lt;&gt;"Unknown", Q513&lt;&gt;"Unknown"), "CLEAN", _xlfn.CONCAT("WARNING: ", IF(E513&lt;&gt;"","invalid_date",""), IF(T513&lt;0,"negative_discount",""), IF(AND(T513&gt;0.5,T513&lt;=1),"high_discount",""), IF(K513="Unknown","missing_region",""), IF(Q513="Unknown","missing_ship_mode","")))</f>
        <v>CLEAN</v>
      </c>
      <c r="AE513" t="str">
        <f>IF(COUNTIF($AF$2:$AF$926,AF513)&gt;1,"DUPLICATE","UNIQUE")</f>
        <v>UNIQUE</v>
      </c>
      <c r="AF513" t="str">
        <f>A513&amp;"|"&amp;B513&amp;"|"&amp;H513&amp;"|"&amp;I513&amp;"|"&amp;R513&amp;"|"&amp;S513&amp;"|"&amp;V513</f>
        <v>ORD-2024-10512|2024-10-23|CUST-7232|Sneha Kapoor|9|544.27|3673.82</v>
      </c>
      <c r="AG513" t="str">
        <f>IF(COUNTIF($A$2:$A$913,A513)&gt;1,"TRUE","FALSE")</f>
        <v>FALSE</v>
      </c>
    </row>
    <row r="514" spans="1:33">
      <c r="A514" t="s">
        <v>3203</v>
      </c>
      <c r="B514" t="s">
        <v>2715</v>
      </c>
      <c r="C514" t="s">
        <v>1608</v>
      </c>
      <c r="D514">
        <f>IF(OR(B514="", C514=""), "", (C514 - B514))</f>
        <v>1</v>
      </c>
      <c r="E514" t="str">
        <f>IF(C514&lt;B514, "INVALID: Ship date before order date", "")</f>
        <v/>
      </c>
      <c r="F514" t="str">
        <f>IF(B514="", "", TEXT(B514, "mmmm"))</f>
        <v>March</v>
      </c>
      <c r="G514">
        <f>IF(B514="", "", YEAR(B514))</f>
        <v>2025</v>
      </c>
      <c r="H514" t="s">
        <v>1225</v>
      </c>
      <c r="I514" t="s">
        <v>46</v>
      </c>
      <c r="J514" t="s">
        <v>89</v>
      </c>
      <c r="K514" t="s">
        <v>53</v>
      </c>
      <c r="L514" t="s">
        <v>180</v>
      </c>
      <c r="M514" t="s">
        <v>181</v>
      </c>
      <c r="N514" t="s">
        <v>27</v>
      </c>
      <c r="O514" t="s">
        <v>90</v>
      </c>
      <c r="P514" t="s">
        <v>1609</v>
      </c>
      <c r="Q514" t="s">
        <v>30</v>
      </c>
      <c r="R514">
        <v>2</v>
      </c>
      <c r="S514" s="15">
        <v>4031.45</v>
      </c>
      <c r="T514" s="4">
        <v>0.25</v>
      </c>
      <c r="U514" s="3" t="str">
        <f>IF(T514&lt;0, "negative_discount", IF(AND(T514&gt;0.5, T514&lt;=1), "high_discount", ""))</f>
        <v/>
      </c>
      <c r="V514" s="11">
        <v>6047.17</v>
      </c>
      <c r="W514" s="12">
        <v>6047.18</v>
      </c>
      <c r="X514" s="11">
        <v>3368.79</v>
      </c>
      <c r="Y514" s="11">
        <v>2678.38</v>
      </c>
      <c r="Z514" s="11">
        <f>ROUND(W514-X514,2)</f>
        <v>2678.39</v>
      </c>
      <c r="AA514" s="4">
        <f>IF(W514=0,0,Z514/W514)</f>
        <v>0.44291554079752871</v>
      </c>
      <c r="AB514" t="s">
        <v>31</v>
      </c>
      <c r="AC514" t="s">
        <v>32</v>
      </c>
      <c r="AD514" t="str">
        <f>IF(AND(E514="", T514&gt;=0, T514&lt;=0.5, K514&lt;&gt;"Unknown", Q514&lt;&gt;"Unknown"), "CLEAN", _xlfn.CONCAT("WARNING: ", IF(E514&lt;&gt;"","invalid_date",""), IF(T514&lt;0,"negative_discount",""), IF(AND(T514&gt;0.5,T514&lt;=1),"high_discount",""), IF(K514="Unknown","missing_region",""), IF(Q514="Unknown","missing_ship_mode","")))</f>
        <v>CLEAN</v>
      </c>
      <c r="AE514" t="str">
        <f>IF(COUNTIF($AF$2:$AF$926,AF514)&gt;1,"DUPLICATE","UNIQUE")</f>
        <v>UNIQUE</v>
      </c>
      <c r="AF514" t="str">
        <f>A514&amp;"|"&amp;B514&amp;"|"&amp;H514&amp;"|"&amp;I514&amp;"|"&amp;R514&amp;"|"&amp;S514&amp;"|"&amp;V514</f>
        <v>ORD-2025-10513|2025-03-02|CUST-9943|Isha Nair|2|4031.45|6047.17</v>
      </c>
      <c r="AG514" t="str">
        <f>IF(COUNTIF($A$2:$A$913,A514)&gt;1,"TRUE","FALSE")</f>
        <v>FALSE</v>
      </c>
    </row>
    <row r="515" spans="1:33">
      <c r="A515" t="s">
        <v>3204</v>
      </c>
      <c r="B515" t="s">
        <v>1091</v>
      </c>
      <c r="C515" t="s">
        <v>2810</v>
      </c>
      <c r="D515">
        <f>IF(OR(B515="", C515=""), "", (C515 - B515))</f>
        <v>5</v>
      </c>
      <c r="E515" t="str">
        <f>IF(C515&lt;B515, "INVALID: Ship date before order date", "")</f>
        <v/>
      </c>
      <c r="F515" t="str">
        <f>IF(B515="", "", TEXT(B515, "mmmm"))</f>
        <v>June</v>
      </c>
      <c r="G515">
        <f>IF(B515="", "", YEAR(B515))</f>
        <v>2025</v>
      </c>
      <c r="H515" t="s">
        <v>1610</v>
      </c>
      <c r="I515" t="s">
        <v>126</v>
      </c>
      <c r="J515" t="s">
        <v>89</v>
      </c>
      <c r="K515" t="s">
        <v>53</v>
      </c>
      <c r="L515" t="s">
        <v>180</v>
      </c>
      <c r="M515" t="s">
        <v>181</v>
      </c>
      <c r="N515" t="s">
        <v>74</v>
      </c>
      <c r="O515" t="s">
        <v>75</v>
      </c>
      <c r="P515" t="s">
        <v>1611</v>
      </c>
      <c r="Q515" t="s">
        <v>49</v>
      </c>
      <c r="R515">
        <v>6</v>
      </c>
      <c r="S515" s="15">
        <v>1099.49</v>
      </c>
      <c r="T515" s="4">
        <v>0.1</v>
      </c>
      <c r="U515" s="3" t="str">
        <f>IF(T515&lt;0, "negative_discount", IF(AND(T515&gt;0.5, T515&lt;=1), "high_discount", ""))</f>
        <v/>
      </c>
      <c r="V515" s="11">
        <v>6212.38</v>
      </c>
      <c r="W515" s="12">
        <v>5937.25</v>
      </c>
      <c r="X515" s="11">
        <v>4088.46</v>
      </c>
      <c r="Y515" s="11">
        <v>1848.79</v>
      </c>
      <c r="Z515" s="11">
        <f>ROUND(W515-X515,2)</f>
        <v>1848.79</v>
      </c>
      <c r="AA515" s="4">
        <f>IF(W515=0,0,Z515/W515)</f>
        <v>0.31138826897974653</v>
      </c>
      <c r="AB515" t="s">
        <v>31</v>
      </c>
      <c r="AC515" t="s">
        <v>32</v>
      </c>
      <c r="AD515" t="str">
        <f>IF(AND(E515="", T515&gt;=0, T515&lt;=0.5, K515&lt;&gt;"Unknown", Q515&lt;&gt;"Unknown"), "CLEAN", _xlfn.CONCAT("WARNING: ", IF(E515&lt;&gt;"","invalid_date",""), IF(T515&lt;0,"negative_discount",""), IF(AND(T515&gt;0.5,T515&lt;=1),"high_discount",""), IF(K515="Unknown","missing_region",""), IF(Q515="Unknown","missing_ship_mode","")))</f>
        <v>CLEAN</v>
      </c>
      <c r="AE515" t="str">
        <f>IF(COUNTIF($AF$2:$AF$926,AF515)&gt;1,"DUPLICATE","UNIQUE")</f>
        <v>UNIQUE</v>
      </c>
      <c r="AF515" t="str">
        <f>A515&amp;"|"&amp;B515&amp;"|"&amp;H515&amp;"|"&amp;I515&amp;"|"&amp;R515&amp;"|"&amp;S515&amp;"|"&amp;V515</f>
        <v>ORD-2025-10514|2025-06-27|CUST-8993|Aarav Sharma|6|1099.49|6212.38</v>
      </c>
      <c r="AG515" t="str">
        <f>IF(COUNTIF($A$2:$A$913,A515)&gt;1,"TRUE","FALSE")</f>
        <v>FALSE</v>
      </c>
    </row>
    <row r="516" spans="1:33">
      <c r="A516" t="s">
        <v>1612</v>
      </c>
      <c r="B516" t="s">
        <v>2823</v>
      </c>
      <c r="C516" t="s">
        <v>1548</v>
      </c>
      <c r="D516">
        <f>IF(OR(B516="", C516=""), "", (C516 - B516))</f>
        <v>4</v>
      </c>
      <c r="E516" t="str">
        <f>IF(C516&lt;B516, "INVALID: Ship date before order date", "")</f>
        <v/>
      </c>
      <c r="F516" t="str">
        <f>IF(B516="", "", TEXT(B516, "mmmm"))</f>
        <v>November</v>
      </c>
      <c r="G516">
        <f>IF(B516="", "", YEAR(B516))</f>
        <v>2024</v>
      </c>
      <c r="H516" t="s">
        <v>1613</v>
      </c>
      <c r="I516" t="s">
        <v>22</v>
      </c>
      <c r="J516" t="s">
        <v>93</v>
      </c>
      <c r="K516" t="s">
        <v>53</v>
      </c>
      <c r="L516" t="s">
        <v>180</v>
      </c>
      <c r="M516" t="s">
        <v>181</v>
      </c>
      <c r="N516" t="s">
        <v>74</v>
      </c>
      <c r="O516" t="s">
        <v>75</v>
      </c>
      <c r="P516" t="s">
        <v>1614</v>
      </c>
      <c r="Q516" t="s">
        <v>58</v>
      </c>
      <c r="R516">
        <v>6</v>
      </c>
      <c r="S516" s="15">
        <v>3872.94</v>
      </c>
      <c r="T516" s="4">
        <v>0.1</v>
      </c>
      <c r="U516" s="3" t="str">
        <f>IF(T516&lt;0, "negative_discount", IF(AND(T516&gt;0.5, T516&lt;=1), "high_discount", ""))</f>
        <v/>
      </c>
      <c r="V516" s="11">
        <v>20913.88</v>
      </c>
      <c r="W516" s="12">
        <v>20913.88</v>
      </c>
      <c r="X516" s="11">
        <v>11684.68</v>
      </c>
      <c r="Y516" s="11">
        <v>9229.2000000000007</v>
      </c>
      <c r="Z516" s="11">
        <f>ROUND(W516-X516,2)</f>
        <v>9229.2000000000007</v>
      </c>
      <c r="AA516" s="4">
        <f>IF(W516=0,0,Z516/W516)</f>
        <v>0.44129544589526193</v>
      </c>
      <c r="AB516" t="s">
        <v>31</v>
      </c>
      <c r="AC516" t="s">
        <v>32</v>
      </c>
      <c r="AD516" t="str">
        <f>IF(AND(E516="", T516&gt;=0, T516&lt;=0.5, K516&lt;&gt;"Unknown", Q516&lt;&gt;"Unknown"), "CLEAN", _xlfn.CONCAT("WARNING: ", IF(E516&lt;&gt;"","invalid_date",""), IF(T516&lt;0,"negative_discount",""), IF(AND(T516&gt;0.5,T516&lt;=1),"high_discount",""), IF(K516="Unknown","missing_region",""), IF(Q516="Unknown","missing_ship_mode","")))</f>
        <v>CLEAN</v>
      </c>
      <c r="AE516" t="str">
        <f>IF(COUNTIF($AF$2:$AF$926,AF516)&gt;1,"DUPLICATE","UNIQUE")</f>
        <v>UNIQUE</v>
      </c>
      <c r="AF516" t="str">
        <f>A516&amp;"|"&amp;B516&amp;"|"&amp;H516&amp;"|"&amp;I516&amp;"|"&amp;R516&amp;"|"&amp;S516&amp;"|"&amp;V516</f>
        <v>ORD-2024-10515|2024-11-18|CUST-7729|Karan Malhotra|6|3872.94|20913.88</v>
      </c>
      <c r="AG516" t="str">
        <f>IF(COUNTIF($A$2:$A$913,A516)&gt;1,"TRUE","FALSE")</f>
        <v>FALSE</v>
      </c>
    </row>
    <row r="517" spans="1:33">
      <c r="A517" t="s">
        <v>3205</v>
      </c>
      <c r="B517" t="s">
        <v>1615</v>
      </c>
      <c r="C517" t="s">
        <v>1615</v>
      </c>
      <c r="D517">
        <f>IF(OR(B517="", C517=""), "", (C517 - B517))</f>
        <v>0</v>
      </c>
      <c r="E517" t="str">
        <f>IF(C517&lt;B517, "INVALID: Ship date before order date", "")</f>
        <v/>
      </c>
      <c r="F517" t="str">
        <f>IF(B517="", "", TEXT(B517, "mmmm"))</f>
        <v>April</v>
      </c>
      <c r="G517">
        <f>IF(B517="", "", YEAR(B517))</f>
        <v>2025</v>
      </c>
      <c r="H517" t="s">
        <v>1616</v>
      </c>
      <c r="I517" t="s">
        <v>116</v>
      </c>
      <c r="J517" t="s">
        <v>89</v>
      </c>
      <c r="K517" t="s">
        <v>24</v>
      </c>
      <c r="L517" t="s">
        <v>353</v>
      </c>
      <c r="M517" t="s">
        <v>354</v>
      </c>
      <c r="N517" t="s">
        <v>27</v>
      </c>
      <c r="O517" t="s">
        <v>28</v>
      </c>
      <c r="P517" t="s">
        <v>1617</v>
      </c>
      <c r="Q517" t="s">
        <v>58</v>
      </c>
      <c r="R517">
        <v>1</v>
      </c>
      <c r="S517" s="15">
        <v>4458.49</v>
      </c>
      <c r="T517" s="4">
        <v>-7.0000000000000007E-2</v>
      </c>
      <c r="U517" s="3" t="str">
        <f>IF(T517&lt;0, "negative_discount", IF(AND(T517&gt;0.5, T517&lt;=1), "high_discount", ""))</f>
        <v>negative_discount</v>
      </c>
      <c r="V517" s="11">
        <v>3566.79</v>
      </c>
      <c r="W517" s="12">
        <v>4770.58</v>
      </c>
      <c r="X517" s="11">
        <v>2083.41</v>
      </c>
      <c r="Y517" s="11">
        <v>1483.38</v>
      </c>
      <c r="Z517" s="11">
        <f>ROUND(W517-X517,2)</f>
        <v>2687.17</v>
      </c>
      <c r="AA517" s="4">
        <f>IF(W517=0,0,Z517/W517)</f>
        <v>0.56327951737524584</v>
      </c>
      <c r="AB517" t="s">
        <v>31</v>
      </c>
      <c r="AC517" t="s">
        <v>32</v>
      </c>
      <c r="AD517" t="str">
        <f>IF(AND(E517="", T517&gt;=0, T517&lt;=0.5, K517&lt;&gt;"Unknown", Q517&lt;&gt;"Unknown"), "CLEAN", _xlfn.CONCAT("WARNING: ", IF(E517&lt;&gt;"","invalid_date",""), IF(T517&lt;0,"negative_discount",""), IF(AND(T517&gt;0.5,T517&lt;=1),"high_discount",""), IF(K517="Unknown","missing_region",""), IF(Q517="Unknown","missing_ship_mode","")))</f>
        <v>WARNING: negative_discount</v>
      </c>
      <c r="AE517" t="str">
        <f>IF(COUNTIF($AF$2:$AF$926,AF517)&gt;1,"DUPLICATE","UNIQUE")</f>
        <v>UNIQUE</v>
      </c>
      <c r="AF517" t="str">
        <f>A517&amp;"|"&amp;B517&amp;"|"&amp;H517&amp;"|"&amp;I517&amp;"|"&amp;R517&amp;"|"&amp;S517&amp;"|"&amp;V517</f>
        <v>ORD-2025-10516|2025-04-11|CUST-9986|Rahul Verma|1|4458.49|3566.79</v>
      </c>
      <c r="AG517" t="str">
        <f>IF(COUNTIF($A$2:$A$913,A517)&gt;1,"TRUE","FALSE")</f>
        <v>FALSE</v>
      </c>
    </row>
    <row r="518" spans="1:33">
      <c r="A518" t="s">
        <v>1618</v>
      </c>
      <c r="B518" t="s">
        <v>1578</v>
      </c>
      <c r="C518" t="s">
        <v>1903</v>
      </c>
      <c r="D518">
        <f>IF(OR(B518="", C518=""), "", (C518 - B518))</f>
        <v>6</v>
      </c>
      <c r="E518" t="str">
        <f>IF(C518&lt;B518, "INVALID: Ship date before order date", "")</f>
        <v/>
      </c>
      <c r="F518" t="str">
        <f>IF(B518="", "", TEXT(B518, "mmmm"))</f>
        <v>September</v>
      </c>
      <c r="G518">
        <f>IF(B518="", "", YEAR(B518))</f>
        <v>2024</v>
      </c>
      <c r="H518" t="s">
        <v>1619</v>
      </c>
      <c r="I518" t="s">
        <v>263</v>
      </c>
      <c r="J518" t="s">
        <v>93</v>
      </c>
      <c r="K518" t="s">
        <v>24</v>
      </c>
      <c r="L518" t="s">
        <v>353</v>
      </c>
      <c r="M518" t="s">
        <v>354</v>
      </c>
      <c r="N518" t="s">
        <v>74</v>
      </c>
      <c r="O518" t="s">
        <v>79</v>
      </c>
      <c r="P518" t="s">
        <v>1620</v>
      </c>
      <c r="Q518" t="s">
        <v>58</v>
      </c>
      <c r="R518">
        <v>1</v>
      </c>
      <c r="S518" s="15">
        <v>2233.1799999999998</v>
      </c>
      <c r="T518" s="4">
        <v>0</v>
      </c>
      <c r="U518" s="3" t="str">
        <f>IF(T518&lt;0, "negative_discount", IF(AND(T518&gt;0.5, T518&lt;=1), "high_discount", ""))</f>
        <v/>
      </c>
      <c r="V518" s="11">
        <v>2233.1799999999998</v>
      </c>
      <c r="W518" s="12">
        <v>2233.1799999999998</v>
      </c>
      <c r="X518" s="11">
        <v>1585.82</v>
      </c>
      <c r="Y518" s="11">
        <v>647.36</v>
      </c>
      <c r="Z518" s="11">
        <f>ROUND(W518-X518,2)</f>
        <v>647.36</v>
      </c>
      <c r="AA518" s="4">
        <f>IF(W518=0,0,Z518/W518)</f>
        <v>0.28988258895386848</v>
      </c>
      <c r="AB518" t="s">
        <v>151</v>
      </c>
      <c r="AC518" t="s">
        <v>100</v>
      </c>
      <c r="AD518" t="str">
        <f>IF(AND(E518="", T518&gt;=0, T518&lt;=0.5, K518&lt;&gt;"Unknown", Q518&lt;&gt;"Unknown"), "CLEAN", _xlfn.CONCAT("WARNING: ", IF(E518&lt;&gt;"","invalid_date",""), IF(T518&lt;0,"negative_discount",""), IF(AND(T518&gt;0.5,T518&lt;=1),"high_discount",""), IF(K518="Unknown","missing_region",""), IF(Q518="Unknown","missing_ship_mode","")))</f>
        <v>CLEAN</v>
      </c>
      <c r="AE518" t="str">
        <f>IF(COUNTIF($AF$2:$AF$926,AF518)&gt;1,"DUPLICATE","UNIQUE")</f>
        <v>UNIQUE</v>
      </c>
      <c r="AF518" t="str">
        <f>A518&amp;"|"&amp;B518&amp;"|"&amp;H518&amp;"|"&amp;I518&amp;"|"&amp;R518&amp;"|"&amp;S518&amp;"|"&amp;V518</f>
        <v>ORD-2024-10517|2024-09-28|CUST-2731|Kabir Singh|1|2233.18|2233.18</v>
      </c>
      <c r="AG518" t="str">
        <f>IF(COUNTIF($A$2:$A$913,A518)&gt;1,"TRUE","FALSE")</f>
        <v>FALSE</v>
      </c>
    </row>
    <row r="519" spans="1:33">
      <c r="A519" t="s">
        <v>3206</v>
      </c>
      <c r="B519" t="s">
        <v>1621</v>
      </c>
      <c r="C519" t="s">
        <v>2777</v>
      </c>
      <c r="D519">
        <f>IF(OR(B519="", C519=""), "", (C519 - B519))</f>
        <v>2</v>
      </c>
      <c r="E519" t="str">
        <f>IF(C519&lt;B519, "INVALID: Ship date before order date", "")</f>
        <v/>
      </c>
      <c r="F519" t="str">
        <f>IF(B519="", "", TEXT(B519, "mmmm"))</f>
        <v>May</v>
      </c>
      <c r="G519">
        <f>IF(B519="", "", YEAR(B519))</f>
        <v>2025</v>
      </c>
      <c r="H519" t="s">
        <v>1622</v>
      </c>
      <c r="I519" t="s">
        <v>116</v>
      </c>
      <c r="J519" t="s">
        <v>23</v>
      </c>
      <c r="K519" t="s">
        <v>37</v>
      </c>
      <c r="L519" t="s">
        <v>38</v>
      </c>
      <c r="M519" t="s">
        <v>39</v>
      </c>
      <c r="N519" t="s">
        <v>40</v>
      </c>
      <c r="O519" t="s">
        <v>56</v>
      </c>
      <c r="P519" t="s">
        <v>1623</v>
      </c>
      <c r="Q519" t="s">
        <v>30</v>
      </c>
      <c r="R519">
        <v>7</v>
      </c>
      <c r="S519" s="15">
        <v>2123.2800000000002</v>
      </c>
      <c r="T519" s="4">
        <v>0.2</v>
      </c>
      <c r="U519" s="3" t="str">
        <f>IF(T519&lt;0, "negative_discount", IF(AND(T519&gt;0.5, T519&lt;=1), "high_discount", ""))</f>
        <v/>
      </c>
      <c r="V519" s="11">
        <v>11890.37</v>
      </c>
      <c r="W519" s="12">
        <v>11890.37</v>
      </c>
      <c r="X519" s="11">
        <v>9234.5300000000007</v>
      </c>
      <c r="Y519" s="11">
        <v>2655.84</v>
      </c>
      <c r="Z519" s="11">
        <f>ROUND(W519-X519,2)</f>
        <v>2655.84</v>
      </c>
      <c r="AA519" s="4">
        <f>IF(W519=0,0,Z519/W519)</f>
        <v>0.22336058507851311</v>
      </c>
      <c r="AB519" t="s">
        <v>99</v>
      </c>
      <c r="AC519" t="s">
        <v>100</v>
      </c>
      <c r="AD519" t="str">
        <f>IF(AND(E519="", T519&gt;=0, T519&lt;=0.5, K519&lt;&gt;"Unknown", Q519&lt;&gt;"Unknown"), "CLEAN", _xlfn.CONCAT("WARNING: ", IF(E519&lt;&gt;"","invalid_date",""), IF(T519&lt;0,"negative_discount",""), IF(AND(T519&gt;0.5,T519&lt;=1),"high_discount",""), IF(K519="Unknown","missing_region",""), IF(Q519="Unknown","missing_ship_mode","")))</f>
        <v>CLEAN</v>
      </c>
      <c r="AE519" t="str">
        <f>IF(COUNTIF($AF$2:$AF$926,AF519)&gt;1,"DUPLICATE","UNIQUE")</f>
        <v>UNIQUE</v>
      </c>
      <c r="AF519" t="str">
        <f>A519&amp;"|"&amp;B519&amp;"|"&amp;H519&amp;"|"&amp;I519&amp;"|"&amp;R519&amp;"|"&amp;S519&amp;"|"&amp;V519</f>
        <v>ORD-2025-10518|2025-05-25|CUST-4235|Rahul Verma|7|2123.28|11890.37</v>
      </c>
      <c r="AG519" t="str">
        <f>IF(COUNTIF($A$2:$A$913,A519)&gt;1,"TRUE","FALSE")</f>
        <v>FALSE</v>
      </c>
    </row>
    <row r="520" spans="1:33">
      <c r="A520" t="s">
        <v>3207</v>
      </c>
      <c r="B520" t="s">
        <v>2824</v>
      </c>
      <c r="C520" t="s">
        <v>2892</v>
      </c>
      <c r="D520">
        <f>IF(OR(B520="", C520=""), "", (C520 - B520))</f>
        <v>-4</v>
      </c>
      <c r="E520" t="str">
        <f>IF(C520&lt;B520, "INVALID: Ship date before order date", "")</f>
        <v>INVALID: Ship date before order date</v>
      </c>
      <c r="F520" t="str">
        <f>IF(B520="", "", TEXT(B520, "mmmm"))</f>
        <v>April</v>
      </c>
      <c r="G520">
        <f>IF(B520="", "", YEAR(B520))</f>
        <v>2025</v>
      </c>
      <c r="H520" t="s">
        <v>1624</v>
      </c>
      <c r="I520" t="s">
        <v>158</v>
      </c>
      <c r="J520" t="s">
        <v>89</v>
      </c>
      <c r="K520" t="s">
        <v>37</v>
      </c>
      <c r="L520" t="s">
        <v>38</v>
      </c>
      <c r="M520" t="s">
        <v>39</v>
      </c>
      <c r="N520" t="s">
        <v>40</v>
      </c>
      <c r="O520" t="s">
        <v>41</v>
      </c>
      <c r="P520" t="s">
        <v>1625</v>
      </c>
      <c r="Q520" t="s">
        <v>49</v>
      </c>
      <c r="R520">
        <v>7</v>
      </c>
      <c r="S520" s="15">
        <v>1604.13</v>
      </c>
      <c r="T520" s="4">
        <v>0.25</v>
      </c>
      <c r="U520" s="3" t="str">
        <f>IF(T520&lt;0, "negative_discount", IF(AND(T520&gt;0.5, T520&lt;=1), "high_discount", ""))</f>
        <v/>
      </c>
      <c r="V520" s="11">
        <v>8421.68</v>
      </c>
      <c r="W520" s="12">
        <v>8421.68</v>
      </c>
      <c r="X520" s="11">
        <v>6534.47</v>
      </c>
      <c r="Y520" s="11">
        <v>1887.21</v>
      </c>
      <c r="Z520" s="11">
        <f>ROUND(W520-X520,2)</f>
        <v>1887.21</v>
      </c>
      <c r="AA520" s="4">
        <f>IF(W520=0,0,Z520/W520)</f>
        <v>0.22408949283278395</v>
      </c>
      <c r="AB520" t="s">
        <v>31</v>
      </c>
      <c r="AC520" t="s">
        <v>67</v>
      </c>
      <c r="AD520" t="str">
        <f>IF(AND(E520="", T520&gt;=0, T520&lt;=0.5, K520&lt;&gt;"Unknown", Q520&lt;&gt;"Unknown"), "CLEAN", _xlfn.CONCAT("WARNING: ", IF(E520&lt;&gt;"","invalid_date",""), IF(T520&lt;0,"negative_discount",""), IF(AND(T520&gt;0.5,T520&lt;=1),"high_discount",""), IF(K520="Unknown","missing_region",""), IF(Q520="Unknown","missing_ship_mode","")))</f>
        <v>WARNING: invalid_date</v>
      </c>
      <c r="AE520" t="str">
        <f>IF(COUNTIF($AF$2:$AF$926,AF520)&gt;1,"DUPLICATE","UNIQUE")</f>
        <v>UNIQUE</v>
      </c>
      <c r="AF520" t="str">
        <f>A520&amp;"|"&amp;B520&amp;"|"&amp;H520&amp;"|"&amp;I520&amp;"|"&amp;R520&amp;"|"&amp;S520&amp;"|"&amp;V520</f>
        <v>ORD-2025-10519|2025-04-30|CUST-3377|Diya Patel|7|1604.13|8421.68</v>
      </c>
      <c r="AG520" t="str">
        <f>IF(COUNTIF($A$2:$A$913,A520)&gt;1,"TRUE","FALSE")</f>
        <v>FALSE</v>
      </c>
    </row>
    <row r="521" spans="1:33">
      <c r="A521" t="s">
        <v>3208</v>
      </c>
      <c r="B521" t="s">
        <v>2825</v>
      </c>
      <c r="C521" t="s">
        <v>1626</v>
      </c>
      <c r="D521">
        <f>IF(OR(B521="", C521=""), "", (C521 - B521))</f>
        <v>122</v>
      </c>
      <c r="E521" t="str">
        <f>IF(C521&lt;B521, "INVALID: Ship date before order date", "")</f>
        <v/>
      </c>
      <c r="F521" t="str">
        <f>IF(B521="", "", TEXT(B521, "mmmm"))</f>
        <v>March</v>
      </c>
      <c r="G521">
        <f>IF(B521="", "", YEAR(B521))</f>
        <v>2025</v>
      </c>
      <c r="H521" t="s">
        <v>1627</v>
      </c>
      <c r="I521" t="s">
        <v>112</v>
      </c>
      <c r="J521" t="s">
        <v>23</v>
      </c>
      <c r="K521" t="s">
        <v>24</v>
      </c>
      <c r="L521" t="s">
        <v>134</v>
      </c>
      <c r="M521" t="s">
        <v>135</v>
      </c>
      <c r="N521" t="s">
        <v>40</v>
      </c>
      <c r="O521" t="s">
        <v>41</v>
      </c>
      <c r="P521" t="s">
        <v>1628</v>
      </c>
      <c r="Q521" t="s">
        <v>58</v>
      </c>
      <c r="R521">
        <v>4</v>
      </c>
      <c r="S521" s="15">
        <v>4365.21</v>
      </c>
      <c r="T521" s="4">
        <v>0.2</v>
      </c>
      <c r="U521" s="3" t="str">
        <f>IF(T521&lt;0, "negative_discount", IF(AND(T521&gt;0.5, T521&lt;=1), "high_discount", ""))</f>
        <v/>
      </c>
      <c r="V521" s="11">
        <v>13968.67</v>
      </c>
      <c r="W521" s="12">
        <v>13968.67</v>
      </c>
      <c r="X521" s="11">
        <v>8857.58</v>
      </c>
      <c r="Y521" s="11">
        <v>5111.09</v>
      </c>
      <c r="Z521" s="11">
        <f>ROUND(W521-X521,2)</f>
        <v>5111.09</v>
      </c>
      <c r="AA521" s="4">
        <f>IF(W521=0,0,Z521/W521)</f>
        <v>0.3658966816454251</v>
      </c>
      <c r="AB521" t="s">
        <v>109</v>
      </c>
      <c r="AC521" t="s">
        <v>67</v>
      </c>
      <c r="AD521" t="str">
        <f>IF(AND(E521="", T521&gt;=0, T521&lt;=0.5, K521&lt;&gt;"Unknown", Q521&lt;&gt;"Unknown"), "CLEAN", _xlfn.CONCAT("WARNING: ", IF(E521&lt;&gt;"","invalid_date",""), IF(T521&lt;0,"negative_discount",""), IF(AND(T521&gt;0.5,T521&lt;=1),"high_discount",""), IF(K521="Unknown","missing_region",""), IF(Q521="Unknown","missing_ship_mode","")))</f>
        <v>CLEAN</v>
      </c>
      <c r="AE521" t="str">
        <f>IF(COUNTIF($AF$2:$AF$926,AF521)&gt;1,"DUPLICATE","UNIQUE")</f>
        <v>UNIQUE</v>
      </c>
      <c r="AF521" t="str">
        <f>A521&amp;"|"&amp;B521&amp;"|"&amp;H521&amp;"|"&amp;I521&amp;"|"&amp;R521&amp;"|"&amp;S521&amp;"|"&amp;V521</f>
        <v>ORD-2025-10520|2025-03-07|CUST-3258|Priya Menon|4|4365.21|13968.67</v>
      </c>
      <c r="AG521" t="str">
        <f>IF(COUNTIF($A$2:$A$913,A521)&gt;1,"TRUE","FALSE")</f>
        <v>FALSE</v>
      </c>
    </row>
    <row r="522" spans="1:33">
      <c r="A522" t="s">
        <v>1629</v>
      </c>
      <c r="B522" t="s">
        <v>725</v>
      </c>
      <c r="C522" t="s">
        <v>1913</v>
      </c>
      <c r="D522">
        <f>IF(OR(B522="", C522=""), "", (C522 - B522))</f>
        <v>7</v>
      </c>
      <c r="E522" t="str">
        <f>IF(C522&lt;B522, "INVALID: Ship date before order date", "")</f>
        <v/>
      </c>
      <c r="F522" t="str">
        <f>IF(B522="", "", TEXT(B522, "mmmm"))</f>
        <v>July</v>
      </c>
      <c r="G522">
        <f>IF(B522="", "", YEAR(B522))</f>
        <v>2024</v>
      </c>
      <c r="H522" t="s">
        <v>1630</v>
      </c>
      <c r="I522" t="s">
        <v>126</v>
      </c>
      <c r="J522" t="s">
        <v>93</v>
      </c>
      <c r="K522" t="s">
        <v>53</v>
      </c>
      <c r="L522" t="s">
        <v>171</v>
      </c>
      <c r="M522" t="s">
        <v>172</v>
      </c>
      <c r="N522" t="s">
        <v>74</v>
      </c>
      <c r="O522" t="s">
        <v>272</v>
      </c>
      <c r="P522" t="s">
        <v>1631</v>
      </c>
      <c r="Q522" t="s">
        <v>43</v>
      </c>
      <c r="R522">
        <v>1</v>
      </c>
      <c r="S522" s="15">
        <v>1695.91</v>
      </c>
      <c r="T522" s="4">
        <v>0.05</v>
      </c>
      <c r="U522" s="3" t="str">
        <f>IF(T522&lt;0, "negative_discount", IF(AND(T522&gt;0.5, T522&lt;=1), "high_discount", ""))</f>
        <v/>
      </c>
      <c r="V522" s="11">
        <v>1611.11</v>
      </c>
      <c r="W522" s="12">
        <v>1611.11</v>
      </c>
      <c r="X522" s="11">
        <v>895.15</v>
      </c>
      <c r="Y522" s="11">
        <v>715.96</v>
      </c>
      <c r="Z522" s="11">
        <f>ROUND(W522-X522,2)</f>
        <v>715.96</v>
      </c>
      <c r="AA522" s="4">
        <f>IF(W522=0,0,Z522/W522)</f>
        <v>0.44438927199260142</v>
      </c>
      <c r="AB522" t="s">
        <v>31</v>
      </c>
      <c r="AC522" t="s">
        <v>32</v>
      </c>
      <c r="AD522" t="str">
        <f>IF(AND(E522="", T522&gt;=0, T522&lt;=0.5, K522&lt;&gt;"Unknown", Q522&lt;&gt;"Unknown"), "CLEAN", _xlfn.CONCAT("WARNING: ", IF(E522&lt;&gt;"","invalid_date",""), IF(T522&lt;0,"negative_discount",""), IF(AND(T522&gt;0.5,T522&lt;=1),"high_discount",""), IF(K522="Unknown","missing_region",""), IF(Q522="Unknown","missing_ship_mode","")))</f>
        <v>CLEAN</v>
      </c>
      <c r="AE522" t="str">
        <f>IF(COUNTIF($AF$2:$AF$926,AF522)&gt;1,"DUPLICATE","UNIQUE")</f>
        <v>UNIQUE</v>
      </c>
      <c r="AF522" t="str">
        <f>A522&amp;"|"&amp;B522&amp;"|"&amp;H522&amp;"|"&amp;I522&amp;"|"&amp;R522&amp;"|"&amp;S522&amp;"|"&amp;V522</f>
        <v>ORD-2024-10521|2024-07-16|CUST-2155|Aarav Sharma|1|1695.91|1611.11</v>
      </c>
      <c r="AG522" t="str">
        <f>IF(COUNTIF($A$2:$A$913,A522)&gt;1,"TRUE","FALSE")</f>
        <v>FALSE</v>
      </c>
    </row>
    <row r="523" spans="1:33">
      <c r="A523" t="s">
        <v>3209</v>
      </c>
      <c r="B523" t="s">
        <v>1632</v>
      </c>
      <c r="C523" t="s">
        <v>1633</v>
      </c>
      <c r="D523">
        <f>IF(OR(B523="", C523=""), "", (C523 - B523))</f>
        <v>7</v>
      </c>
      <c r="E523" t="str">
        <f>IF(C523&lt;B523, "INVALID: Ship date before order date", "")</f>
        <v/>
      </c>
      <c r="F523" t="str">
        <f>IF(B523="", "", TEXT(B523, "mmmm"))</f>
        <v>March</v>
      </c>
      <c r="G523">
        <f>IF(B523="", "", YEAR(B523))</f>
        <v>2025</v>
      </c>
      <c r="H523" t="s">
        <v>1634</v>
      </c>
      <c r="I523" t="s">
        <v>158</v>
      </c>
      <c r="J523" t="s">
        <v>23</v>
      </c>
      <c r="K523" t="s">
        <v>24</v>
      </c>
      <c r="L523" t="s">
        <v>120</v>
      </c>
      <c r="M523" t="s">
        <v>121</v>
      </c>
      <c r="N523" t="s">
        <v>27</v>
      </c>
      <c r="O523" t="s">
        <v>90</v>
      </c>
      <c r="P523" t="s">
        <v>1635</v>
      </c>
      <c r="Q523" t="s">
        <v>30</v>
      </c>
      <c r="R523">
        <v>6</v>
      </c>
      <c r="S523" s="15">
        <v>2192.11</v>
      </c>
      <c r="T523" s="4">
        <v>0.05</v>
      </c>
      <c r="U523" s="3" t="str">
        <f>IF(T523&lt;0, "negative_discount", IF(AND(T523&gt;0.5, T523&lt;=1), "high_discount", ""))</f>
        <v/>
      </c>
      <c r="V523" s="11">
        <v>12495.03</v>
      </c>
      <c r="W523" s="12">
        <v>12495.03</v>
      </c>
      <c r="X523" s="11">
        <v>9184.52</v>
      </c>
      <c r="Y523" s="11">
        <v>3310.51</v>
      </c>
      <c r="Z523" s="11">
        <f>ROUND(W523-X523,2)</f>
        <v>3310.51</v>
      </c>
      <c r="AA523" s="4">
        <f>IF(W523=0,0,Z523/W523)</f>
        <v>0.26494614258629229</v>
      </c>
      <c r="AB523" t="s">
        <v>31</v>
      </c>
      <c r="AC523" t="s">
        <v>32</v>
      </c>
      <c r="AD523" t="str">
        <f>IF(AND(E523="", T523&gt;=0, T523&lt;=0.5, K523&lt;&gt;"Unknown", Q523&lt;&gt;"Unknown"), "CLEAN", _xlfn.CONCAT("WARNING: ", IF(E523&lt;&gt;"","invalid_date",""), IF(T523&lt;0,"negative_discount",""), IF(AND(T523&gt;0.5,T523&lt;=1),"high_discount",""), IF(K523="Unknown","missing_region",""), IF(Q523="Unknown","missing_ship_mode","")))</f>
        <v>CLEAN</v>
      </c>
      <c r="AE523" t="str">
        <f>IF(COUNTIF($AF$2:$AF$926,AF523)&gt;1,"DUPLICATE","UNIQUE")</f>
        <v>UNIQUE</v>
      </c>
      <c r="AF523" t="str">
        <f>A523&amp;"|"&amp;B523&amp;"|"&amp;H523&amp;"|"&amp;I523&amp;"|"&amp;R523&amp;"|"&amp;S523&amp;"|"&amp;V523</f>
        <v>ORD-2025-10522|2025-03-25|CUST-8012|Diya Patel|6|2192.11|12495.03</v>
      </c>
      <c r="AG523" t="str">
        <f>IF(COUNTIF($A$2:$A$913,A523)&gt;1,"TRUE","FALSE")</f>
        <v>FALSE</v>
      </c>
    </row>
    <row r="524" spans="1:33">
      <c r="A524" t="s">
        <v>3210</v>
      </c>
      <c r="B524" t="s">
        <v>2766</v>
      </c>
      <c r="C524" t="s">
        <v>2576</v>
      </c>
      <c r="D524">
        <f>IF(OR(B524="", C524=""), "", (C524 - B524))</f>
        <v>8</v>
      </c>
      <c r="E524" t="str">
        <f>IF(C524&lt;B524, "INVALID: Ship date before order date", "")</f>
        <v/>
      </c>
      <c r="F524" t="str">
        <f>IF(B524="", "", TEXT(B524, "mmmm"))</f>
        <v>February</v>
      </c>
      <c r="G524">
        <f>IF(B524="", "", YEAR(B524))</f>
        <v>2025</v>
      </c>
      <c r="H524" t="s">
        <v>1636</v>
      </c>
      <c r="I524" t="s">
        <v>78</v>
      </c>
      <c r="J524" t="s">
        <v>36</v>
      </c>
      <c r="K524" t="s">
        <v>37</v>
      </c>
      <c r="L524" t="s">
        <v>226</v>
      </c>
      <c r="M524" t="s">
        <v>227</v>
      </c>
      <c r="N524" t="s">
        <v>74</v>
      </c>
      <c r="O524" t="s">
        <v>168</v>
      </c>
      <c r="P524" t="s">
        <v>1637</v>
      </c>
      <c r="Q524" t="s">
        <v>49</v>
      </c>
      <c r="R524">
        <v>9</v>
      </c>
      <c r="S524" s="15">
        <v>3670.54</v>
      </c>
      <c r="T524" s="4">
        <v>0</v>
      </c>
      <c r="U524" s="3" t="str">
        <f>IF(T524&lt;0, "negative_discount", IF(AND(T524&gt;0.5, T524&lt;=1), "high_discount", ""))</f>
        <v/>
      </c>
      <c r="V524" s="11">
        <v>33034.86</v>
      </c>
      <c r="W524" s="12">
        <v>33034.86</v>
      </c>
      <c r="X524" s="11">
        <v>24539.83</v>
      </c>
      <c r="Y524" s="11">
        <v>8495.0300000000007</v>
      </c>
      <c r="Z524" s="11">
        <f>ROUND(W524-X524,2)</f>
        <v>8495.0300000000007</v>
      </c>
      <c r="AA524" s="4">
        <f>IF(W524=0,0,Z524/W524)</f>
        <v>0.25715350390466313</v>
      </c>
      <c r="AB524" t="s">
        <v>31</v>
      </c>
      <c r="AC524" t="s">
        <v>32</v>
      </c>
      <c r="AD524" t="str">
        <f>IF(AND(E524="", T524&gt;=0, T524&lt;=0.5, K524&lt;&gt;"Unknown", Q524&lt;&gt;"Unknown"), "CLEAN", _xlfn.CONCAT("WARNING: ", IF(E524&lt;&gt;"","invalid_date",""), IF(T524&lt;0,"negative_discount",""), IF(AND(T524&gt;0.5,T524&lt;=1),"high_discount",""), IF(K524="Unknown","missing_region",""), IF(Q524="Unknown","missing_ship_mode","")))</f>
        <v>CLEAN</v>
      </c>
      <c r="AE524" t="str">
        <f>IF(COUNTIF($AF$2:$AF$926,AF524)&gt;1,"DUPLICATE","UNIQUE")</f>
        <v>UNIQUE</v>
      </c>
      <c r="AF524" t="str">
        <f>A524&amp;"|"&amp;B524&amp;"|"&amp;H524&amp;"|"&amp;I524&amp;"|"&amp;R524&amp;"|"&amp;S524&amp;"|"&amp;V524</f>
        <v>ORD-2025-10523|2025-02-28|CUST-2917|Neha Gupta|9|3670.54|33034.86</v>
      </c>
      <c r="AG524" t="str">
        <f>IF(COUNTIF($A$2:$A$913,A524)&gt;1,"TRUE","FALSE")</f>
        <v>FALSE</v>
      </c>
    </row>
    <row r="525" spans="1:33">
      <c r="A525" t="s">
        <v>1638</v>
      </c>
      <c r="B525" t="s">
        <v>2826</v>
      </c>
      <c r="C525" t="s">
        <v>1639</v>
      </c>
      <c r="D525">
        <f>IF(OR(B525="", C525=""), "", (C525 - B525))</f>
        <v>59</v>
      </c>
      <c r="E525" t="str">
        <f>IF(C525&lt;B525, "INVALID: Ship date before order date", "")</f>
        <v/>
      </c>
      <c r="F525" t="str">
        <f>IF(B525="", "", TEXT(B525, "mmmm"))</f>
        <v>February</v>
      </c>
      <c r="G525">
        <f>IF(B525="", "", YEAR(B525))</f>
        <v>2024</v>
      </c>
      <c r="H525" t="s">
        <v>1640</v>
      </c>
      <c r="I525" t="s">
        <v>263</v>
      </c>
      <c r="J525" t="s">
        <v>93</v>
      </c>
      <c r="K525" t="s">
        <v>62</v>
      </c>
      <c r="L525" t="s">
        <v>185</v>
      </c>
      <c r="M525" t="s">
        <v>186</v>
      </c>
      <c r="N525" t="s">
        <v>27</v>
      </c>
      <c r="O525" t="s">
        <v>28</v>
      </c>
      <c r="P525" t="s">
        <v>1641</v>
      </c>
      <c r="Q525" t="s">
        <v>30</v>
      </c>
      <c r="R525">
        <v>2</v>
      </c>
      <c r="S525" s="15">
        <v>2902.63</v>
      </c>
      <c r="T525" s="4">
        <v>0</v>
      </c>
      <c r="U525" s="3" t="str">
        <f>IF(T525&lt;0, "negative_discount", IF(AND(T525&gt;0.5, T525&lt;=1), "high_discount", ""))</f>
        <v/>
      </c>
      <c r="V525" s="11">
        <v>5805.26</v>
      </c>
      <c r="W525" s="12">
        <v>5805.26</v>
      </c>
      <c r="X525" s="11">
        <v>4654.3599999999997</v>
      </c>
      <c r="Y525" s="11">
        <v>1150.9000000000001</v>
      </c>
      <c r="Z525" s="11">
        <f>ROUND(W525-X525,2)</f>
        <v>1150.9000000000001</v>
      </c>
      <c r="AA525" s="4">
        <f>IF(W525=0,0,Z525/W525)</f>
        <v>0.19825124111581566</v>
      </c>
      <c r="AB525" t="s">
        <v>31</v>
      </c>
      <c r="AC525" t="s">
        <v>100</v>
      </c>
      <c r="AD525" t="str">
        <f>IF(AND(E525="", T525&gt;=0, T525&lt;=0.5, K525&lt;&gt;"Unknown", Q525&lt;&gt;"Unknown"), "CLEAN", _xlfn.CONCAT("WARNING: ", IF(E525&lt;&gt;"","invalid_date",""), IF(T525&lt;0,"negative_discount",""), IF(AND(T525&gt;0.5,T525&lt;=1),"high_discount",""), IF(K525="Unknown","missing_region",""), IF(Q525="Unknown","missing_ship_mode","")))</f>
        <v>CLEAN</v>
      </c>
      <c r="AE525" t="str">
        <f>IF(COUNTIF($AF$2:$AF$926,AF525)&gt;1,"DUPLICATE","UNIQUE")</f>
        <v>UNIQUE</v>
      </c>
      <c r="AF525" t="str">
        <f>A525&amp;"|"&amp;B525&amp;"|"&amp;H525&amp;"|"&amp;I525&amp;"|"&amp;R525&amp;"|"&amp;S525&amp;"|"&amp;V525</f>
        <v>ORD-2024-10524|2024-02-04|CUST-4653|Kabir Singh|2|2902.63|5805.26</v>
      </c>
      <c r="AG525" t="str">
        <f>IF(COUNTIF($A$2:$A$913,A525)&gt;1,"TRUE","FALSE")</f>
        <v>FALSE</v>
      </c>
    </row>
    <row r="526" spans="1:33">
      <c r="A526" t="s">
        <v>1642</v>
      </c>
      <c r="B526" t="s">
        <v>2453</v>
      </c>
      <c r="C526" t="s">
        <v>2890</v>
      </c>
      <c r="D526">
        <f>IF(OR(B526="", C526=""), "", (C526 - B526))</f>
        <v>1</v>
      </c>
      <c r="E526" t="str">
        <f>IF(C526&lt;B526, "INVALID: Ship date before order date", "")</f>
        <v/>
      </c>
      <c r="F526" t="str">
        <f>IF(B526="", "", TEXT(B526, "mmmm"))</f>
        <v>November</v>
      </c>
      <c r="G526">
        <f>IF(B526="", "", YEAR(B526))</f>
        <v>2024</v>
      </c>
      <c r="H526" t="s">
        <v>1643</v>
      </c>
      <c r="I526" t="s">
        <v>61</v>
      </c>
      <c r="J526" t="s">
        <v>89</v>
      </c>
      <c r="K526" t="s">
        <v>62</v>
      </c>
      <c r="L526" t="s">
        <v>176</v>
      </c>
      <c r="M526" t="s">
        <v>177</v>
      </c>
      <c r="N526" t="s">
        <v>40</v>
      </c>
      <c r="O526" t="s">
        <v>65</v>
      </c>
      <c r="P526" t="s">
        <v>1644</v>
      </c>
      <c r="Q526" t="s">
        <v>49</v>
      </c>
      <c r="R526">
        <v>9</v>
      </c>
      <c r="S526" s="15">
        <v>4207.3599999999997</v>
      </c>
      <c r="T526" s="4">
        <v>0.1</v>
      </c>
      <c r="U526" s="3" t="str">
        <f>IF(T526&lt;0, "negative_discount", IF(AND(T526&gt;0.5, T526&lt;=1), "high_discount", ""))</f>
        <v/>
      </c>
      <c r="V526" s="11">
        <v>34079.620000000003</v>
      </c>
      <c r="W526" s="12">
        <v>34079.620000000003</v>
      </c>
      <c r="X526" s="11">
        <v>21871.39</v>
      </c>
      <c r="Y526" s="11">
        <v>12208.23</v>
      </c>
      <c r="Z526" s="11">
        <f>ROUND(W526-X526,2)</f>
        <v>12208.23</v>
      </c>
      <c r="AA526" s="4">
        <f>IF(W526=0,0,Z526/W526)</f>
        <v>0.35822670557946357</v>
      </c>
      <c r="AB526" t="s">
        <v>31</v>
      </c>
      <c r="AC526" t="s">
        <v>32</v>
      </c>
      <c r="AD526" t="str">
        <f>IF(AND(E526="", T526&gt;=0, T526&lt;=0.5, K526&lt;&gt;"Unknown", Q526&lt;&gt;"Unknown"), "CLEAN", _xlfn.CONCAT("WARNING: ", IF(E526&lt;&gt;"","invalid_date",""), IF(T526&lt;0,"negative_discount",""), IF(AND(T526&gt;0.5,T526&lt;=1),"high_discount",""), IF(K526="Unknown","missing_region",""), IF(Q526="Unknown","missing_ship_mode","")))</f>
        <v>CLEAN</v>
      </c>
      <c r="AE526" t="str">
        <f>IF(COUNTIF($AF$2:$AF$926,AF526)&gt;1,"DUPLICATE","UNIQUE")</f>
        <v>UNIQUE</v>
      </c>
      <c r="AF526" t="str">
        <f>A526&amp;"|"&amp;B526&amp;"|"&amp;H526&amp;"|"&amp;I526&amp;"|"&amp;R526&amp;"|"&amp;S526&amp;"|"&amp;V526</f>
        <v>ORD-2024-10525|2024-11-30|CUST-3311|Ananya Rao|9|4207.36|34079.62</v>
      </c>
      <c r="AG526" t="str">
        <f>IF(COUNTIF($A$2:$A$913,A526)&gt;1,"TRUE","FALSE")</f>
        <v>FALSE</v>
      </c>
    </row>
    <row r="527" spans="1:33">
      <c r="A527" t="s">
        <v>1645</v>
      </c>
      <c r="B527" t="s">
        <v>1646</v>
      </c>
      <c r="C527" t="s">
        <v>1646</v>
      </c>
      <c r="D527">
        <f>IF(OR(B527="", C527=""), "", (C527 - B527))</f>
        <v>0</v>
      </c>
      <c r="E527" t="str">
        <f>IF(C527&lt;B527, "INVALID: Ship date before order date", "")</f>
        <v/>
      </c>
      <c r="F527" t="str">
        <f>IF(B527="", "", TEXT(B527, "mmmm"))</f>
        <v>October</v>
      </c>
      <c r="G527">
        <f>IF(B527="", "", YEAR(B527))</f>
        <v>2024</v>
      </c>
      <c r="H527" t="s">
        <v>1647</v>
      </c>
      <c r="I527" t="s">
        <v>112</v>
      </c>
      <c r="J527" t="s">
        <v>93</v>
      </c>
      <c r="K527" t="s">
        <v>37</v>
      </c>
      <c r="L527" t="s">
        <v>96</v>
      </c>
      <c r="M527" t="s">
        <v>97</v>
      </c>
      <c r="N527" t="s">
        <v>40</v>
      </c>
      <c r="O527" t="s">
        <v>65</v>
      </c>
      <c r="P527" t="s">
        <v>1648</v>
      </c>
      <c r="Q527" t="s">
        <v>58</v>
      </c>
      <c r="R527">
        <v>5</v>
      </c>
      <c r="S527" s="15">
        <v>2524.4</v>
      </c>
      <c r="T527" s="4">
        <v>0.1</v>
      </c>
      <c r="U527" s="3" t="str">
        <f>IF(T527&lt;0, "negative_discount", IF(AND(T527&gt;0.5, T527&lt;=1), "high_discount", ""))</f>
        <v/>
      </c>
      <c r="V527" s="11">
        <v>11359.8</v>
      </c>
      <c r="W527" s="12">
        <v>11359.8</v>
      </c>
      <c r="X527" s="11">
        <v>7062.44</v>
      </c>
      <c r="Y527" s="11">
        <v>4297.3599999999997</v>
      </c>
      <c r="Z527" s="11">
        <f>ROUND(W527-X527,2)</f>
        <v>4297.3599999999997</v>
      </c>
      <c r="AA527" s="4">
        <f>IF(W527=0,0,Z527/W527)</f>
        <v>0.37829539252451627</v>
      </c>
      <c r="AB527" t="s">
        <v>31</v>
      </c>
      <c r="AC527" t="s">
        <v>32</v>
      </c>
      <c r="AD527" t="str">
        <f>IF(AND(E527="", T527&gt;=0, T527&lt;=0.5, K527&lt;&gt;"Unknown", Q527&lt;&gt;"Unknown"), "CLEAN", _xlfn.CONCAT("WARNING: ", IF(E527&lt;&gt;"","invalid_date",""), IF(T527&lt;0,"negative_discount",""), IF(AND(T527&gt;0.5,T527&lt;=1),"high_discount",""), IF(K527="Unknown","missing_region",""), IF(Q527="Unknown","missing_ship_mode","")))</f>
        <v>CLEAN</v>
      </c>
      <c r="AE527" t="str">
        <f>IF(COUNTIF($AF$2:$AF$926,AF527)&gt;1,"DUPLICATE","UNIQUE")</f>
        <v>UNIQUE</v>
      </c>
      <c r="AF527" t="str">
        <f>A527&amp;"|"&amp;B527&amp;"|"&amp;H527&amp;"|"&amp;I527&amp;"|"&amp;R527&amp;"|"&amp;S527&amp;"|"&amp;V527</f>
        <v>ORD-2024-10526|2024-10-17|CUST-2924|Priya Menon|5|2524.4|11359.8</v>
      </c>
      <c r="AG527" t="str">
        <f>IF(COUNTIF($A$2:$A$913,A527)&gt;1,"TRUE","FALSE")</f>
        <v>FALSE</v>
      </c>
    </row>
    <row r="528" spans="1:33">
      <c r="A528" t="s">
        <v>3211</v>
      </c>
      <c r="B528" t="s">
        <v>1649</v>
      </c>
      <c r="C528" t="s">
        <v>2094</v>
      </c>
      <c r="D528">
        <f>IF(OR(B528="", C528=""), "", (C528 - B528))</f>
        <v>3</v>
      </c>
      <c r="E528" t="str">
        <f>IF(C528&lt;B528, "INVALID: Ship date before order date", "")</f>
        <v/>
      </c>
      <c r="F528" t="str">
        <f>IF(B528="", "", TEXT(B528, "mmmm"))</f>
        <v>July</v>
      </c>
      <c r="G528">
        <f>IF(B528="", "", YEAR(B528))</f>
        <v>2025</v>
      </c>
      <c r="H528" t="s">
        <v>1650</v>
      </c>
      <c r="I528" t="s">
        <v>112</v>
      </c>
      <c r="J528" t="s">
        <v>23</v>
      </c>
      <c r="K528" t="s">
        <v>37</v>
      </c>
      <c r="L528" t="s">
        <v>38</v>
      </c>
      <c r="M528" t="s">
        <v>39</v>
      </c>
      <c r="N528" t="s">
        <v>40</v>
      </c>
      <c r="O528" t="s">
        <v>41</v>
      </c>
      <c r="P528" t="s">
        <v>1651</v>
      </c>
      <c r="Q528" t="s">
        <v>30</v>
      </c>
      <c r="R528">
        <v>4</v>
      </c>
      <c r="S528" s="15">
        <v>284.04000000000002</v>
      </c>
      <c r="T528" s="4">
        <v>0</v>
      </c>
      <c r="U528" s="3" t="str">
        <f>IF(T528&lt;0, "negative_discount", IF(AND(T528&gt;0.5, T528&lt;=1), "high_discount", ""))</f>
        <v/>
      </c>
      <c r="V528" s="11">
        <v>908.93</v>
      </c>
      <c r="W528" s="12">
        <v>1136.1600000000001</v>
      </c>
      <c r="X528" s="11">
        <v>572.08000000000004</v>
      </c>
      <c r="Y528" s="11">
        <v>336.85</v>
      </c>
      <c r="Z528" s="11">
        <f>ROUND(W528-X528,2)</f>
        <v>564.08000000000004</v>
      </c>
      <c r="AA528" s="4">
        <f>IF(W528=0,0,Z528/W528)</f>
        <v>0.49647936910294327</v>
      </c>
      <c r="AB528" t="s">
        <v>31</v>
      </c>
      <c r="AC528" t="s">
        <v>32</v>
      </c>
      <c r="AD528" t="str">
        <f>IF(AND(E528="", T528&gt;=0, T528&lt;=0.5, K528&lt;&gt;"Unknown", Q528&lt;&gt;"Unknown"), "CLEAN", _xlfn.CONCAT("WARNING: ", IF(E528&lt;&gt;"","invalid_date",""), IF(T528&lt;0,"negative_discount",""), IF(AND(T528&gt;0.5,T528&lt;=1),"high_discount",""), IF(K528="Unknown","missing_region",""), IF(Q528="Unknown","missing_ship_mode","")))</f>
        <v>CLEAN</v>
      </c>
      <c r="AE528" t="str">
        <f>IF(COUNTIF($AF$2:$AF$926,AF528)&gt;1,"DUPLICATE","UNIQUE")</f>
        <v>UNIQUE</v>
      </c>
      <c r="AF528" t="str">
        <f>A528&amp;"|"&amp;B528&amp;"|"&amp;H528&amp;"|"&amp;I528&amp;"|"&amp;R528&amp;"|"&amp;S528&amp;"|"&amp;V528</f>
        <v>ORD-2025-10527|2025-07-18|CUST-7198|Priya Menon|4|284.04|908.93</v>
      </c>
      <c r="AG528" t="str">
        <f>IF(COUNTIF($A$2:$A$913,A528)&gt;1,"TRUE","FALSE")</f>
        <v>FALSE</v>
      </c>
    </row>
    <row r="529" spans="1:33">
      <c r="A529" t="s">
        <v>3212</v>
      </c>
      <c r="B529" t="s">
        <v>2827</v>
      </c>
      <c r="C529" t="s">
        <v>1652</v>
      </c>
      <c r="D529">
        <f>IF(OR(B529="", C529=""), "", (C529 - B529))</f>
        <v>268</v>
      </c>
      <c r="E529" t="str">
        <f>IF(C529&lt;B529, "INVALID: Ship date before order date", "")</f>
        <v/>
      </c>
      <c r="F529" t="str">
        <f>IF(B529="", "", TEXT(B529, "mmmm"))</f>
        <v>January</v>
      </c>
      <c r="G529">
        <f>IF(B529="", "", YEAR(B529))</f>
        <v>2025</v>
      </c>
      <c r="H529" t="s">
        <v>1653</v>
      </c>
      <c r="I529" t="s">
        <v>88</v>
      </c>
      <c r="J529" t="s">
        <v>93</v>
      </c>
      <c r="K529" t="s">
        <v>24</v>
      </c>
      <c r="L529" t="s">
        <v>234</v>
      </c>
      <c r="M529" t="s">
        <v>235</v>
      </c>
      <c r="N529" t="s">
        <v>27</v>
      </c>
      <c r="O529" t="s">
        <v>28</v>
      </c>
      <c r="P529" t="s">
        <v>1654</v>
      </c>
      <c r="Q529" t="s">
        <v>49</v>
      </c>
      <c r="R529">
        <v>5</v>
      </c>
      <c r="S529" s="15">
        <v>3247.56</v>
      </c>
      <c r="T529" s="4">
        <v>0.15</v>
      </c>
      <c r="U529" s="3" t="str">
        <f>IF(T529&lt;0, "negative_discount", IF(AND(T529&gt;0.5, T529&lt;=1), "high_discount", ""))</f>
        <v/>
      </c>
      <c r="V529" s="11">
        <v>13802.13</v>
      </c>
      <c r="W529" s="12">
        <v>13802.13</v>
      </c>
      <c r="X529" s="11">
        <v>10075.93</v>
      </c>
      <c r="Y529" s="11">
        <v>3726.2</v>
      </c>
      <c r="Z529" s="11">
        <f>ROUND(W529-X529,2)</f>
        <v>3726.2</v>
      </c>
      <c r="AA529" s="4">
        <f>IF(W529=0,0,Z529/W529)</f>
        <v>0.26997282303528514</v>
      </c>
      <c r="AB529" t="s">
        <v>31</v>
      </c>
      <c r="AC529" t="s">
        <v>32</v>
      </c>
      <c r="AD529" t="str">
        <f>IF(AND(E529="", T529&gt;=0, T529&lt;=0.5, K529&lt;&gt;"Unknown", Q529&lt;&gt;"Unknown"), "CLEAN", _xlfn.CONCAT("WARNING: ", IF(E529&lt;&gt;"","invalid_date",""), IF(T529&lt;0,"negative_discount",""), IF(AND(T529&gt;0.5,T529&lt;=1),"high_discount",""), IF(K529="Unknown","missing_region",""), IF(Q529="Unknown","missing_ship_mode","")))</f>
        <v>CLEAN</v>
      </c>
      <c r="AE529" t="str">
        <f>IF(COUNTIF($AF$2:$AF$926,AF529)&gt;1,"DUPLICATE","UNIQUE")</f>
        <v>UNIQUE</v>
      </c>
      <c r="AF529" t="str">
        <f>A529&amp;"|"&amp;B529&amp;"|"&amp;H529&amp;"|"&amp;I529&amp;"|"&amp;R529&amp;"|"&amp;S529&amp;"|"&amp;V529</f>
        <v>ORD-2025-10528|2025-01-10|CUST-3419|Aditi Sen|5|3247.56|13802.13</v>
      </c>
      <c r="AG529" t="str">
        <f>IF(COUNTIF($A$2:$A$913,A529)&gt;1,"TRUE","FALSE")</f>
        <v>FALSE</v>
      </c>
    </row>
    <row r="530" spans="1:33">
      <c r="A530" t="s">
        <v>1655</v>
      </c>
      <c r="B530" t="s">
        <v>1656</v>
      </c>
      <c r="C530" t="s">
        <v>773</v>
      </c>
      <c r="D530">
        <f>IF(OR(B530="", C530=""), "", (C530 - B530))</f>
        <v>-27</v>
      </c>
      <c r="E530" t="str">
        <f>IF(C530&lt;B530, "INVALID: Ship date before order date", "")</f>
        <v>INVALID: Ship date before order date</v>
      </c>
      <c r="F530" t="str">
        <f>IF(B530="", "", TEXT(B530, "mmmm"))</f>
        <v>October</v>
      </c>
      <c r="G530">
        <f>IF(B530="", "", YEAR(B530))</f>
        <v>2024</v>
      </c>
      <c r="H530" t="s">
        <v>1657</v>
      </c>
      <c r="I530" t="s">
        <v>158</v>
      </c>
      <c r="J530" t="s">
        <v>23</v>
      </c>
      <c r="K530" t="s">
        <v>53</v>
      </c>
      <c r="L530" t="s">
        <v>246</v>
      </c>
      <c r="M530" t="s">
        <v>247</v>
      </c>
      <c r="N530" t="s">
        <v>27</v>
      </c>
      <c r="O530" t="s">
        <v>149</v>
      </c>
      <c r="P530" t="s">
        <v>1658</v>
      </c>
      <c r="Q530" t="s">
        <v>58</v>
      </c>
      <c r="R530">
        <v>9</v>
      </c>
      <c r="S530" s="15">
        <v>3457.09</v>
      </c>
      <c r="T530" s="4">
        <v>0.05</v>
      </c>
      <c r="U530" s="3" t="str">
        <f>IF(T530&lt;0, "negative_discount", IF(AND(T530&gt;0.5, T530&lt;=1), "high_discount", ""))</f>
        <v/>
      </c>
      <c r="V530" s="11">
        <v>29558.12</v>
      </c>
      <c r="W530" s="12">
        <v>29558.12</v>
      </c>
      <c r="X530" s="11">
        <v>21302.13</v>
      </c>
      <c r="Y530" s="11">
        <v>8255.99</v>
      </c>
      <c r="Z530" s="11">
        <f>ROUND(W530-X530,2)</f>
        <v>8255.99</v>
      </c>
      <c r="AA530" s="4">
        <f>IF(W530=0,0,Z530/W530)</f>
        <v>0.27931377232381494</v>
      </c>
      <c r="AB530" t="s">
        <v>109</v>
      </c>
      <c r="AC530" t="s">
        <v>100</v>
      </c>
      <c r="AD530" t="str">
        <f>IF(AND(E530="", T530&gt;=0, T530&lt;=0.5, K530&lt;&gt;"Unknown", Q530&lt;&gt;"Unknown"), "CLEAN", _xlfn.CONCAT("WARNING: ", IF(E530&lt;&gt;"","invalid_date",""), IF(T530&lt;0,"negative_discount",""), IF(AND(T530&gt;0.5,T530&lt;=1),"high_discount",""), IF(K530="Unknown","missing_region",""), IF(Q530="Unknown","missing_ship_mode","")))</f>
        <v>WARNING: invalid_date</v>
      </c>
      <c r="AE530" t="str">
        <f>IF(COUNTIF($AF$2:$AF$926,AF530)&gt;1,"DUPLICATE","UNIQUE")</f>
        <v>UNIQUE</v>
      </c>
      <c r="AF530" t="str">
        <f>A530&amp;"|"&amp;B530&amp;"|"&amp;H530&amp;"|"&amp;I530&amp;"|"&amp;R530&amp;"|"&amp;S530&amp;"|"&amp;V530</f>
        <v>ORD-2024-10529|2024-10-07|CUST-2390|Diya Patel|9|3457.09|29558.12</v>
      </c>
      <c r="AG530" t="str">
        <f>IF(COUNTIF($A$2:$A$913,A530)&gt;1,"TRUE","FALSE")</f>
        <v>FALSE</v>
      </c>
    </row>
    <row r="531" spans="1:33">
      <c r="A531" t="s">
        <v>1659</v>
      </c>
      <c r="B531" t="s">
        <v>1461</v>
      </c>
      <c r="C531" t="s">
        <v>1660</v>
      </c>
      <c r="D531">
        <f>IF(OR(B531="", C531=""), "", (C531 - B531))</f>
        <v>2</v>
      </c>
      <c r="E531" t="str">
        <f>IF(C531&lt;B531, "INVALID: Ship date before order date", "")</f>
        <v/>
      </c>
      <c r="F531" t="str">
        <f>IF(B531="", "", TEXT(B531, "mmmm"))</f>
        <v>February</v>
      </c>
      <c r="G531">
        <f>IF(B531="", "", YEAR(B531))</f>
        <v>2024</v>
      </c>
      <c r="H531" t="s">
        <v>726</v>
      </c>
      <c r="I531" t="s">
        <v>22</v>
      </c>
      <c r="J531" t="s">
        <v>23</v>
      </c>
      <c r="K531" t="s">
        <v>37</v>
      </c>
      <c r="L531" t="s">
        <v>226</v>
      </c>
      <c r="M531" t="s">
        <v>227</v>
      </c>
      <c r="N531" t="s">
        <v>40</v>
      </c>
      <c r="O531" t="s">
        <v>153</v>
      </c>
      <c r="P531" t="s">
        <v>1661</v>
      </c>
      <c r="Q531" t="s">
        <v>30</v>
      </c>
      <c r="R531">
        <v>9</v>
      </c>
      <c r="S531" s="15">
        <v>1822.25</v>
      </c>
      <c r="T531" s="4">
        <v>0</v>
      </c>
      <c r="U531" s="3" t="str">
        <f>IF(T531&lt;0, "negative_discount", IF(AND(T531&gt;0.5, T531&lt;=1), "high_discount", ""))</f>
        <v/>
      </c>
      <c r="V531" s="11">
        <v>16400.25</v>
      </c>
      <c r="W531" s="12">
        <v>16400.25</v>
      </c>
      <c r="X531" s="11">
        <v>12146.96</v>
      </c>
      <c r="Y531" s="11">
        <v>4253.29</v>
      </c>
      <c r="Z531" s="11">
        <f>ROUND(W531-X531,2)</f>
        <v>4253.29</v>
      </c>
      <c r="AA531" s="4">
        <f>IF(W531=0,0,Z531/W531)</f>
        <v>0.25934299782015519</v>
      </c>
      <c r="AB531" t="s">
        <v>31</v>
      </c>
      <c r="AC531" t="s">
        <v>32</v>
      </c>
      <c r="AD531" t="str">
        <f>IF(AND(E531="", T531&gt;=0, T531&lt;=0.5, K531&lt;&gt;"Unknown", Q531&lt;&gt;"Unknown"), "CLEAN", _xlfn.CONCAT("WARNING: ", IF(E531&lt;&gt;"","invalid_date",""), IF(T531&lt;0,"negative_discount",""), IF(AND(T531&gt;0.5,T531&lt;=1),"high_discount",""), IF(K531="Unknown","missing_region",""), IF(Q531="Unknown","missing_ship_mode","")))</f>
        <v>CLEAN</v>
      </c>
      <c r="AE531" t="str">
        <f>IF(COUNTIF($AF$2:$AF$926,AF531)&gt;1,"DUPLICATE","UNIQUE")</f>
        <v>UNIQUE</v>
      </c>
      <c r="AF531" t="str">
        <f>A531&amp;"|"&amp;B531&amp;"|"&amp;H531&amp;"|"&amp;I531&amp;"|"&amp;R531&amp;"|"&amp;S531&amp;"|"&amp;V531</f>
        <v>ORD-2024-10530|2024-02-06|CUST-3362|Karan Malhotra|9|1822.25|16400.25</v>
      </c>
      <c r="AG531" t="str">
        <f>IF(COUNTIF($A$2:$A$913,A531)&gt;1,"TRUE","FALSE")</f>
        <v>FALSE</v>
      </c>
    </row>
    <row r="532" spans="1:33">
      <c r="A532" t="s">
        <v>3213</v>
      </c>
      <c r="B532" t="s">
        <v>1031</v>
      </c>
      <c r="C532" t="s">
        <v>1662</v>
      </c>
      <c r="D532">
        <f>IF(OR(B532="", C532=""), "", (C532 - B532))</f>
        <v>2</v>
      </c>
      <c r="E532" t="str">
        <f>IF(C532&lt;B532, "INVALID: Ship date before order date", "")</f>
        <v/>
      </c>
      <c r="F532" t="str">
        <f>IF(B532="", "", TEXT(B532, "mmmm"))</f>
        <v>May</v>
      </c>
      <c r="G532">
        <f>IF(B532="", "", YEAR(B532))</f>
        <v>2025</v>
      </c>
      <c r="H532" t="s">
        <v>1663</v>
      </c>
      <c r="I532" t="s">
        <v>116</v>
      </c>
      <c r="J532" t="s">
        <v>93</v>
      </c>
      <c r="K532" t="s">
        <v>53</v>
      </c>
      <c r="L532" t="s">
        <v>246</v>
      </c>
      <c r="M532" t="s">
        <v>247</v>
      </c>
      <c r="N532" t="s">
        <v>27</v>
      </c>
      <c r="O532" t="s">
        <v>149</v>
      </c>
      <c r="P532" t="s">
        <v>1664</v>
      </c>
      <c r="Q532" t="s">
        <v>58</v>
      </c>
      <c r="R532">
        <v>9</v>
      </c>
      <c r="S532" s="15">
        <v>1994.51</v>
      </c>
      <c r="T532" s="4">
        <v>0.05</v>
      </c>
      <c r="U532" s="3" t="str">
        <f>IF(T532&lt;0, "negative_discount", IF(AND(T532&gt;0.5, T532&lt;=1), "high_discount", ""))</f>
        <v/>
      </c>
      <c r="V532" s="11">
        <v>17053.060000000001</v>
      </c>
      <c r="W532" s="12">
        <v>17053.060000000001</v>
      </c>
      <c r="X532" s="11">
        <v>10742.38</v>
      </c>
      <c r="Y532" s="11">
        <v>6310.68</v>
      </c>
      <c r="Z532" s="11">
        <f>ROUND(W532-X532,2)</f>
        <v>6310.68</v>
      </c>
      <c r="AA532" s="4">
        <f>IF(W532=0,0,Z532/W532)</f>
        <v>0.37006144351805481</v>
      </c>
      <c r="AB532" t="s">
        <v>31</v>
      </c>
      <c r="AC532" t="s">
        <v>32</v>
      </c>
      <c r="AD532" t="str">
        <f>IF(AND(E532="", T532&gt;=0, T532&lt;=0.5, K532&lt;&gt;"Unknown", Q532&lt;&gt;"Unknown"), "CLEAN", _xlfn.CONCAT("WARNING: ", IF(E532&lt;&gt;"","invalid_date",""), IF(T532&lt;0,"negative_discount",""), IF(AND(T532&gt;0.5,T532&lt;=1),"high_discount",""), IF(K532="Unknown","missing_region",""), IF(Q532="Unknown","missing_ship_mode","")))</f>
        <v>CLEAN</v>
      </c>
      <c r="AE532" t="str">
        <f>IF(COUNTIF($AF$2:$AF$926,AF532)&gt;1,"DUPLICATE","UNIQUE")</f>
        <v>UNIQUE</v>
      </c>
      <c r="AF532" t="str">
        <f>A532&amp;"|"&amp;B532&amp;"|"&amp;H532&amp;"|"&amp;I532&amp;"|"&amp;R532&amp;"|"&amp;S532&amp;"|"&amp;V532</f>
        <v>ORD-2025-10531|2025-05-30|CUST-8177|Rahul Verma|9|1994.51|17053.06</v>
      </c>
      <c r="AG532" t="str">
        <f>IF(COUNTIF($A$2:$A$913,A532)&gt;1,"TRUE","FALSE")</f>
        <v>FALSE</v>
      </c>
    </row>
    <row r="533" spans="1:33">
      <c r="A533" t="s">
        <v>1665</v>
      </c>
      <c r="B533" t="s">
        <v>2828</v>
      </c>
      <c r="C533" t="s">
        <v>2850</v>
      </c>
      <c r="D533">
        <f>IF(OR(B533="", C533=""), "", (C533 - B533))</f>
        <v>7</v>
      </c>
      <c r="E533" t="str">
        <f>IF(C533&lt;B533, "INVALID: Ship date before order date", "")</f>
        <v/>
      </c>
      <c r="F533" t="str">
        <f>IF(B533="", "", TEXT(B533, "mmmm"))</f>
        <v>August</v>
      </c>
      <c r="G533">
        <f>IF(B533="", "", YEAR(B533))</f>
        <v>2024</v>
      </c>
      <c r="H533" t="s">
        <v>1666</v>
      </c>
      <c r="I533" t="s">
        <v>158</v>
      </c>
      <c r="J533" t="s">
        <v>36</v>
      </c>
      <c r="K533" t="s">
        <v>62</v>
      </c>
      <c r="L533" t="s">
        <v>63</v>
      </c>
      <c r="M533" t="s">
        <v>64</v>
      </c>
      <c r="N533" t="s">
        <v>27</v>
      </c>
      <c r="O533" t="s">
        <v>122</v>
      </c>
      <c r="P533" t="s">
        <v>1667</v>
      </c>
      <c r="Q533" t="s">
        <v>2970</v>
      </c>
      <c r="R533">
        <v>1</v>
      </c>
      <c r="S533" s="15">
        <v>442.97</v>
      </c>
      <c r="T533" s="4">
        <v>0.1</v>
      </c>
      <c r="U533" s="3" t="str">
        <f>IF(T533&lt;0, "negative_discount", IF(AND(T533&gt;0.5, T533&lt;=1), "high_discount", ""))</f>
        <v/>
      </c>
      <c r="V533" s="11">
        <v>398.67</v>
      </c>
      <c r="W533" s="12">
        <v>398.67</v>
      </c>
      <c r="X533" s="11">
        <v>311.66000000000003</v>
      </c>
      <c r="Y533" s="11">
        <v>87.01</v>
      </c>
      <c r="Z533" s="11">
        <f>ROUND(W533-X533,2)</f>
        <v>87.01</v>
      </c>
      <c r="AA533" s="4">
        <f>IF(W533=0,0,Z533/W533)</f>
        <v>0.21825068352271301</v>
      </c>
      <c r="AB533" t="s">
        <v>31</v>
      </c>
      <c r="AC533" t="s">
        <v>32</v>
      </c>
      <c r="AD533" t="str">
        <f>IF(AND(E533="", T533&gt;=0, T533&lt;=0.5, K533&lt;&gt;"Unknown", Q533&lt;&gt;"Unknown"), "CLEAN", _xlfn.CONCAT("WARNING: ", IF(E533&lt;&gt;"","invalid_date",""), IF(T533&lt;0,"negative_discount",""), IF(AND(T533&gt;0.5,T533&lt;=1),"high_discount",""), IF(K533="Unknown","missing_region",""), IF(Q533="Unknown","missing_ship_mode","")))</f>
        <v>WARNING: missing_ship_mode</v>
      </c>
      <c r="AE533" t="str">
        <f>IF(COUNTIF($AF$2:$AF$926,AF533)&gt;1,"DUPLICATE","UNIQUE")</f>
        <v>UNIQUE</v>
      </c>
      <c r="AF533" t="str">
        <f>A533&amp;"|"&amp;B533&amp;"|"&amp;H533&amp;"|"&amp;I533&amp;"|"&amp;R533&amp;"|"&amp;S533&amp;"|"&amp;V533</f>
        <v>ORD-2024-10532|2024-08-01|CUST-6357|Diya Patel|1|442.97|398.67</v>
      </c>
      <c r="AG533" t="str">
        <f>IF(COUNTIF($A$2:$A$913,A533)&gt;1,"TRUE","FALSE")</f>
        <v>FALSE</v>
      </c>
    </row>
    <row r="534" spans="1:33">
      <c r="A534" t="s">
        <v>3214</v>
      </c>
      <c r="B534" t="s">
        <v>1652</v>
      </c>
      <c r="C534" t="s">
        <v>224</v>
      </c>
      <c r="D534">
        <f>IF(OR(B534="", C534=""), "", (C534 - B534))</f>
        <v>5</v>
      </c>
      <c r="E534" t="str">
        <f>IF(C534&lt;B534, "INVALID: Ship date before order date", "")</f>
        <v/>
      </c>
      <c r="F534" t="str">
        <f>IF(B534="", "", TEXT(B534, "mmmm"))</f>
        <v>October</v>
      </c>
      <c r="G534">
        <f>IF(B534="", "", YEAR(B534))</f>
        <v>2025</v>
      </c>
      <c r="H534" t="s">
        <v>1668</v>
      </c>
      <c r="I534" t="s">
        <v>112</v>
      </c>
      <c r="J534" t="s">
        <v>89</v>
      </c>
      <c r="K534" t="s">
        <v>37</v>
      </c>
      <c r="L534" t="s">
        <v>163</v>
      </c>
      <c r="M534" t="s">
        <v>164</v>
      </c>
      <c r="N534" t="s">
        <v>40</v>
      </c>
      <c r="O534" t="s">
        <v>41</v>
      </c>
      <c r="P534" t="s">
        <v>1669</v>
      </c>
      <c r="Q534" t="s">
        <v>30</v>
      </c>
      <c r="R534">
        <v>9</v>
      </c>
      <c r="S534" s="15">
        <v>2089.14</v>
      </c>
      <c r="T534" s="4">
        <v>0.05</v>
      </c>
      <c r="U534" s="3" t="str">
        <f>IF(T534&lt;0, "negative_discount", IF(AND(T534&gt;0.5, T534&lt;=1), "high_discount", ""))</f>
        <v/>
      </c>
      <c r="V534" s="11">
        <v>17862.150000000001</v>
      </c>
      <c r="W534" s="12">
        <v>17862.150000000001</v>
      </c>
      <c r="X534" s="11">
        <v>9892.2099999999991</v>
      </c>
      <c r="Y534" s="11">
        <v>7969.94</v>
      </c>
      <c r="Z534" s="11">
        <f>ROUND(W534-X534,2)</f>
        <v>7969.94</v>
      </c>
      <c r="AA534" s="4">
        <f>IF(W534=0,0,Z534/W534)</f>
        <v>0.44619152789557803</v>
      </c>
      <c r="AB534" t="s">
        <v>151</v>
      </c>
      <c r="AC534" t="s">
        <v>67</v>
      </c>
      <c r="AD534" t="str">
        <f>IF(AND(E534="", T534&gt;=0, T534&lt;=0.5, K534&lt;&gt;"Unknown", Q534&lt;&gt;"Unknown"), "CLEAN", _xlfn.CONCAT("WARNING: ", IF(E534&lt;&gt;"","invalid_date",""), IF(T534&lt;0,"negative_discount",""), IF(AND(T534&gt;0.5,T534&lt;=1),"high_discount",""), IF(K534="Unknown","missing_region",""), IF(Q534="Unknown","missing_ship_mode","")))</f>
        <v>CLEAN</v>
      </c>
      <c r="AE534" t="str">
        <f>IF(COUNTIF($AF$2:$AF$926,AF534)&gt;1,"DUPLICATE","UNIQUE")</f>
        <v>UNIQUE</v>
      </c>
      <c r="AF534" t="str">
        <f>A534&amp;"|"&amp;B534&amp;"|"&amp;H534&amp;"|"&amp;I534&amp;"|"&amp;R534&amp;"|"&amp;S534&amp;"|"&amp;V534</f>
        <v>ORD-2025-10533|2025-10-05|CUST-7690|Priya Menon|9|2089.14|17862.15</v>
      </c>
      <c r="AG534" t="str">
        <f>IF(COUNTIF($A$2:$A$913,A534)&gt;1,"TRUE","FALSE")</f>
        <v>FALSE</v>
      </c>
    </row>
    <row r="535" spans="1:33">
      <c r="A535" t="s">
        <v>1670</v>
      </c>
      <c r="B535" t="s">
        <v>2829</v>
      </c>
      <c r="C535" t="s">
        <v>282</v>
      </c>
      <c r="D535">
        <f>IF(OR(B535="", C535=""), "", (C535 - B535))</f>
        <v>7</v>
      </c>
      <c r="E535" t="str">
        <f>IF(C535&lt;B535, "INVALID: Ship date before order date", "")</f>
        <v/>
      </c>
      <c r="F535" t="str">
        <f>IF(B535="", "", TEXT(B535, "mmmm"))</f>
        <v>August</v>
      </c>
      <c r="G535">
        <f>IF(B535="", "", YEAR(B535))</f>
        <v>2024</v>
      </c>
      <c r="H535" t="s">
        <v>1671</v>
      </c>
      <c r="I535" t="s">
        <v>46</v>
      </c>
      <c r="J535" t="s">
        <v>93</v>
      </c>
      <c r="K535" t="s">
        <v>24</v>
      </c>
      <c r="L535" t="s">
        <v>25</v>
      </c>
      <c r="M535" t="s">
        <v>26</v>
      </c>
      <c r="N535" t="s">
        <v>40</v>
      </c>
      <c r="O535" t="s">
        <v>41</v>
      </c>
      <c r="P535" t="s">
        <v>1672</v>
      </c>
      <c r="Q535" t="s">
        <v>43</v>
      </c>
      <c r="R535">
        <v>6</v>
      </c>
      <c r="S535" s="15">
        <v>481.3</v>
      </c>
      <c r="T535" s="4">
        <v>0.25</v>
      </c>
      <c r="U535" s="3" t="str">
        <f>IF(T535&lt;0, "negative_discount", IF(AND(T535&gt;0.5, T535&lt;=1), "high_discount", ""))</f>
        <v/>
      </c>
      <c r="V535" s="11">
        <v>2165.85</v>
      </c>
      <c r="W535" s="12">
        <v>2165.85</v>
      </c>
      <c r="X535" s="11">
        <v>2124.48</v>
      </c>
      <c r="Y535" s="11">
        <v>430.45</v>
      </c>
      <c r="Z535" s="11">
        <f>ROUND(W535-X535,2)</f>
        <v>41.37</v>
      </c>
      <c r="AA535" s="4">
        <f>IF(W535=0,0,Z535/W535)</f>
        <v>1.9101045778793544E-2</v>
      </c>
      <c r="AB535" t="s">
        <v>31</v>
      </c>
      <c r="AC535" t="s">
        <v>32</v>
      </c>
      <c r="AD535" t="str">
        <f>IF(AND(E535="", T535&gt;=0, T535&lt;=0.5, K535&lt;&gt;"Unknown", Q535&lt;&gt;"Unknown"), "CLEAN", _xlfn.CONCAT("WARNING: ", IF(E535&lt;&gt;"","invalid_date",""), IF(T535&lt;0,"negative_discount",""), IF(AND(T535&gt;0.5,T535&lt;=1),"high_discount",""), IF(K535="Unknown","missing_region",""), IF(Q535="Unknown","missing_ship_mode","")))</f>
        <v>CLEAN</v>
      </c>
      <c r="AE535" t="str">
        <f>IF(COUNTIF($AF$2:$AF$926,AF535)&gt;1,"DUPLICATE","UNIQUE")</f>
        <v>UNIQUE</v>
      </c>
      <c r="AF535" t="str">
        <f>A535&amp;"|"&amp;B535&amp;"|"&amp;H535&amp;"|"&amp;I535&amp;"|"&amp;R535&amp;"|"&amp;S535&amp;"|"&amp;V535</f>
        <v>ORD-2024-10534|2024-08-25|CUST-4487|Isha Nair|6|481.3|2165.85</v>
      </c>
      <c r="AG535" t="str">
        <f>IF(COUNTIF($A$2:$A$913,A535)&gt;1,"TRUE","FALSE")</f>
        <v>FALSE</v>
      </c>
    </row>
    <row r="536" spans="1:33">
      <c r="A536" t="s">
        <v>3215</v>
      </c>
      <c r="B536" t="s">
        <v>2830</v>
      </c>
      <c r="C536" t="s">
        <v>1673</v>
      </c>
      <c r="D536">
        <f>IF(OR(B536="", C536=""), "", (C536 - B536))</f>
        <v>8</v>
      </c>
      <c r="E536" t="str">
        <f>IF(C536&lt;B536, "INVALID: Ship date before order date", "")</f>
        <v/>
      </c>
      <c r="F536" t="str">
        <f>IF(B536="", "", TEXT(B536, "mmmm"))</f>
        <v>April</v>
      </c>
      <c r="G536">
        <f>IF(B536="", "", YEAR(B536))</f>
        <v>2025</v>
      </c>
      <c r="H536" t="s">
        <v>1674</v>
      </c>
      <c r="I536" t="s">
        <v>139</v>
      </c>
      <c r="J536" t="s">
        <v>93</v>
      </c>
      <c r="K536" t="s">
        <v>37</v>
      </c>
      <c r="L536" t="s">
        <v>142</v>
      </c>
      <c r="M536" t="s">
        <v>143</v>
      </c>
      <c r="N536" t="s">
        <v>74</v>
      </c>
      <c r="O536" t="s">
        <v>75</v>
      </c>
      <c r="P536" t="s">
        <v>1675</v>
      </c>
      <c r="Q536" t="s">
        <v>30</v>
      </c>
      <c r="R536">
        <v>4</v>
      </c>
      <c r="S536" s="15">
        <v>3963.39</v>
      </c>
      <c r="T536" s="4">
        <v>0.1</v>
      </c>
      <c r="U536" s="3" t="str">
        <f>IF(T536&lt;0, "negative_discount", IF(AND(T536&gt;0.5, T536&lt;=1), "high_discount", ""))</f>
        <v/>
      </c>
      <c r="V536" s="11">
        <v>14268.2</v>
      </c>
      <c r="W536" s="12">
        <v>14268.2</v>
      </c>
      <c r="X536" s="11">
        <v>11705.3</v>
      </c>
      <c r="Y536" s="11">
        <v>2562.9</v>
      </c>
      <c r="Z536" s="11">
        <f>ROUND(W536-X536,2)</f>
        <v>2562.9</v>
      </c>
      <c r="AA536" s="4">
        <f>IF(W536=0,0,Z536/W536)</f>
        <v>0.17962321806534812</v>
      </c>
      <c r="AB536" t="s">
        <v>109</v>
      </c>
      <c r="AC536" t="s">
        <v>100</v>
      </c>
      <c r="AD536" t="str">
        <f>IF(AND(E536="", T536&gt;=0, T536&lt;=0.5, K536&lt;&gt;"Unknown", Q536&lt;&gt;"Unknown"), "CLEAN", _xlfn.CONCAT("WARNING: ", IF(E536&lt;&gt;"","invalid_date",""), IF(T536&lt;0,"negative_discount",""), IF(AND(T536&gt;0.5,T536&lt;=1),"high_discount",""), IF(K536="Unknown","missing_region",""), IF(Q536="Unknown","missing_ship_mode","")))</f>
        <v>CLEAN</v>
      </c>
      <c r="AE536" t="str">
        <f>IF(COUNTIF($AF$2:$AF$926,AF536)&gt;1,"DUPLICATE","UNIQUE")</f>
        <v>UNIQUE</v>
      </c>
      <c r="AF536" t="str">
        <f>A536&amp;"|"&amp;B536&amp;"|"&amp;H536&amp;"|"&amp;I536&amp;"|"&amp;R536&amp;"|"&amp;S536&amp;"|"&amp;V536</f>
        <v>ORD-2025-10535|2025-04-27|CUST-8204|Rohan Mehta|4|3963.39|14268.2</v>
      </c>
      <c r="AG536" t="str">
        <f>IF(COUNTIF($A$2:$A$913,A536)&gt;1,"TRUE","FALSE")</f>
        <v>FALSE</v>
      </c>
    </row>
    <row r="537" spans="1:33">
      <c r="A537" t="s">
        <v>1676</v>
      </c>
      <c r="B537" t="s">
        <v>2831</v>
      </c>
      <c r="C537" t="s">
        <v>2068</v>
      </c>
      <c r="D537">
        <f>IF(OR(B537="", C537=""), "", (C537 - B537))</f>
        <v>2</v>
      </c>
      <c r="E537" t="str">
        <f>IF(C537&lt;B537, "INVALID: Ship date before order date", "")</f>
        <v/>
      </c>
      <c r="F537" t="str">
        <f>IF(B537="", "", TEXT(B537, "mmmm"))</f>
        <v>May</v>
      </c>
      <c r="G537">
        <f>IF(B537="", "", YEAR(B537))</f>
        <v>2024</v>
      </c>
      <c r="H537" t="s">
        <v>1677</v>
      </c>
      <c r="I537" t="s">
        <v>158</v>
      </c>
      <c r="J537" t="s">
        <v>36</v>
      </c>
      <c r="K537" t="s">
        <v>62</v>
      </c>
      <c r="L537" t="s">
        <v>63</v>
      </c>
      <c r="M537" t="s">
        <v>64</v>
      </c>
      <c r="N537" t="s">
        <v>74</v>
      </c>
      <c r="O537" t="s">
        <v>79</v>
      </c>
      <c r="P537" t="s">
        <v>1678</v>
      </c>
      <c r="Q537" t="s">
        <v>49</v>
      </c>
      <c r="R537">
        <v>3</v>
      </c>
      <c r="S537" s="15">
        <v>4000.98</v>
      </c>
      <c r="T537" s="4">
        <v>0.2</v>
      </c>
      <c r="U537" s="3" t="str">
        <f>IF(T537&lt;0, "negative_discount", IF(AND(T537&gt;0.5, T537&lt;=1), "high_discount", ""))</f>
        <v/>
      </c>
      <c r="V537" s="11">
        <v>9602.35</v>
      </c>
      <c r="W537" s="12">
        <v>9602.35</v>
      </c>
      <c r="X537" s="11">
        <v>7387.57</v>
      </c>
      <c r="Y537" s="11">
        <v>2214.7800000000002</v>
      </c>
      <c r="Z537" s="11">
        <f>ROUND(W537-X537,2)</f>
        <v>2214.7800000000002</v>
      </c>
      <c r="AA537" s="4">
        <f>IF(W537=0,0,Z537/W537)</f>
        <v>0.23064978885377019</v>
      </c>
      <c r="AB537" t="s">
        <v>31</v>
      </c>
      <c r="AC537" t="s">
        <v>32</v>
      </c>
      <c r="AD537" t="str">
        <f>IF(AND(E537="", T537&gt;=0, T537&lt;=0.5, K537&lt;&gt;"Unknown", Q537&lt;&gt;"Unknown"), "CLEAN", _xlfn.CONCAT("WARNING: ", IF(E537&lt;&gt;"","invalid_date",""), IF(T537&lt;0,"negative_discount",""), IF(AND(T537&gt;0.5,T537&lt;=1),"high_discount",""), IF(K537="Unknown","missing_region",""), IF(Q537="Unknown","missing_ship_mode","")))</f>
        <v>CLEAN</v>
      </c>
      <c r="AE537" t="str">
        <f>IF(COUNTIF($AF$2:$AF$926,AF537)&gt;1,"DUPLICATE","UNIQUE")</f>
        <v>UNIQUE</v>
      </c>
      <c r="AF537" t="str">
        <f>A537&amp;"|"&amp;B537&amp;"|"&amp;H537&amp;"|"&amp;I537&amp;"|"&amp;R537&amp;"|"&amp;S537&amp;"|"&amp;V537</f>
        <v>ORD-2024-10536|2024-05-19|CUST-1729|Diya Patel|3|4000.98|9602.35</v>
      </c>
      <c r="AG537" t="str">
        <f>IF(COUNTIF($A$2:$A$913,A537)&gt;1,"TRUE","FALSE")</f>
        <v>FALSE</v>
      </c>
    </row>
    <row r="538" spans="1:33">
      <c r="A538" t="s">
        <v>3216</v>
      </c>
      <c r="B538" t="s">
        <v>1679</v>
      </c>
      <c r="C538" t="s">
        <v>1680</v>
      </c>
      <c r="D538">
        <f>IF(OR(B538="", C538=""), "", (C538 - B538))</f>
        <v>7</v>
      </c>
      <c r="E538" t="str">
        <f>IF(C538&lt;B538, "INVALID: Ship date before order date", "")</f>
        <v/>
      </c>
      <c r="F538" t="str">
        <f>IF(B538="", "", TEXT(B538, "mmmm"))</f>
        <v>April</v>
      </c>
      <c r="G538">
        <f>IF(B538="", "", YEAR(B538))</f>
        <v>2025</v>
      </c>
      <c r="H538" t="s">
        <v>1681</v>
      </c>
      <c r="I538" t="s">
        <v>61</v>
      </c>
      <c r="J538" t="s">
        <v>36</v>
      </c>
      <c r="K538" t="s">
        <v>62</v>
      </c>
      <c r="L538" t="s">
        <v>25</v>
      </c>
      <c r="M538" t="s">
        <v>107</v>
      </c>
      <c r="N538" t="s">
        <v>40</v>
      </c>
      <c r="O538" t="s">
        <v>65</v>
      </c>
      <c r="P538" t="s">
        <v>1682</v>
      </c>
      <c r="Q538" t="s">
        <v>49</v>
      </c>
      <c r="R538">
        <v>7</v>
      </c>
      <c r="S538" s="15">
        <v>3788.9</v>
      </c>
      <c r="T538" s="4">
        <v>0.25</v>
      </c>
      <c r="U538" s="3" t="str">
        <f>IF(T538&lt;0, "negative_discount", IF(AND(T538&gt;0.5, T538&lt;=1), "high_discount", ""))</f>
        <v/>
      </c>
      <c r="V538" s="11">
        <v>19891.72</v>
      </c>
      <c r="W538" s="12">
        <v>19891.73</v>
      </c>
      <c r="X538" s="11">
        <v>12295.76</v>
      </c>
      <c r="Y538" s="11">
        <v>7595.96</v>
      </c>
      <c r="Z538" s="11">
        <f>ROUND(W538-X538,2)</f>
        <v>7595.97</v>
      </c>
      <c r="AA538" s="4">
        <f>IF(W538=0,0,Z538/W538)</f>
        <v>0.38186573013005909</v>
      </c>
      <c r="AB538" t="s">
        <v>151</v>
      </c>
      <c r="AC538" t="s">
        <v>67</v>
      </c>
      <c r="AD538" t="str">
        <f>IF(AND(E538="", T538&gt;=0, T538&lt;=0.5, K538&lt;&gt;"Unknown", Q538&lt;&gt;"Unknown"), "CLEAN", _xlfn.CONCAT("WARNING: ", IF(E538&lt;&gt;"","invalid_date",""), IF(T538&lt;0,"negative_discount",""), IF(AND(T538&gt;0.5,T538&lt;=1),"high_discount",""), IF(K538="Unknown","missing_region",""), IF(Q538="Unknown","missing_ship_mode","")))</f>
        <v>CLEAN</v>
      </c>
      <c r="AE538" t="str">
        <f>IF(COUNTIF($AF$2:$AF$926,AF538)&gt;1,"DUPLICATE","UNIQUE")</f>
        <v>UNIQUE</v>
      </c>
      <c r="AF538" t="str">
        <f>A538&amp;"|"&amp;B538&amp;"|"&amp;H538&amp;"|"&amp;I538&amp;"|"&amp;R538&amp;"|"&amp;S538&amp;"|"&amp;V538</f>
        <v>ORD-2025-10537|2025-04-10|CUST-4269|Ananya Rao|7|3788.9|19891.72</v>
      </c>
      <c r="AG538" t="str">
        <f>IF(COUNTIF($A$2:$A$913,A538)&gt;1,"TRUE","FALSE")</f>
        <v>FALSE</v>
      </c>
    </row>
    <row r="539" spans="1:33">
      <c r="A539" t="s">
        <v>1683</v>
      </c>
      <c r="B539" t="s">
        <v>1312</v>
      </c>
      <c r="C539" t="s">
        <v>1684</v>
      </c>
      <c r="D539">
        <f>IF(OR(B539="", C539=""), "", (C539 - B539))</f>
        <v>8</v>
      </c>
      <c r="E539" t="str">
        <f>IF(C539&lt;B539, "INVALID: Ship date before order date", "")</f>
        <v/>
      </c>
      <c r="F539" t="str">
        <f>IF(B539="", "", TEXT(B539, "mmmm"))</f>
        <v>January</v>
      </c>
      <c r="G539">
        <f>IF(B539="", "", YEAR(B539))</f>
        <v>2024</v>
      </c>
      <c r="H539" t="s">
        <v>1685</v>
      </c>
      <c r="I539" t="s">
        <v>61</v>
      </c>
      <c r="J539" t="s">
        <v>36</v>
      </c>
      <c r="K539" t="s">
        <v>24</v>
      </c>
      <c r="L539" t="s">
        <v>234</v>
      </c>
      <c r="M539" t="s">
        <v>235</v>
      </c>
      <c r="N539" t="s">
        <v>27</v>
      </c>
      <c r="O539" t="s">
        <v>47</v>
      </c>
      <c r="P539" t="s">
        <v>1686</v>
      </c>
      <c r="Q539" t="s">
        <v>43</v>
      </c>
      <c r="R539">
        <v>3</v>
      </c>
      <c r="S539" s="15">
        <v>676.37</v>
      </c>
      <c r="T539" s="4">
        <v>0.05</v>
      </c>
      <c r="U539" s="3" t="str">
        <f>IF(T539&lt;0, "negative_discount", IF(AND(T539&gt;0.5, T539&lt;=1), "high_discount", ""))</f>
        <v/>
      </c>
      <c r="V539" s="11">
        <v>1927.65</v>
      </c>
      <c r="W539" s="12">
        <v>1927.65</v>
      </c>
      <c r="X539" s="11">
        <v>1460.6</v>
      </c>
      <c r="Y539" s="11">
        <v>467.05</v>
      </c>
      <c r="Z539" s="11">
        <f>ROUND(W539-X539,2)</f>
        <v>467.05</v>
      </c>
      <c r="AA539" s="4">
        <f>IF(W539=0,0,Z539/W539)</f>
        <v>0.24228983477291002</v>
      </c>
      <c r="AB539" t="s">
        <v>151</v>
      </c>
      <c r="AC539" t="s">
        <v>67</v>
      </c>
      <c r="AD539" t="str">
        <f>IF(AND(E539="", T539&gt;=0, T539&lt;=0.5, K539&lt;&gt;"Unknown", Q539&lt;&gt;"Unknown"), "CLEAN", _xlfn.CONCAT("WARNING: ", IF(E539&lt;&gt;"","invalid_date",""), IF(T539&lt;0,"negative_discount",""), IF(AND(T539&gt;0.5,T539&lt;=1),"high_discount",""), IF(K539="Unknown","missing_region",""), IF(Q539="Unknown","missing_ship_mode","")))</f>
        <v>CLEAN</v>
      </c>
      <c r="AE539" t="str">
        <f>IF(COUNTIF($AF$2:$AF$926,AF539)&gt;1,"DUPLICATE","UNIQUE")</f>
        <v>UNIQUE</v>
      </c>
      <c r="AF539" t="str">
        <f>A539&amp;"|"&amp;B539&amp;"|"&amp;H539&amp;"|"&amp;I539&amp;"|"&amp;R539&amp;"|"&amp;S539&amp;"|"&amp;V539</f>
        <v>ORD-2024-10538|2024-01-22|CUST-1370|Ananya Rao|3|676.37|1927.65</v>
      </c>
      <c r="AG539" t="str">
        <f>IF(COUNTIF($A$2:$A$913,A539)&gt;1,"TRUE","FALSE")</f>
        <v>FALSE</v>
      </c>
    </row>
    <row r="540" spans="1:33">
      <c r="A540" t="s">
        <v>1687</v>
      </c>
      <c r="B540" t="s">
        <v>453</v>
      </c>
      <c r="C540" t="s">
        <v>2711</v>
      </c>
      <c r="D540">
        <f>IF(OR(B540="", C540=""), "", (C540 - B540))</f>
        <v>-259</v>
      </c>
      <c r="E540" t="str">
        <f>IF(C540&lt;B540, "INVALID: Ship date before order date", "")</f>
        <v>INVALID: Ship date before order date</v>
      </c>
      <c r="F540" t="str">
        <f>IF(B540="", "", TEXT(B540, "mmmm"))</f>
        <v>September</v>
      </c>
      <c r="G540">
        <f>IF(B540="", "", YEAR(B540))</f>
        <v>2024</v>
      </c>
      <c r="H540" t="s">
        <v>1688</v>
      </c>
      <c r="I540" t="s">
        <v>158</v>
      </c>
      <c r="J540" t="s">
        <v>36</v>
      </c>
      <c r="K540" t="s">
        <v>37</v>
      </c>
      <c r="L540" t="s">
        <v>226</v>
      </c>
      <c r="M540" t="s">
        <v>227</v>
      </c>
      <c r="N540" t="s">
        <v>40</v>
      </c>
      <c r="O540" t="s">
        <v>41</v>
      </c>
      <c r="P540" t="s">
        <v>1689</v>
      </c>
      <c r="Q540" t="s">
        <v>30</v>
      </c>
      <c r="R540">
        <v>9</v>
      </c>
      <c r="S540" s="15">
        <v>3908.6</v>
      </c>
      <c r="T540" s="4">
        <v>0.15</v>
      </c>
      <c r="U540" s="3" t="str">
        <f>IF(T540&lt;0, "negative_discount", IF(AND(T540&gt;0.5, T540&lt;=1), "high_discount", ""))</f>
        <v/>
      </c>
      <c r="V540" s="11">
        <v>29900.79</v>
      </c>
      <c r="W540" s="12">
        <v>29900.79</v>
      </c>
      <c r="X540" s="11">
        <v>24650.67</v>
      </c>
      <c r="Y540" s="11">
        <v>5250.12</v>
      </c>
      <c r="Z540" s="11">
        <f>ROUND(W540-X540,2)</f>
        <v>5250.12</v>
      </c>
      <c r="AA540" s="4">
        <f>IF(W540=0,0,Z540/W540)</f>
        <v>0.17558465846554555</v>
      </c>
      <c r="AB540" t="s">
        <v>31</v>
      </c>
      <c r="AC540" t="s">
        <v>32</v>
      </c>
      <c r="AD540" t="str">
        <f>IF(AND(E540="", T540&gt;=0, T540&lt;=0.5, K540&lt;&gt;"Unknown", Q540&lt;&gt;"Unknown"), "CLEAN", _xlfn.CONCAT("WARNING: ", IF(E540&lt;&gt;"","invalid_date",""), IF(T540&lt;0,"negative_discount",""), IF(AND(T540&gt;0.5,T540&lt;=1),"high_discount",""), IF(K540="Unknown","missing_region",""), IF(Q540="Unknown","missing_ship_mode","")))</f>
        <v>WARNING: invalid_date</v>
      </c>
      <c r="AE540" t="str">
        <f>IF(COUNTIF($AF$2:$AF$926,AF540)&gt;1,"DUPLICATE","UNIQUE")</f>
        <v>UNIQUE</v>
      </c>
      <c r="AF540" t="str">
        <f>A540&amp;"|"&amp;B540&amp;"|"&amp;H540&amp;"|"&amp;I540&amp;"|"&amp;R540&amp;"|"&amp;S540&amp;"|"&amp;V540</f>
        <v>ORD-2024-10539|2024-09-25|CUST-5381|Diya Patel|9|3908.6|29900.79</v>
      </c>
      <c r="AG540" t="str">
        <f>IF(COUNTIF($A$2:$A$913,A540)&gt;1,"TRUE","FALSE")</f>
        <v>FALSE</v>
      </c>
    </row>
    <row r="541" spans="1:33">
      <c r="A541" t="s">
        <v>3217</v>
      </c>
      <c r="B541" t="s">
        <v>1554</v>
      </c>
      <c r="C541" t="s">
        <v>1554</v>
      </c>
      <c r="D541">
        <f>IF(OR(B541="", C541=""), "", (C541 - B541))</f>
        <v>0</v>
      </c>
      <c r="E541" t="str">
        <f>IF(C541&lt;B541, "INVALID: Ship date before order date", "")</f>
        <v/>
      </c>
      <c r="F541" t="str">
        <f>IF(B541="", "", TEXT(B541, "mmmm"))</f>
        <v>July</v>
      </c>
      <c r="G541">
        <f>IF(B541="", "", YEAR(B541))</f>
        <v>2025</v>
      </c>
      <c r="H541" t="s">
        <v>1690</v>
      </c>
      <c r="I541" t="s">
        <v>35</v>
      </c>
      <c r="J541" t="s">
        <v>36</v>
      </c>
      <c r="K541" t="s">
        <v>53</v>
      </c>
      <c r="L541" t="s">
        <v>246</v>
      </c>
      <c r="M541" t="s">
        <v>247</v>
      </c>
      <c r="N541" t="s">
        <v>40</v>
      </c>
      <c r="O541" t="s">
        <v>65</v>
      </c>
      <c r="P541" t="s">
        <v>1691</v>
      </c>
      <c r="Q541" t="s">
        <v>58</v>
      </c>
      <c r="R541">
        <v>3</v>
      </c>
      <c r="S541" s="15">
        <v>705.35</v>
      </c>
      <c r="T541" s="4">
        <v>0.1</v>
      </c>
      <c r="U541" s="3" t="str">
        <f>IF(T541&lt;0, "negative_discount", IF(AND(T541&gt;0.5, T541&lt;=1), "high_discount", ""))</f>
        <v/>
      </c>
      <c r="V541" s="11">
        <v>1904.45</v>
      </c>
      <c r="W541" s="12">
        <v>1904.45</v>
      </c>
      <c r="X541" s="11">
        <v>1316.54</v>
      </c>
      <c r="Y541" s="11">
        <v>587.91</v>
      </c>
      <c r="Z541" s="11">
        <f>ROUND(W541-X541,2)</f>
        <v>587.91</v>
      </c>
      <c r="AA541" s="4">
        <f>IF(W541=0,0,Z541/W541)</f>
        <v>0.30870330016540204</v>
      </c>
      <c r="AB541" t="s">
        <v>31</v>
      </c>
      <c r="AC541" t="s">
        <v>67</v>
      </c>
      <c r="AD541" t="str">
        <f>IF(AND(E541="", T541&gt;=0, T541&lt;=0.5, K541&lt;&gt;"Unknown", Q541&lt;&gt;"Unknown"), "CLEAN", _xlfn.CONCAT("WARNING: ", IF(E541&lt;&gt;"","invalid_date",""), IF(T541&lt;0,"negative_discount",""), IF(AND(T541&gt;0.5,T541&lt;=1),"high_discount",""), IF(K541="Unknown","missing_region",""), IF(Q541="Unknown","missing_ship_mode","")))</f>
        <v>CLEAN</v>
      </c>
      <c r="AE541" t="str">
        <f>IF(COUNTIF($AF$2:$AF$926,AF541)&gt;1,"DUPLICATE","UNIQUE")</f>
        <v>UNIQUE</v>
      </c>
      <c r="AF541" t="str">
        <f>A541&amp;"|"&amp;B541&amp;"|"&amp;H541&amp;"|"&amp;I541&amp;"|"&amp;R541&amp;"|"&amp;S541&amp;"|"&amp;V541</f>
        <v>ORD-2025-10540|2025-07-04|CUST-3694|Mira Das|3|705.35|1904.45</v>
      </c>
      <c r="AG541" t="str">
        <f>IF(COUNTIF($A$2:$A$913,A541)&gt;1,"TRUE","FALSE")</f>
        <v>FALSE</v>
      </c>
    </row>
    <row r="542" spans="1:33">
      <c r="A542" t="s">
        <v>1692</v>
      </c>
      <c r="B542" t="s">
        <v>2832</v>
      </c>
      <c r="C542" t="s">
        <v>2818</v>
      </c>
      <c r="D542">
        <f>IF(OR(B542="", C542=""), "", (C542 - B542))</f>
        <v>-3</v>
      </c>
      <c r="E542" t="str">
        <f>IF(C542&lt;B542, "INVALID: Ship date before order date", "")</f>
        <v>INVALID: Ship date before order date</v>
      </c>
      <c r="F542" t="str">
        <f>IF(B542="", "", TEXT(B542, "mmmm"))</f>
        <v>February</v>
      </c>
      <c r="G542">
        <f>IF(B542="", "", YEAR(B542))</f>
        <v>2024</v>
      </c>
      <c r="H542" t="s">
        <v>1693</v>
      </c>
      <c r="I542" t="s">
        <v>263</v>
      </c>
      <c r="J542" t="s">
        <v>23</v>
      </c>
      <c r="K542" t="s">
        <v>62</v>
      </c>
      <c r="L542" t="s">
        <v>176</v>
      </c>
      <c r="M542" t="s">
        <v>177</v>
      </c>
      <c r="N542" t="s">
        <v>40</v>
      </c>
      <c r="O542" t="s">
        <v>56</v>
      </c>
      <c r="P542" t="s">
        <v>1694</v>
      </c>
      <c r="Q542" t="s">
        <v>58</v>
      </c>
      <c r="R542">
        <v>7</v>
      </c>
      <c r="S542" s="15">
        <v>3852.07</v>
      </c>
      <c r="T542" s="4">
        <v>0.2</v>
      </c>
      <c r="U542" s="3" t="str">
        <f>IF(T542&lt;0, "negative_discount", IF(AND(T542&gt;0.5, T542&lt;=1), "high_discount", ""))</f>
        <v/>
      </c>
      <c r="V542" s="11">
        <v>21571.59</v>
      </c>
      <c r="W542" s="12">
        <v>21571.59</v>
      </c>
      <c r="X542" s="11">
        <v>17118.07</v>
      </c>
      <c r="Y542" s="11">
        <v>4453.5200000000004</v>
      </c>
      <c r="Z542" s="11">
        <f>ROUND(W542-X542,2)</f>
        <v>4453.5200000000004</v>
      </c>
      <c r="AA542" s="4">
        <f>IF(W542=0,0,Z542/W542)</f>
        <v>0.20645302455683612</v>
      </c>
      <c r="AB542" t="s">
        <v>31</v>
      </c>
      <c r="AC542" t="s">
        <v>32</v>
      </c>
      <c r="AD542" t="str">
        <f>IF(AND(E542="", T542&gt;=0, T542&lt;=0.5, K542&lt;&gt;"Unknown", Q542&lt;&gt;"Unknown"), "CLEAN", _xlfn.CONCAT("WARNING: ", IF(E542&lt;&gt;"","invalid_date",""), IF(T542&lt;0,"negative_discount",""), IF(AND(T542&gt;0.5,T542&lt;=1),"high_discount",""), IF(K542="Unknown","missing_region",""), IF(Q542="Unknown","missing_ship_mode","")))</f>
        <v>WARNING: invalid_date</v>
      </c>
      <c r="AE542" t="str">
        <f>IF(COUNTIF($AF$2:$AF$926,AF542)&gt;1,"DUPLICATE","UNIQUE")</f>
        <v>UNIQUE</v>
      </c>
      <c r="AF542" t="str">
        <f>A542&amp;"|"&amp;B542&amp;"|"&amp;H542&amp;"|"&amp;I542&amp;"|"&amp;R542&amp;"|"&amp;S542&amp;"|"&amp;V542</f>
        <v>ORD-2024-10541|2024-02-26|CUST-7563|Kabir Singh|7|3852.07|21571.59</v>
      </c>
      <c r="AG542" t="str">
        <f>IF(COUNTIF($A$2:$A$913,A542)&gt;1,"TRUE","FALSE")</f>
        <v>FALSE</v>
      </c>
    </row>
    <row r="543" spans="1:33">
      <c r="A543" t="s">
        <v>3218</v>
      </c>
      <c r="B543" t="s">
        <v>1158</v>
      </c>
      <c r="C543" t="s">
        <v>1695</v>
      </c>
      <c r="D543">
        <f>IF(OR(B543="", C543=""), "", (C543 - B543))</f>
        <v>-29</v>
      </c>
      <c r="E543" t="str">
        <f>IF(C543&lt;B543, "INVALID: Ship date before order date", "")</f>
        <v>INVALID: Ship date before order date</v>
      </c>
      <c r="F543" t="str">
        <f>IF(B543="", "", TEXT(B543, "mmmm"))</f>
        <v>August</v>
      </c>
      <c r="G543">
        <f>IF(B543="", "", YEAR(B543))</f>
        <v>2025</v>
      </c>
      <c r="H543" t="s">
        <v>1696</v>
      </c>
      <c r="I543" t="s">
        <v>131</v>
      </c>
      <c r="J543" t="s">
        <v>23</v>
      </c>
      <c r="K543" t="s">
        <v>62</v>
      </c>
      <c r="L543" t="s">
        <v>63</v>
      </c>
      <c r="M543" t="s">
        <v>64</v>
      </c>
      <c r="N543" t="s">
        <v>74</v>
      </c>
      <c r="O543" t="s">
        <v>79</v>
      </c>
      <c r="P543" t="s">
        <v>1697</v>
      </c>
      <c r="Q543" t="s">
        <v>43</v>
      </c>
      <c r="R543">
        <v>3</v>
      </c>
      <c r="S543" s="15">
        <v>2880.56</v>
      </c>
      <c r="T543" s="4">
        <v>0</v>
      </c>
      <c r="U543" s="3" t="str">
        <f>IF(T543&lt;0, "negative_discount", IF(AND(T543&gt;0.5, T543&lt;=1), "high_discount", ""))</f>
        <v/>
      </c>
      <c r="V543" s="11">
        <v>8641.68</v>
      </c>
      <c r="W543" s="12">
        <v>8641.68</v>
      </c>
      <c r="X543" s="11">
        <v>5747.09</v>
      </c>
      <c r="Y543" s="11">
        <v>2894.59</v>
      </c>
      <c r="Z543" s="11">
        <f>ROUND(W543-X543,2)</f>
        <v>2894.59</v>
      </c>
      <c r="AA543" s="4">
        <f>IF(W543=0,0,Z543/W543)</f>
        <v>0.33495686024013849</v>
      </c>
      <c r="AB543" t="s">
        <v>31</v>
      </c>
      <c r="AC543" t="s">
        <v>100</v>
      </c>
      <c r="AD543" t="str">
        <f>IF(AND(E543="", T543&gt;=0, T543&lt;=0.5, K543&lt;&gt;"Unknown", Q543&lt;&gt;"Unknown"), "CLEAN", _xlfn.CONCAT("WARNING: ", IF(E543&lt;&gt;"","invalid_date",""), IF(T543&lt;0,"negative_discount",""), IF(AND(T543&gt;0.5,T543&lt;=1),"high_discount",""), IF(K543="Unknown","missing_region",""), IF(Q543="Unknown","missing_ship_mode","")))</f>
        <v>WARNING: invalid_date</v>
      </c>
      <c r="AE543" t="str">
        <f>IF(COUNTIF($AF$2:$AF$926,AF543)&gt;1,"DUPLICATE","UNIQUE")</f>
        <v>UNIQUE</v>
      </c>
      <c r="AF543" t="str">
        <f>A543&amp;"|"&amp;B543&amp;"|"&amp;H543&amp;"|"&amp;I543&amp;"|"&amp;R543&amp;"|"&amp;S543&amp;"|"&amp;V543</f>
        <v>ORD-2025-10542|2025-08-07|CUST-4188|Sneha Kapoor|3|2880.56|8641.68</v>
      </c>
      <c r="AG543" t="str">
        <f>IF(COUNTIF($A$2:$A$913,A543)&gt;1,"TRUE","FALSE")</f>
        <v>FALSE</v>
      </c>
    </row>
    <row r="544" spans="1:33">
      <c r="A544" t="s">
        <v>1698</v>
      </c>
      <c r="B544" t="s">
        <v>2833</v>
      </c>
      <c r="C544" t="s">
        <v>1699</v>
      </c>
      <c r="D544">
        <f>IF(OR(B544="", C544=""), "", (C544 - B544))</f>
        <v>6</v>
      </c>
      <c r="E544" t="str">
        <f>IF(C544&lt;B544, "INVALID: Ship date before order date", "")</f>
        <v/>
      </c>
      <c r="F544" t="str">
        <f>IF(B544="", "", TEXT(B544, "mmmm"))</f>
        <v>September</v>
      </c>
      <c r="G544">
        <f>IF(B544="", "", YEAR(B544))</f>
        <v>2024</v>
      </c>
      <c r="H544" t="s">
        <v>1700</v>
      </c>
      <c r="I544" t="s">
        <v>116</v>
      </c>
      <c r="J544" t="s">
        <v>93</v>
      </c>
      <c r="K544" t="s">
        <v>53</v>
      </c>
      <c r="L544" t="s">
        <v>180</v>
      </c>
      <c r="M544" t="s">
        <v>181</v>
      </c>
      <c r="N544" t="s">
        <v>40</v>
      </c>
      <c r="O544" t="s">
        <v>153</v>
      </c>
      <c r="P544" t="s">
        <v>1701</v>
      </c>
      <c r="Q544" t="s">
        <v>30</v>
      </c>
      <c r="R544">
        <v>3</v>
      </c>
      <c r="S544" s="15">
        <v>4067.62</v>
      </c>
      <c r="T544" s="4">
        <v>0.2</v>
      </c>
      <c r="U544" s="3" t="str">
        <f>IF(T544&lt;0, "negative_discount", IF(AND(T544&gt;0.5, T544&lt;=1), "high_discount", ""))</f>
        <v/>
      </c>
      <c r="V544" s="11">
        <v>9988.5300000000007</v>
      </c>
      <c r="W544" s="12">
        <v>9762.2900000000009</v>
      </c>
      <c r="X544" s="11">
        <v>8368.24</v>
      </c>
      <c r="Y544" s="11">
        <v>1394.05</v>
      </c>
      <c r="Z544" s="11">
        <f>ROUND(W544-X544,2)</f>
        <v>1394.05</v>
      </c>
      <c r="AA544" s="4">
        <f>IF(W544=0,0,Z544/W544)</f>
        <v>0.14279948659587041</v>
      </c>
      <c r="AB544" t="s">
        <v>31</v>
      </c>
      <c r="AC544" t="s">
        <v>67</v>
      </c>
      <c r="AD544" t="str">
        <f>IF(AND(E544="", T544&gt;=0, T544&lt;=0.5, K544&lt;&gt;"Unknown", Q544&lt;&gt;"Unknown"), "CLEAN", _xlfn.CONCAT("WARNING: ", IF(E544&lt;&gt;"","invalid_date",""), IF(T544&lt;0,"negative_discount",""), IF(AND(T544&gt;0.5,T544&lt;=1),"high_discount",""), IF(K544="Unknown","missing_region",""), IF(Q544="Unknown","missing_ship_mode","")))</f>
        <v>CLEAN</v>
      </c>
      <c r="AE544" t="str">
        <f>IF(COUNTIF($AF$2:$AF$926,AF544)&gt;1,"DUPLICATE","UNIQUE")</f>
        <v>UNIQUE</v>
      </c>
      <c r="AF544" t="str">
        <f>A544&amp;"|"&amp;B544&amp;"|"&amp;H544&amp;"|"&amp;I544&amp;"|"&amp;R544&amp;"|"&amp;S544&amp;"|"&amp;V544</f>
        <v>ORD-2024-10543|2024-09-17|CUST-9376|Rahul Verma|3|4067.62|9988.53</v>
      </c>
      <c r="AG544" t="str">
        <f>IF(COUNTIF($A$2:$A$913,A544)&gt;1,"TRUE","FALSE")</f>
        <v>FALSE</v>
      </c>
    </row>
    <row r="545" spans="1:33">
      <c r="A545" t="s">
        <v>1702</v>
      </c>
      <c r="B545" t="s">
        <v>1703</v>
      </c>
      <c r="C545" t="s">
        <v>2693</v>
      </c>
      <c r="D545">
        <f>IF(OR(B545="", C545=""), "", (C545 - B545))</f>
        <v>6</v>
      </c>
      <c r="E545" t="str">
        <f>IF(C545&lt;B545, "INVALID: Ship date before order date", "")</f>
        <v/>
      </c>
      <c r="F545" t="str">
        <f>IF(B545="", "", TEXT(B545, "mmmm"))</f>
        <v>July</v>
      </c>
      <c r="G545">
        <f>IF(B545="", "", YEAR(B545))</f>
        <v>2024</v>
      </c>
      <c r="H545" t="s">
        <v>1704</v>
      </c>
      <c r="I545" t="s">
        <v>35</v>
      </c>
      <c r="J545" t="s">
        <v>23</v>
      </c>
      <c r="K545" t="s">
        <v>37</v>
      </c>
      <c r="L545" t="s">
        <v>142</v>
      </c>
      <c r="M545" t="s">
        <v>143</v>
      </c>
      <c r="N545" t="s">
        <v>74</v>
      </c>
      <c r="O545" t="s">
        <v>79</v>
      </c>
      <c r="P545" t="s">
        <v>1705</v>
      </c>
      <c r="Q545" t="s">
        <v>43</v>
      </c>
      <c r="R545">
        <v>1</v>
      </c>
      <c r="S545" s="15">
        <v>492.67</v>
      </c>
      <c r="T545" s="4">
        <v>0.15</v>
      </c>
      <c r="U545" s="3" t="str">
        <f>IF(T545&lt;0, "negative_discount", IF(AND(T545&gt;0.5, T545&lt;=1), "high_discount", ""))</f>
        <v/>
      </c>
      <c r="V545" s="11">
        <v>418.77</v>
      </c>
      <c r="W545" s="12">
        <v>418.77</v>
      </c>
      <c r="X545" s="11">
        <v>313.72000000000003</v>
      </c>
      <c r="Y545" s="11">
        <v>105.05</v>
      </c>
      <c r="Z545" s="11">
        <f>ROUND(W545-X545,2)</f>
        <v>105.05</v>
      </c>
      <c r="AA545" s="4">
        <f>IF(W545=0,0,Z545/W545)</f>
        <v>0.25085369057000262</v>
      </c>
      <c r="AB545" t="s">
        <v>31</v>
      </c>
      <c r="AC545" t="s">
        <v>32</v>
      </c>
      <c r="AD545" t="str">
        <f>IF(AND(E545="", T545&gt;=0, T545&lt;=0.5, K545&lt;&gt;"Unknown", Q545&lt;&gt;"Unknown"), "CLEAN", _xlfn.CONCAT("WARNING: ", IF(E545&lt;&gt;"","invalid_date",""), IF(T545&lt;0,"negative_discount",""), IF(AND(T545&gt;0.5,T545&lt;=1),"high_discount",""), IF(K545="Unknown","missing_region",""), IF(Q545="Unknown","missing_ship_mode","")))</f>
        <v>CLEAN</v>
      </c>
      <c r="AE545" t="str">
        <f>IF(COUNTIF($AF$2:$AF$926,AF545)&gt;1,"DUPLICATE","UNIQUE")</f>
        <v>UNIQUE</v>
      </c>
      <c r="AF545" t="str">
        <f>A545&amp;"|"&amp;B545&amp;"|"&amp;H545&amp;"|"&amp;I545&amp;"|"&amp;R545&amp;"|"&amp;S545&amp;"|"&amp;V545</f>
        <v>ORD-2024-10544|2024-07-14|CUST-9094|Mira Das|1|492.67|418.77</v>
      </c>
      <c r="AG545" t="str">
        <f>IF(COUNTIF($A$2:$A$913,A545)&gt;1,"TRUE","FALSE")</f>
        <v>FALSE</v>
      </c>
    </row>
    <row r="546" spans="1:33">
      <c r="A546" t="s">
        <v>3219</v>
      </c>
      <c r="B546" t="s">
        <v>1706</v>
      </c>
      <c r="C546" t="s">
        <v>198</v>
      </c>
      <c r="D546">
        <f>IF(OR(B546="", C546=""), "", (C546 - B546))</f>
        <v>7</v>
      </c>
      <c r="E546" t="str">
        <f>IF(C546&lt;B546, "INVALID: Ship date before order date", "")</f>
        <v/>
      </c>
      <c r="F546" t="str">
        <f>IF(B546="", "", TEXT(B546, "mmmm"))</f>
        <v>January</v>
      </c>
      <c r="G546">
        <f>IF(B546="", "", YEAR(B546))</f>
        <v>2025</v>
      </c>
      <c r="H546" t="s">
        <v>1707</v>
      </c>
      <c r="I546" t="s">
        <v>61</v>
      </c>
      <c r="J546" t="s">
        <v>23</v>
      </c>
      <c r="K546" t="s">
        <v>53</v>
      </c>
      <c r="L546" t="s">
        <v>180</v>
      </c>
      <c r="M546" t="s">
        <v>181</v>
      </c>
      <c r="N546" t="s">
        <v>27</v>
      </c>
      <c r="O546" t="s">
        <v>47</v>
      </c>
      <c r="P546" t="s">
        <v>1708</v>
      </c>
      <c r="Q546" t="s">
        <v>43</v>
      </c>
      <c r="R546">
        <v>8</v>
      </c>
      <c r="S546" s="15">
        <v>3643.62</v>
      </c>
      <c r="T546" s="4">
        <v>0.25</v>
      </c>
      <c r="U546" s="3" t="str">
        <f>IF(T546&lt;0, "negative_discount", IF(AND(T546&gt;0.5, T546&lt;=1), "high_discount", ""))</f>
        <v/>
      </c>
      <c r="V546" s="11">
        <v>21861.72</v>
      </c>
      <c r="W546" s="12">
        <v>21861.72</v>
      </c>
      <c r="X546" s="11">
        <v>18464.34</v>
      </c>
      <c r="Y546" s="11">
        <v>3397.38</v>
      </c>
      <c r="Z546" s="11">
        <f>ROUND(W546-X546,2)</f>
        <v>3397.38</v>
      </c>
      <c r="AA546" s="4">
        <f>IF(W546=0,0,Z546/W546)</f>
        <v>0.15540314302808744</v>
      </c>
      <c r="AB546" t="s">
        <v>31</v>
      </c>
      <c r="AC546" t="s">
        <v>67</v>
      </c>
      <c r="AD546" t="str">
        <f>IF(AND(E546="", T546&gt;=0, T546&lt;=0.5, K546&lt;&gt;"Unknown", Q546&lt;&gt;"Unknown"), "CLEAN", _xlfn.CONCAT("WARNING: ", IF(E546&lt;&gt;"","invalid_date",""), IF(T546&lt;0,"negative_discount",""), IF(AND(T546&gt;0.5,T546&lt;=1),"high_discount",""), IF(K546="Unknown","missing_region",""), IF(Q546="Unknown","missing_ship_mode","")))</f>
        <v>CLEAN</v>
      </c>
      <c r="AE546" t="str">
        <f>IF(COUNTIF($AF$2:$AF$926,AF546)&gt;1,"DUPLICATE","UNIQUE")</f>
        <v>UNIQUE</v>
      </c>
      <c r="AF546" t="str">
        <f>A546&amp;"|"&amp;B546&amp;"|"&amp;H546&amp;"|"&amp;I546&amp;"|"&amp;R546&amp;"|"&amp;S546&amp;"|"&amp;V546</f>
        <v>ORD-2025-10545|2025-01-29|CUST-2366|Ananya Rao|8|3643.62|21861.72</v>
      </c>
      <c r="AG546" t="str">
        <f>IF(COUNTIF($A$2:$A$913,A546)&gt;1,"TRUE","FALSE")</f>
        <v>FALSE</v>
      </c>
    </row>
    <row r="547" spans="1:33">
      <c r="A547" t="s">
        <v>1709</v>
      </c>
      <c r="B547" t="s">
        <v>2834</v>
      </c>
      <c r="C547" t="s">
        <v>2873</v>
      </c>
      <c r="D547">
        <f>IF(OR(B547="", C547=""), "", (C547 - B547))</f>
        <v>3</v>
      </c>
      <c r="E547" t="str">
        <f>IF(C547&lt;B547, "INVALID: Ship date before order date", "")</f>
        <v/>
      </c>
      <c r="F547" t="str">
        <f>IF(B547="", "", TEXT(B547, "mmmm"))</f>
        <v>May</v>
      </c>
      <c r="G547">
        <f>IF(B547="", "", YEAR(B547))</f>
        <v>2024</v>
      </c>
      <c r="H547" t="s">
        <v>1710</v>
      </c>
      <c r="I547" t="s">
        <v>263</v>
      </c>
      <c r="J547" t="s">
        <v>36</v>
      </c>
      <c r="K547" t="s">
        <v>37</v>
      </c>
      <c r="L547" t="s">
        <v>226</v>
      </c>
      <c r="M547" t="s">
        <v>227</v>
      </c>
      <c r="N547" t="s">
        <v>27</v>
      </c>
      <c r="O547" t="s">
        <v>122</v>
      </c>
      <c r="P547" t="s">
        <v>1711</v>
      </c>
      <c r="Q547" t="s">
        <v>43</v>
      </c>
      <c r="R547">
        <v>7</v>
      </c>
      <c r="S547" s="15">
        <v>2900.86</v>
      </c>
      <c r="T547" s="4">
        <v>0.15</v>
      </c>
      <c r="U547" s="3" t="str">
        <f>IF(T547&lt;0, "negative_discount", IF(AND(T547&gt;0.5, T547&lt;=1), "high_discount", ""))</f>
        <v/>
      </c>
      <c r="V547" s="11">
        <v>17260.12</v>
      </c>
      <c r="W547" s="12">
        <v>17260.12</v>
      </c>
      <c r="X547" s="11">
        <v>13513.51</v>
      </c>
      <c r="Y547" s="11">
        <v>3746.61</v>
      </c>
      <c r="Z547" s="11">
        <f>ROUND(W547-X547,2)</f>
        <v>3746.61</v>
      </c>
      <c r="AA547" s="4">
        <f>IF(W547=0,0,Z547/W547)</f>
        <v>0.21706743637935311</v>
      </c>
      <c r="AB547" t="s">
        <v>31</v>
      </c>
      <c r="AC547" t="s">
        <v>32</v>
      </c>
      <c r="AD547" t="str">
        <f>IF(AND(E547="", T547&gt;=0, T547&lt;=0.5, K547&lt;&gt;"Unknown", Q547&lt;&gt;"Unknown"), "CLEAN", _xlfn.CONCAT("WARNING: ", IF(E547&lt;&gt;"","invalid_date",""), IF(T547&lt;0,"negative_discount",""), IF(AND(T547&gt;0.5,T547&lt;=1),"high_discount",""), IF(K547="Unknown","missing_region",""), IF(Q547="Unknown","missing_ship_mode","")))</f>
        <v>CLEAN</v>
      </c>
      <c r="AE547" t="str">
        <f>IF(COUNTIF($AF$2:$AF$926,AF547)&gt;1,"DUPLICATE","UNIQUE")</f>
        <v>UNIQUE</v>
      </c>
      <c r="AF547" t="str">
        <f>A547&amp;"|"&amp;B547&amp;"|"&amp;H547&amp;"|"&amp;I547&amp;"|"&amp;R547&amp;"|"&amp;S547&amp;"|"&amp;V547</f>
        <v>ORD-2024-10546|2024-05-27|CUST-7168|Kabir Singh|7|2900.86|17260.12</v>
      </c>
      <c r="AG547" t="str">
        <f>IF(COUNTIF($A$2:$A$913,A547)&gt;1,"TRUE","FALSE")</f>
        <v>FALSE</v>
      </c>
    </row>
    <row r="548" spans="1:33">
      <c r="A548" t="s">
        <v>3220</v>
      </c>
      <c r="B548" t="s">
        <v>1712</v>
      </c>
      <c r="C548" t="s">
        <v>321</v>
      </c>
      <c r="D548">
        <f>IF(OR(B548="", C548=""), "", (C548 - B548))</f>
        <v>8</v>
      </c>
      <c r="E548" t="str">
        <f>IF(C548&lt;B548, "INVALID: Ship date before order date", "")</f>
        <v/>
      </c>
      <c r="F548" t="str">
        <f>IF(B548="", "", TEXT(B548, "mmmm"))</f>
        <v>August</v>
      </c>
      <c r="G548">
        <f>IF(B548="", "", YEAR(B548))</f>
        <v>2025</v>
      </c>
      <c r="H548" t="s">
        <v>1713</v>
      </c>
      <c r="I548" t="s">
        <v>52</v>
      </c>
      <c r="J548" t="s">
        <v>89</v>
      </c>
      <c r="K548" t="s">
        <v>62</v>
      </c>
      <c r="L548" t="s">
        <v>176</v>
      </c>
      <c r="M548" t="s">
        <v>177</v>
      </c>
      <c r="N548" t="s">
        <v>27</v>
      </c>
      <c r="O548" t="s">
        <v>28</v>
      </c>
      <c r="P548" t="s">
        <v>1714</v>
      </c>
      <c r="Q548" t="s">
        <v>49</v>
      </c>
      <c r="R548">
        <v>5</v>
      </c>
      <c r="S548" s="15">
        <v>2567.37</v>
      </c>
      <c r="T548" s="4">
        <v>0.15</v>
      </c>
      <c r="U548" s="3" t="str">
        <f>IF(T548&lt;0, "negative_discount", IF(AND(T548&gt;0.5, T548&lt;=1), "high_discount", ""))</f>
        <v/>
      </c>
      <c r="V548" s="11">
        <v>10911.32</v>
      </c>
      <c r="W548" s="12">
        <v>10911.32</v>
      </c>
      <c r="X548" s="11">
        <v>6966.44</v>
      </c>
      <c r="Y548" s="11">
        <v>4395.17</v>
      </c>
      <c r="Z548" s="11">
        <f>ROUND(W548-X548,2)</f>
        <v>3944.88</v>
      </c>
      <c r="AA548" s="4">
        <f>IF(W548=0,0,Z548/W548)</f>
        <v>0.3615401253010635</v>
      </c>
      <c r="AB548" t="s">
        <v>31</v>
      </c>
      <c r="AC548" t="s">
        <v>32</v>
      </c>
      <c r="AD548" t="str">
        <f>IF(AND(E548="", T548&gt;=0, T548&lt;=0.5, K548&lt;&gt;"Unknown", Q548&lt;&gt;"Unknown"), "CLEAN", _xlfn.CONCAT("WARNING: ", IF(E548&lt;&gt;"","invalid_date",""), IF(T548&lt;0,"negative_discount",""), IF(AND(T548&gt;0.5,T548&lt;=1),"high_discount",""), IF(K548="Unknown","missing_region",""), IF(Q548="Unknown","missing_ship_mode","")))</f>
        <v>CLEAN</v>
      </c>
      <c r="AE548" t="str">
        <f>IF(COUNTIF($AF$2:$AF$926,AF548)&gt;1,"DUPLICATE","UNIQUE")</f>
        <v>UNIQUE</v>
      </c>
      <c r="AF548" t="str">
        <f>A548&amp;"|"&amp;B548&amp;"|"&amp;H548&amp;"|"&amp;I548&amp;"|"&amp;R548&amp;"|"&amp;S548&amp;"|"&amp;V548</f>
        <v>ORD-2025-10547|2025-08-14|CUST-8157|Arjun Bose|5|2567.37|10911.32</v>
      </c>
      <c r="AG548" t="str">
        <f>IF(COUNTIF($A$2:$A$913,A548)&gt;1,"TRUE","FALSE")</f>
        <v>FALSE</v>
      </c>
    </row>
    <row r="549" spans="1:33">
      <c r="A549" t="s">
        <v>1715</v>
      </c>
      <c r="B549" t="s">
        <v>2739</v>
      </c>
      <c r="C549" t="s">
        <v>2880</v>
      </c>
      <c r="D549">
        <f>IF(OR(B549="", C549=""), "", (C549 - B549))</f>
        <v>7</v>
      </c>
      <c r="E549" t="str">
        <f>IF(C549&lt;B549, "INVALID: Ship date before order date", "")</f>
        <v/>
      </c>
      <c r="F549" t="str">
        <f>IF(B549="", "", TEXT(B549, "mmmm"))</f>
        <v>May</v>
      </c>
      <c r="G549">
        <f>IF(B549="", "", YEAR(B549))</f>
        <v>2024</v>
      </c>
      <c r="H549" t="s">
        <v>1716</v>
      </c>
      <c r="I549" t="s">
        <v>78</v>
      </c>
      <c r="J549" t="s">
        <v>36</v>
      </c>
      <c r="K549" t="s">
        <v>24</v>
      </c>
      <c r="L549" t="s">
        <v>134</v>
      </c>
      <c r="M549" t="s">
        <v>135</v>
      </c>
      <c r="N549" t="s">
        <v>74</v>
      </c>
      <c r="O549" t="s">
        <v>79</v>
      </c>
      <c r="P549" t="s">
        <v>1717</v>
      </c>
      <c r="Q549" t="s">
        <v>58</v>
      </c>
      <c r="R549">
        <v>9</v>
      </c>
      <c r="S549" s="15">
        <v>3722.09</v>
      </c>
      <c r="T549" s="4">
        <v>0.1</v>
      </c>
      <c r="U549" s="3" t="str">
        <f>IF(T549&lt;0, "negative_discount", IF(AND(T549&gt;0.5, T549&lt;=1), "high_discount", ""))</f>
        <v/>
      </c>
      <c r="V549" s="11">
        <v>30148.93</v>
      </c>
      <c r="W549" s="12">
        <v>30148.93</v>
      </c>
      <c r="X549" s="11">
        <v>25155.07</v>
      </c>
      <c r="Y549" s="11">
        <v>4993.8599999999997</v>
      </c>
      <c r="Z549" s="11">
        <f>ROUND(W549-X549,2)</f>
        <v>4993.8599999999997</v>
      </c>
      <c r="AA549" s="4">
        <f>IF(W549=0,0,Z549/W549)</f>
        <v>0.16563970926994753</v>
      </c>
      <c r="AB549" t="s">
        <v>31</v>
      </c>
      <c r="AC549" t="s">
        <v>32</v>
      </c>
      <c r="AD549" t="str">
        <f>IF(AND(E549="", T549&gt;=0, T549&lt;=0.5, K549&lt;&gt;"Unknown", Q549&lt;&gt;"Unknown"), "CLEAN", _xlfn.CONCAT("WARNING: ", IF(E549&lt;&gt;"","invalid_date",""), IF(T549&lt;0,"negative_discount",""), IF(AND(T549&gt;0.5,T549&lt;=1),"high_discount",""), IF(K549="Unknown","missing_region",""), IF(Q549="Unknown","missing_ship_mode","")))</f>
        <v>CLEAN</v>
      </c>
      <c r="AE549" t="str">
        <f>IF(COUNTIF($AF$2:$AF$926,AF549)&gt;1,"DUPLICATE","UNIQUE")</f>
        <v>UNIQUE</v>
      </c>
      <c r="AF549" t="str">
        <f>A549&amp;"|"&amp;B549&amp;"|"&amp;H549&amp;"|"&amp;I549&amp;"|"&amp;R549&amp;"|"&amp;S549&amp;"|"&amp;V549</f>
        <v>ORD-2024-10548|2024-05-16|CUST-9146|Neha Gupta|9|3722.09|30148.93</v>
      </c>
      <c r="AG549" t="str">
        <f>IF(COUNTIF($A$2:$A$913,A549)&gt;1,"TRUE","FALSE")</f>
        <v>FALSE</v>
      </c>
    </row>
    <row r="550" spans="1:33">
      <c r="A550" t="s">
        <v>1718</v>
      </c>
      <c r="B550" t="s">
        <v>1838</v>
      </c>
      <c r="C550" t="s">
        <v>1838</v>
      </c>
      <c r="D550">
        <f>IF(OR(B550="", C550=""), "", (C550 - B550))</f>
        <v>0</v>
      </c>
      <c r="E550" t="str">
        <f>IF(C550&lt;B550, "INVALID: Ship date before order date", "")</f>
        <v/>
      </c>
      <c r="F550" t="str">
        <f>IF(B550="", "", TEXT(B550, "mmmm"))</f>
        <v>May</v>
      </c>
      <c r="G550">
        <f>IF(B550="", "", YEAR(B550))</f>
        <v>2024</v>
      </c>
      <c r="H550" t="s">
        <v>1719</v>
      </c>
      <c r="I550" t="s">
        <v>139</v>
      </c>
      <c r="J550" t="s">
        <v>89</v>
      </c>
      <c r="K550" t="s">
        <v>37</v>
      </c>
      <c r="L550" t="s">
        <v>142</v>
      </c>
      <c r="M550" t="s">
        <v>143</v>
      </c>
      <c r="N550" t="s">
        <v>40</v>
      </c>
      <c r="O550" t="s">
        <v>153</v>
      </c>
      <c r="P550" t="s">
        <v>1720</v>
      </c>
      <c r="Q550" t="s">
        <v>43</v>
      </c>
      <c r="R550">
        <v>1</v>
      </c>
      <c r="S550" s="15">
        <v>1072.01</v>
      </c>
      <c r="T550" s="4">
        <v>0</v>
      </c>
      <c r="U550" s="3" t="str">
        <f>IF(T550&lt;0, "negative_discount", IF(AND(T550&gt;0.5, T550&lt;=1), "high_discount", ""))</f>
        <v/>
      </c>
      <c r="V550" s="11">
        <v>1072.01</v>
      </c>
      <c r="W550" s="12">
        <v>1072.01</v>
      </c>
      <c r="X550" s="11">
        <v>852.62</v>
      </c>
      <c r="Y550" s="11">
        <v>219.39</v>
      </c>
      <c r="Z550" s="11">
        <f>ROUND(W550-X550,2)</f>
        <v>219.39</v>
      </c>
      <c r="AA550" s="4">
        <f>IF(W550=0,0,Z550/W550)</f>
        <v>0.20465294167032022</v>
      </c>
      <c r="AB550" t="s">
        <v>109</v>
      </c>
      <c r="AC550" t="s">
        <v>67</v>
      </c>
      <c r="AD550" t="str">
        <f>IF(AND(E550="", T550&gt;=0, T550&lt;=0.5, K550&lt;&gt;"Unknown", Q550&lt;&gt;"Unknown"), "CLEAN", _xlfn.CONCAT("WARNING: ", IF(E550&lt;&gt;"","invalid_date",""), IF(T550&lt;0,"negative_discount",""), IF(AND(T550&gt;0.5,T550&lt;=1),"high_discount",""), IF(K550="Unknown","missing_region",""), IF(Q550="Unknown","missing_ship_mode","")))</f>
        <v>CLEAN</v>
      </c>
      <c r="AE550" t="str">
        <f>IF(COUNTIF($AF$2:$AF$926,AF550)&gt;1,"DUPLICATE","UNIQUE")</f>
        <v>UNIQUE</v>
      </c>
      <c r="AF550" t="str">
        <f>A550&amp;"|"&amp;B550&amp;"|"&amp;H550&amp;"|"&amp;I550&amp;"|"&amp;R550&amp;"|"&amp;S550&amp;"|"&amp;V550</f>
        <v>ORD-2024-10549|2024-05-29|CUST-5129|Rohan Mehta|1|1072.01|1072.01</v>
      </c>
      <c r="AG550" t="str">
        <f>IF(COUNTIF($A$2:$A$913,A550)&gt;1,"TRUE","FALSE")</f>
        <v>FALSE</v>
      </c>
    </row>
    <row r="551" spans="1:33">
      <c r="A551" t="s">
        <v>3221</v>
      </c>
      <c r="B551" t="s">
        <v>2835</v>
      </c>
      <c r="C551" t="s">
        <v>2192</v>
      </c>
      <c r="D551">
        <f>IF(OR(B551="", C551=""), "", (C551 - B551))</f>
        <v>2</v>
      </c>
      <c r="E551" t="str">
        <f>IF(C551&lt;B551, "INVALID: Ship date before order date", "")</f>
        <v/>
      </c>
      <c r="F551" t="str">
        <f>IF(B551="", "", TEXT(B551, "mmmm"))</f>
        <v>October</v>
      </c>
      <c r="G551">
        <f>IF(B551="", "", YEAR(B551))</f>
        <v>2025</v>
      </c>
      <c r="H551" t="s">
        <v>1721</v>
      </c>
      <c r="I551" t="s">
        <v>35</v>
      </c>
      <c r="J551" t="s">
        <v>89</v>
      </c>
      <c r="K551" t="s">
        <v>53</v>
      </c>
      <c r="L551" t="s">
        <v>54</v>
      </c>
      <c r="M551" t="s">
        <v>55</v>
      </c>
      <c r="N551" t="s">
        <v>27</v>
      </c>
      <c r="O551" t="s">
        <v>47</v>
      </c>
      <c r="P551" t="s">
        <v>1722</v>
      </c>
      <c r="Q551" t="s">
        <v>30</v>
      </c>
      <c r="R551">
        <v>3</v>
      </c>
      <c r="S551" s="15">
        <v>3804.27</v>
      </c>
      <c r="T551" s="4">
        <v>0.1</v>
      </c>
      <c r="U551" s="3" t="str">
        <f>IF(T551&lt;0, "negative_discount", IF(AND(T551&gt;0.5, T551&lt;=1), "high_discount", ""))</f>
        <v/>
      </c>
      <c r="V551" s="11">
        <v>10271.530000000001</v>
      </c>
      <c r="W551" s="12">
        <v>10271.530000000001</v>
      </c>
      <c r="X551" s="11">
        <v>8272.24</v>
      </c>
      <c r="Y551" s="11">
        <v>1999.29</v>
      </c>
      <c r="Z551" s="11">
        <f>ROUND(W551-X551,2)</f>
        <v>1999.29</v>
      </c>
      <c r="AA551" s="4">
        <f>IF(W551=0,0,Z551/W551)</f>
        <v>0.19464383592317794</v>
      </c>
      <c r="AB551" t="s">
        <v>31</v>
      </c>
      <c r="AC551" t="s">
        <v>32</v>
      </c>
      <c r="AD551" t="str">
        <f>IF(AND(E551="", T551&gt;=0, T551&lt;=0.5, K551&lt;&gt;"Unknown", Q551&lt;&gt;"Unknown"), "CLEAN", _xlfn.CONCAT("WARNING: ", IF(E551&lt;&gt;"","invalid_date",""), IF(T551&lt;0,"negative_discount",""), IF(AND(T551&gt;0.5,T551&lt;=1),"high_discount",""), IF(K551="Unknown","missing_region",""), IF(Q551="Unknown","missing_ship_mode","")))</f>
        <v>CLEAN</v>
      </c>
      <c r="AE551" t="str">
        <f>IF(COUNTIF($AF$2:$AF$926,AF551)&gt;1,"DUPLICATE","UNIQUE")</f>
        <v>UNIQUE</v>
      </c>
      <c r="AF551" t="str">
        <f>A551&amp;"|"&amp;B551&amp;"|"&amp;H551&amp;"|"&amp;I551&amp;"|"&amp;R551&amp;"|"&amp;S551&amp;"|"&amp;V551</f>
        <v>ORD-2025-10550|2025-10-11|CUST-6028|Mira Das|3|3804.27|10271.53</v>
      </c>
      <c r="AG551" t="str">
        <f>IF(COUNTIF($A$2:$A$913,A551)&gt;1,"TRUE","FALSE")</f>
        <v>FALSE</v>
      </c>
    </row>
    <row r="552" spans="1:33">
      <c r="A552" t="s">
        <v>1723</v>
      </c>
      <c r="B552" t="s">
        <v>1660</v>
      </c>
      <c r="C552" t="s">
        <v>350</v>
      </c>
      <c r="D552">
        <f>IF(OR(B552="", C552=""), "", (C552 - B552))</f>
        <v>184</v>
      </c>
      <c r="E552" t="str">
        <f>IF(C552&lt;B552, "INVALID: Ship date before order date", "")</f>
        <v/>
      </c>
      <c r="F552" t="str">
        <f>IF(B552="", "", TEXT(B552, "mmmm"))</f>
        <v>February</v>
      </c>
      <c r="G552">
        <f>IF(B552="", "", YEAR(B552))</f>
        <v>2024</v>
      </c>
      <c r="H552" t="s">
        <v>1724</v>
      </c>
      <c r="I552" t="s">
        <v>35</v>
      </c>
      <c r="J552" t="s">
        <v>93</v>
      </c>
      <c r="K552" t="s">
        <v>37</v>
      </c>
      <c r="L552" t="s">
        <v>38</v>
      </c>
      <c r="M552" t="s">
        <v>39</v>
      </c>
      <c r="N552" t="s">
        <v>74</v>
      </c>
      <c r="O552" t="s">
        <v>75</v>
      </c>
      <c r="P552" t="s">
        <v>1725</v>
      </c>
      <c r="Q552" t="s">
        <v>58</v>
      </c>
      <c r="R552">
        <v>6</v>
      </c>
      <c r="S552" s="15">
        <v>2126.44</v>
      </c>
      <c r="T552" s="4">
        <v>0.2</v>
      </c>
      <c r="U552" s="3" t="str">
        <f>IF(T552&lt;0, "negative_discount", IF(AND(T552&gt;0.5, T552&lt;=1), "high_discount", ""))</f>
        <v/>
      </c>
      <c r="V552" s="11">
        <v>10206.91</v>
      </c>
      <c r="W552" s="12">
        <v>10206.91</v>
      </c>
      <c r="X552" s="11">
        <v>6764.53</v>
      </c>
      <c r="Y552" s="11">
        <v>3442.38</v>
      </c>
      <c r="Z552" s="11">
        <f>ROUND(W552-X552,2)</f>
        <v>3442.38</v>
      </c>
      <c r="AA552" s="4">
        <f>IF(W552=0,0,Z552/W552)</f>
        <v>0.33725975834018329</v>
      </c>
      <c r="AB552" t="s">
        <v>31</v>
      </c>
      <c r="AC552" t="s">
        <v>32</v>
      </c>
      <c r="AD552" t="str">
        <f>IF(AND(E552="", T552&gt;=0, T552&lt;=0.5, K552&lt;&gt;"Unknown", Q552&lt;&gt;"Unknown"), "CLEAN", _xlfn.CONCAT("WARNING: ", IF(E552&lt;&gt;"","invalid_date",""), IF(T552&lt;0,"negative_discount",""), IF(AND(T552&gt;0.5,T552&lt;=1),"high_discount",""), IF(K552="Unknown","missing_region",""), IF(Q552="Unknown","missing_ship_mode","")))</f>
        <v>CLEAN</v>
      </c>
      <c r="AE552" t="str">
        <f>IF(COUNTIF($AF$2:$AF$926,AF552)&gt;1,"DUPLICATE","UNIQUE")</f>
        <v>UNIQUE</v>
      </c>
      <c r="AF552" t="str">
        <f>A552&amp;"|"&amp;B552&amp;"|"&amp;H552&amp;"|"&amp;I552&amp;"|"&amp;R552&amp;"|"&amp;S552&amp;"|"&amp;V552</f>
        <v>ORD-2024-10551|2024-02-08|CUST-8687|Mira Das|6|2126.44|10206.91</v>
      </c>
      <c r="AG552" t="str">
        <f>IF(COUNTIF($A$2:$A$913,A552)&gt;1,"TRUE","FALSE")</f>
        <v>FALSE</v>
      </c>
    </row>
    <row r="553" spans="1:33">
      <c r="A553" t="s">
        <v>1726</v>
      </c>
      <c r="B553" t="s">
        <v>1727</v>
      </c>
      <c r="C553" t="s">
        <v>1727</v>
      </c>
      <c r="D553">
        <f>IF(OR(B553="", C553=""), "", (C553 - B553))</f>
        <v>0</v>
      </c>
      <c r="E553" t="str">
        <f>IF(C553&lt;B553, "INVALID: Ship date before order date", "")</f>
        <v/>
      </c>
      <c r="F553" t="str">
        <f>IF(B553="", "", TEXT(B553, "mmmm"))</f>
        <v>February</v>
      </c>
      <c r="G553">
        <f>IF(B553="", "", YEAR(B553))</f>
        <v>2024</v>
      </c>
      <c r="H553" t="s">
        <v>1728</v>
      </c>
      <c r="I553" t="s">
        <v>131</v>
      </c>
      <c r="J553" t="s">
        <v>23</v>
      </c>
      <c r="K553" t="s">
        <v>37</v>
      </c>
      <c r="L553" t="s">
        <v>226</v>
      </c>
      <c r="M553" t="s">
        <v>227</v>
      </c>
      <c r="N553" t="s">
        <v>40</v>
      </c>
      <c r="O553" t="s">
        <v>65</v>
      </c>
      <c r="P553" t="s">
        <v>1729</v>
      </c>
      <c r="Q553" t="s">
        <v>30</v>
      </c>
      <c r="R553">
        <v>3</v>
      </c>
      <c r="S553" s="15">
        <v>3148.09</v>
      </c>
      <c r="T553" s="4">
        <v>0.15</v>
      </c>
      <c r="U553" s="3" t="str">
        <f>IF(T553&lt;0, "negative_discount", IF(AND(T553&gt;0.5, T553&lt;=1), "high_discount", ""))</f>
        <v/>
      </c>
      <c r="V553" s="11">
        <v>8027.63</v>
      </c>
      <c r="W553" s="12">
        <v>8027.63</v>
      </c>
      <c r="X553" s="11">
        <v>5496.09</v>
      </c>
      <c r="Y553" s="11">
        <v>2531.54</v>
      </c>
      <c r="Z553" s="11">
        <f>ROUND(W553-X553,2)</f>
        <v>2531.54</v>
      </c>
      <c r="AA553" s="4">
        <f>IF(W553=0,0,Z553/W553)</f>
        <v>0.31535334837305656</v>
      </c>
      <c r="AB553" t="s">
        <v>31</v>
      </c>
      <c r="AC553" t="s">
        <v>32</v>
      </c>
      <c r="AD553" t="str">
        <f>IF(AND(E553="", T553&gt;=0, T553&lt;=0.5, K553&lt;&gt;"Unknown", Q553&lt;&gt;"Unknown"), "CLEAN", _xlfn.CONCAT("WARNING: ", IF(E553&lt;&gt;"","invalid_date",""), IF(T553&lt;0,"negative_discount",""), IF(AND(T553&gt;0.5,T553&lt;=1),"high_discount",""), IF(K553="Unknown","missing_region",""), IF(Q553="Unknown","missing_ship_mode","")))</f>
        <v>CLEAN</v>
      </c>
      <c r="AE553" t="str">
        <f>IF(COUNTIF($AF$2:$AF$926,AF553)&gt;1,"DUPLICATE","UNIQUE")</f>
        <v>UNIQUE</v>
      </c>
      <c r="AF553" t="str">
        <f>A553&amp;"|"&amp;B553&amp;"|"&amp;H553&amp;"|"&amp;I553&amp;"|"&amp;R553&amp;"|"&amp;S553&amp;"|"&amp;V553</f>
        <v>ORD-2024-10552|2024-02-27|CUST-8172|Sneha Kapoor|3|3148.09|8027.63</v>
      </c>
      <c r="AG553" t="str">
        <f>IF(COUNTIF($A$2:$A$913,A553)&gt;1,"TRUE","FALSE")</f>
        <v>FALSE</v>
      </c>
    </row>
    <row r="554" spans="1:33">
      <c r="A554" t="s">
        <v>3222</v>
      </c>
      <c r="B554" t="s">
        <v>2680</v>
      </c>
      <c r="C554" t="s">
        <v>590</v>
      </c>
      <c r="D554">
        <f>IF(OR(B554="", C554=""), "", (C554 - B554))</f>
        <v>6</v>
      </c>
      <c r="E554" t="str">
        <f>IF(C554&lt;B554, "INVALID: Ship date before order date", "")</f>
        <v/>
      </c>
      <c r="F554" t="str">
        <f>IF(B554="", "", TEXT(B554, "mmmm"))</f>
        <v>January</v>
      </c>
      <c r="G554">
        <f>IF(B554="", "", YEAR(B554))</f>
        <v>2025</v>
      </c>
      <c r="H554" t="s">
        <v>1730</v>
      </c>
      <c r="I554" t="s">
        <v>61</v>
      </c>
      <c r="J554" t="s">
        <v>89</v>
      </c>
      <c r="K554" t="s">
        <v>37</v>
      </c>
      <c r="L554" t="s">
        <v>96</v>
      </c>
      <c r="M554" t="s">
        <v>97</v>
      </c>
      <c r="N554" t="s">
        <v>74</v>
      </c>
      <c r="O554" t="s">
        <v>79</v>
      </c>
      <c r="P554" t="s">
        <v>1731</v>
      </c>
      <c r="Q554" t="s">
        <v>58</v>
      </c>
      <c r="R554">
        <v>8</v>
      </c>
      <c r="S554" s="15">
        <v>312.52999999999997</v>
      </c>
      <c r="T554" s="4">
        <v>0.7</v>
      </c>
      <c r="U554" s="3" t="str">
        <f>IF(T554&lt;0, "negative_discount", IF(AND(T554&gt;0.5, T554&lt;=1), "high_discount", ""))</f>
        <v>high_discount</v>
      </c>
      <c r="V554" s="11">
        <v>1875.18</v>
      </c>
      <c r="W554" s="12">
        <v>750.07</v>
      </c>
      <c r="X554" s="11">
        <v>1579.17</v>
      </c>
      <c r="Y554" s="11">
        <v>296.01</v>
      </c>
      <c r="Z554" s="11">
        <f>ROUND(W554-X554,2)</f>
        <v>-829.1</v>
      </c>
      <c r="AA554" s="4">
        <f>IF(W554=0,0,Z554/W554)</f>
        <v>-1.1053634994067221</v>
      </c>
      <c r="AB554" t="s">
        <v>31</v>
      </c>
      <c r="AC554" t="s">
        <v>32</v>
      </c>
      <c r="AD554" t="str">
        <f>IF(AND(E554="", T554&gt;=0, T554&lt;=0.5, K554&lt;&gt;"Unknown", Q554&lt;&gt;"Unknown"), "CLEAN", _xlfn.CONCAT("WARNING: ", IF(E554&lt;&gt;"","invalid_date",""), IF(T554&lt;0,"negative_discount",""), IF(AND(T554&gt;0.5,T554&lt;=1),"high_discount",""), IF(K554="Unknown","missing_region",""), IF(Q554="Unknown","missing_ship_mode","")))</f>
        <v>WARNING: high_discount</v>
      </c>
      <c r="AE554" t="str">
        <f>IF(COUNTIF($AF$2:$AF$926,AF554)&gt;1,"DUPLICATE","UNIQUE")</f>
        <v>UNIQUE</v>
      </c>
      <c r="AF554" t="str">
        <f>A554&amp;"|"&amp;B554&amp;"|"&amp;H554&amp;"|"&amp;I554&amp;"|"&amp;R554&amp;"|"&amp;S554&amp;"|"&amp;V554</f>
        <v>ORD-2025-10553|2025-01-24|CUST-8861|Ananya Rao|8|312.53|1875.18</v>
      </c>
      <c r="AG554" t="str">
        <f>IF(COUNTIF($A$2:$A$913,A554)&gt;1,"TRUE","FALSE")</f>
        <v>FALSE</v>
      </c>
    </row>
    <row r="555" spans="1:33">
      <c r="A555" t="s">
        <v>3223</v>
      </c>
      <c r="B555" t="s">
        <v>2245</v>
      </c>
      <c r="C555" t="s">
        <v>1732</v>
      </c>
      <c r="D555">
        <f>IF(OR(B555="", C555=""), "", (C555 - B555))</f>
        <v>3</v>
      </c>
      <c r="E555" t="str">
        <f>IF(C555&lt;B555, "INVALID: Ship date before order date", "")</f>
        <v/>
      </c>
      <c r="F555" t="str">
        <f>IF(B555="", "", TEXT(B555, "mmmm"))</f>
        <v>April</v>
      </c>
      <c r="G555">
        <f>IF(B555="", "", YEAR(B555))</f>
        <v>2025</v>
      </c>
      <c r="H555" t="s">
        <v>1733</v>
      </c>
      <c r="I555" t="s">
        <v>126</v>
      </c>
      <c r="J555" t="s">
        <v>36</v>
      </c>
      <c r="K555" t="s">
        <v>62</v>
      </c>
      <c r="L555" t="s">
        <v>176</v>
      </c>
      <c r="M555" t="s">
        <v>177</v>
      </c>
      <c r="N555" t="s">
        <v>27</v>
      </c>
      <c r="O555" t="s">
        <v>122</v>
      </c>
      <c r="P555" t="s">
        <v>1734</v>
      </c>
      <c r="Q555" t="s">
        <v>49</v>
      </c>
      <c r="R555">
        <v>9</v>
      </c>
      <c r="S555" s="15">
        <v>1294.1099999999999</v>
      </c>
      <c r="T555" s="4">
        <v>0.25</v>
      </c>
      <c r="U555" s="3" t="str">
        <f>IF(T555&lt;0, "negative_discount", IF(AND(T555&gt;0.5, T555&lt;=1), "high_discount", ""))</f>
        <v/>
      </c>
      <c r="V555" s="11">
        <v>8735.24</v>
      </c>
      <c r="W555" s="12">
        <v>8735.24</v>
      </c>
      <c r="X555" s="11">
        <v>6620.07</v>
      </c>
      <c r="Y555" s="11">
        <v>2115.17</v>
      </c>
      <c r="Z555" s="11">
        <f>ROUND(W555-X555,2)</f>
        <v>2115.17</v>
      </c>
      <c r="AA555" s="4">
        <f>IF(W555=0,0,Z555/W555)</f>
        <v>0.24214217354073844</v>
      </c>
      <c r="AB555" t="s">
        <v>31</v>
      </c>
      <c r="AC555" t="s">
        <v>32</v>
      </c>
      <c r="AD555" t="str">
        <f>IF(AND(E555="", T555&gt;=0, T555&lt;=0.5, K555&lt;&gt;"Unknown", Q555&lt;&gt;"Unknown"), "CLEAN", _xlfn.CONCAT("WARNING: ", IF(E555&lt;&gt;"","invalid_date",""), IF(T555&lt;0,"negative_discount",""), IF(AND(T555&gt;0.5,T555&lt;=1),"high_discount",""), IF(K555="Unknown","missing_region",""), IF(Q555="Unknown","missing_ship_mode","")))</f>
        <v>CLEAN</v>
      </c>
      <c r="AE555" t="str">
        <f>IF(COUNTIF($AF$2:$AF$926,AF555)&gt;1,"DUPLICATE","UNIQUE")</f>
        <v>UNIQUE</v>
      </c>
      <c r="AF555" t="str">
        <f>A555&amp;"|"&amp;B555&amp;"|"&amp;H555&amp;"|"&amp;I555&amp;"|"&amp;R555&amp;"|"&amp;S555&amp;"|"&amp;V555</f>
        <v>ORD-2025-10554|2025-04-25|CUST-9241|Aarav Sharma|9|1294.11|8735.24</v>
      </c>
      <c r="AG555" t="str">
        <f>IF(COUNTIF($A$2:$A$913,A555)&gt;1,"TRUE","FALSE")</f>
        <v>FALSE</v>
      </c>
    </row>
    <row r="556" spans="1:33">
      <c r="A556" t="s">
        <v>1735</v>
      </c>
      <c r="B556" t="s">
        <v>1736</v>
      </c>
      <c r="C556" t="s">
        <v>1646</v>
      </c>
      <c r="D556">
        <f>IF(OR(B556="", C556=""), "", (C556 - B556))</f>
        <v>5</v>
      </c>
      <c r="E556" t="str">
        <f>IF(C556&lt;B556, "INVALID: Ship date before order date", "")</f>
        <v/>
      </c>
      <c r="F556" t="str">
        <f>IF(B556="", "", TEXT(B556, "mmmm"))</f>
        <v>October</v>
      </c>
      <c r="G556">
        <f>IF(B556="", "", YEAR(B556))</f>
        <v>2024</v>
      </c>
      <c r="H556" t="s">
        <v>1737</v>
      </c>
      <c r="I556" t="s">
        <v>52</v>
      </c>
      <c r="J556" t="s">
        <v>23</v>
      </c>
      <c r="K556" t="s">
        <v>2970</v>
      </c>
      <c r="L556" t="s">
        <v>226</v>
      </c>
      <c r="M556" t="s">
        <v>227</v>
      </c>
      <c r="N556" t="s">
        <v>40</v>
      </c>
      <c r="O556" t="s">
        <v>56</v>
      </c>
      <c r="P556" t="s">
        <v>1738</v>
      </c>
      <c r="Q556" t="s">
        <v>58</v>
      </c>
      <c r="R556">
        <v>4</v>
      </c>
      <c r="S556" s="15">
        <v>1071.22</v>
      </c>
      <c r="T556" s="4">
        <v>0.05</v>
      </c>
      <c r="U556" s="3" t="str">
        <f>IF(T556&lt;0, "negative_discount", IF(AND(T556&gt;0.5, T556&lt;=1), "high_discount", ""))</f>
        <v/>
      </c>
      <c r="V556" s="11">
        <v>4070.64</v>
      </c>
      <c r="W556" s="12">
        <v>4070.64</v>
      </c>
      <c r="X556" s="11">
        <v>2831.62</v>
      </c>
      <c r="Y556" s="11">
        <v>1239.02</v>
      </c>
      <c r="Z556" s="11">
        <f>ROUND(W556-X556,2)</f>
        <v>1239.02</v>
      </c>
      <c r="AA556" s="4">
        <f>IF(W556=0,0,Z556/W556)</f>
        <v>0.30437965528762062</v>
      </c>
      <c r="AB556" t="s">
        <v>31</v>
      </c>
      <c r="AC556" t="s">
        <v>32</v>
      </c>
      <c r="AD556" t="str">
        <f>IF(AND(E556="", T556&gt;=0, T556&lt;=0.5, K556&lt;&gt;"Unknown", Q556&lt;&gt;"Unknown"), "CLEAN", _xlfn.CONCAT("WARNING: ", IF(E556&lt;&gt;"","invalid_date",""), IF(T556&lt;0,"negative_discount",""), IF(AND(T556&gt;0.5,T556&lt;=1),"high_discount",""), IF(K556="Unknown","missing_region",""), IF(Q556="Unknown","missing_ship_mode","")))</f>
        <v>WARNING: missing_region</v>
      </c>
      <c r="AE556" t="str">
        <f>IF(COUNTIF($AF$2:$AF$926,AF556)&gt;1,"DUPLICATE","UNIQUE")</f>
        <v>UNIQUE</v>
      </c>
      <c r="AF556" t="str">
        <f>A556&amp;"|"&amp;B556&amp;"|"&amp;H556&amp;"|"&amp;I556&amp;"|"&amp;R556&amp;"|"&amp;S556&amp;"|"&amp;V556</f>
        <v>ORD-2024-10555|2024-10-12|CUST-2126|Arjun Bose|4|1071.22|4070.64</v>
      </c>
      <c r="AG556" t="str">
        <f>IF(COUNTIF($A$2:$A$913,A556)&gt;1,"TRUE","FALSE")</f>
        <v>FALSE</v>
      </c>
    </row>
    <row r="557" spans="1:33">
      <c r="A557" t="s">
        <v>3224</v>
      </c>
      <c r="B557" t="s">
        <v>1168</v>
      </c>
      <c r="C557" t="s">
        <v>2759</v>
      </c>
      <c r="D557">
        <f>IF(OR(B557="", C557=""), "", (C557 - B557))</f>
        <v>-51</v>
      </c>
      <c r="E557" t="str">
        <f>IF(C557&lt;B557, "INVALID: Ship date before order date", "")</f>
        <v>INVALID: Ship date before order date</v>
      </c>
      <c r="F557" t="str">
        <f>IF(B557="", "", TEXT(B557, "mmmm"))</f>
        <v>April</v>
      </c>
      <c r="G557">
        <f>IF(B557="", "", YEAR(B557))</f>
        <v>2025</v>
      </c>
      <c r="H557" t="s">
        <v>1739</v>
      </c>
      <c r="I557" t="s">
        <v>61</v>
      </c>
      <c r="J557" t="s">
        <v>36</v>
      </c>
      <c r="K557" t="s">
        <v>53</v>
      </c>
      <c r="L557" t="s">
        <v>54</v>
      </c>
      <c r="M557" t="s">
        <v>55</v>
      </c>
      <c r="N557" t="s">
        <v>27</v>
      </c>
      <c r="O557" t="s">
        <v>122</v>
      </c>
      <c r="P557" t="s">
        <v>1740</v>
      </c>
      <c r="Q557" t="s">
        <v>58</v>
      </c>
      <c r="R557">
        <v>6</v>
      </c>
      <c r="S557" s="15">
        <v>1042.8</v>
      </c>
      <c r="T557" s="4">
        <v>0.05</v>
      </c>
      <c r="U557" s="3" t="str">
        <f>IF(T557&lt;0, "negative_discount", IF(AND(T557&gt;0.5, T557&lt;=1), "high_discount", ""))</f>
        <v/>
      </c>
      <c r="V557" s="11">
        <v>5943.96</v>
      </c>
      <c r="W557" s="12">
        <v>5943.96</v>
      </c>
      <c r="X557" s="11">
        <v>3604.14</v>
      </c>
      <c r="Y557" s="11">
        <v>2339.8200000000002</v>
      </c>
      <c r="Z557" s="11">
        <f>ROUND(W557-X557,2)</f>
        <v>2339.8200000000002</v>
      </c>
      <c r="AA557" s="4">
        <f>IF(W557=0,0,Z557/W557)</f>
        <v>0.39364665980255592</v>
      </c>
      <c r="AB557" t="s">
        <v>31</v>
      </c>
      <c r="AC557" t="s">
        <v>32</v>
      </c>
      <c r="AD557" t="str">
        <f>IF(AND(E557="", T557&gt;=0, T557&lt;=0.5, K557&lt;&gt;"Unknown", Q557&lt;&gt;"Unknown"), "CLEAN", _xlfn.CONCAT("WARNING: ", IF(E557&lt;&gt;"","invalid_date",""), IF(T557&lt;0,"negative_discount",""), IF(AND(T557&gt;0.5,T557&lt;=1),"high_discount",""), IF(K557="Unknown","missing_region",""), IF(Q557="Unknown","missing_ship_mode","")))</f>
        <v>WARNING: invalid_date</v>
      </c>
      <c r="AE557" t="str">
        <f>IF(COUNTIF($AF$2:$AF$926,AF557)&gt;1,"DUPLICATE","UNIQUE")</f>
        <v>UNIQUE</v>
      </c>
      <c r="AF557" t="str">
        <f>A557&amp;"|"&amp;B557&amp;"|"&amp;H557&amp;"|"&amp;I557&amp;"|"&amp;R557&amp;"|"&amp;S557&amp;"|"&amp;V557</f>
        <v>ORD-2025-10556|2025-04-02|CUST-7513|Ananya Rao|6|1042.8|5943.96</v>
      </c>
      <c r="AG557" t="str">
        <f>IF(COUNTIF($A$2:$A$913,A557)&gt;1,"TRUE","FALSE")</f>
        <v>FALSE</v>
      </c>
    </row>
    <row r="558" spans="1:33">
      <c r="A558" t="s">
        <v>1741</v>
      </c>
      <c r="B558" t="s">
        <v>688</v>
      </c>
      <c r="C558" t="s">
        <v>1346</v>
      </c>
      <c r="D558">
        <f>IF(OR(B558="", C558=""), "", (C558 - B558))</f>
        <v>6</v>
      </c>
      <c r="E558" t="str">
        <f>IF(C558&lt;B558, "INVALID: Ship date before order date", "")</f>
        <v/>
      </c>
      <c r="F558" t="str">
        <f>IF(B558="", "", TEXT(B558, "mmmm"))</f>
        <v>June</v>
      </c>
      <c r="G558">
        <f>IF(B558="", "", YEAR(B558))</f>
        <v>2024</v>
      </c>
      <c r="H558" t="s">
        <v>1742</v>
      </c>
      <c r="I558" t="s">
        <v>78</v>
      </c>
      <c r="J558" t="s">
        <v>23</v>
      </c>
      <c r="K558" t="s">
        <v>24</v>
      </c>
      <c r="L558" t="s">
        <v>234</v>
      </c>
      <c r="M558" t="s">
        <v>235</v>
      </c>
      <c r="N558" t="s">
        <v>40</v>
      </c>
      <c r="O558" t="s">
        <v>41</v>
      </c>
      <c r="P558" t="s">
        <v>1743</v>
      </c>
      <c r="Q558" t="s">
        <v>49</v>
      </c>
      <c r="R558">
        <v>1</v>
      </c>
      <c r="S558" s="15">
        <v>4426.66</v>
      </c>
      <c r="T558" s="4">
        <v>0</v>
      </c>
      <c r="U558" s="3" t="str">
        <f>IF(T558&lt;0, "negative_discount", IF(AND(T558&gt;0.5, T558&lt;=1), "high_discount", ""))</f>
        <v/>
      </c>
      <c r="V558" s="11">
        <v>4426.66</v>
      </c>
      <c r="W558" s="12">
        <v>4426.66</v>
      </c>
      <c r="X558" s="11">
        <v>3035.2</v>
      </c>
      <c r="Y558" s="11">
        <v>1816.23</v>
      </c>
      <c r="Z558" s="11">
        <f>ROUND(W558-X558,2)</f>
        <v>1391.46</v>
      </c>
      <c r="AA558" s="4">
        <f>IF(W558=0,0,Z558/W558)</f>
        <v>0.31433631677156143</v>
      </c>
      <c r="AB558" t="s">
        <v>31</v>
      </c>
      <c r="AC558" t="s">
        <v>100</v>
      </c>
      <c r="AD558" t="str">
        <f>IF(AND(E558="", T558&gt;=0, T558&lt;=0.5, K558&lt;&gt;"Unknown", Q558&lt;&gt;"Unknown"), "CLEAN", _xlfn.CONCAT("WARNING: ", IF(E558&lt;&gt;"","invalid_date",""), IF(T558&lt;0,"negative_discount",""), IF(AND(T558&gt;0.5,T558&lt;=1),"high_discount",""), IF(K558="Unknown","missing_region",""), IF(Q558="Unknown","missing_ship_mode","")))</f>
        <v>CLEAN</v>
      </c>
      <c r="AE558" t="str">
        <f>IF(COUNTIF($AF$2:$AF$926,AF558)&gt;1,"DUPLICATE","UNIQUE")</f>
        <v>UNIQUE</v>
      </c>
      <c r="AF558" t="str">
        <f>A558&amp;"|"&amp;B558&amp;"|"&amp;H558&amp;"|"&amp;I558&amp;"|"&amp;R558&amp;"|"&amp;S558&amp;"|"&amp;V558</f>
        <v>ORD-2024-10557|2024-06-23|CUST-1992|Neha Gupta|1|4426.66|4426.66</v>
      </c>
      <c r="AG558" t="str">
        <f>IF(COUNTIF($A$2:$A$913,A558)&gt;1,"TRUE","FALSE")</f>
        <v>FALSE</v>
      </c>
    </row>
    <row r="559" spans="1:33">
      <c r="A559" t="s">
        <v>1744</v>
      </c>
      <c r="B559" t="s">
        <v>1745</v>
      </c>
      <c r="C559" t="s">
        <v>2941</v>
      </c>
      <c r="D559">
        <f>IF(OR(B559="", C559=""), "", (C559 - B559))</f>
        <v>6</v>
      </c>
      <c r="E559" t="str">
        <f>IF(C559&lt;B559, "INVALID: Ship date before order date", "")</f>
        <v/>
      </c>
      <c r="F559" t="str">
        <f>IF(B559="", "", TEXT(B559, "mmmm"))</f>
        <v>May</v>
      </c>
      <c r="G559">
        <f>IF(B559="", "", YEAR(B559))</f>
        <v>2024</v>
      </c>
      <c r="H559" t="s">
        <v>1746</v>
      </c>
      <c r="I559" t="s">
        <v>71</v>
      </c>
      <c r="J559" t="s">
        <v>93</v>
      </c>
      <c r="K559" t="s">
        <v>24</v>
      </c>
      <c r="L559" t="s">
        <v>234</v>
      </c>
      <c r="M559" t="s">
        <v>235</v>
      </c>
      <c r="N559" t="s">
        <v>74</v>
      </c>
      <c r="O559" t="s">
        <v>168</v>
      </c>
      <c r="P559" t="s">
        <v>1747</v>
      </c>
      <c r="Q559" t="s">
        <v>49</v>
      </c>
      <c r="R559">
        <v>9</v>
      </c>
      <c r="S559" s="15">
        <v>3769.46</v>
      </c>
      <c r="T559" s="4">
        <v>0.05</v>
      </c>
      <c r="U559" s="3" t="str">
        <f>IF(T559&lt;0, "negative_discount", IF(AND(T559&gt;0.5, T559&lt;=1), "high_discount", ""))</f>
        <v/>
      </c>
      <c r="V559" s="11">
        <v>32228.880000000001</v>
      </c>
      <c r="W559" s="12">
        <v>32228.880000000001</v>
      </c>
      <c r="X559" s="11">
        <v>24971.360000000001</v>
      </c>
      <c r="Y559" s="11">
        <v>7257.52</v>
      </c>
      <c r="Z559" s="11">
        <f>ROUND(W559-X559,2)</f>
        <v>7257.52</v>
      </c>
      <c r="AA559" s="4">
        <f>IF(W559=0,0,Z559/W559)</f>
        <v>0.22518685104788005</v>
      </c>
      <c r="AB559" t="s">
        <v>31</v>
      </c>
      <c r="AC559" t="s">
        <v>67</v>
      </c>
      <c r="AD559" t="str">
        <f>IF(AND(E559="", T559&gt;=0, T559&lt;=0.5, K559&lt;&gt;"Unknown", Q559&lt;&gt;"Unknown"), "CLEAN", _xlfn.CONCAT("WARNING: ", IF(E559&lt;&gt;"","invalid_date",""), IF(T559&lt;0,"negative_discount",""), IF(AND(T559&gt;0.5,T559&lt;=1),"high_discount",""), IF(K559="Unknown","missing_region",""), IF(Q559="Unknown","missing_ship_mode","")))</f>
        <v>CLEAN</v>
      </c>
      <c r="AE559" t="str">
        <f>IF(COUNTIF($AF$2:$AF$926,AF559)&gt;1,"DUPLICATE","UNIQUE")</f>
        <v>UNIQUE</v>
      </c>
      <c r="AF559" t="str">
        <f>A559&amp;"|"&amp;B559&amp;"|"&amp;H559&amp;"|"&amp;I559&amp;"|"&amp;R559&amp;"|"&amp;S559&amp;"|"&amp;V559</f>
        <v>ORD-2024-10558|2024-05-08|CUST-8848|Vikram Iyer|9|3769.46|32228.88</v>
      </c>
      <c r="AG559" t="str">
        <f>IF(COUNTIF($A$2:$A$913,A559)&gt;1,"TRUE","FALSE")</f>
        <v>FALSE</v>
      </c>
    </row>
    <row r="560" spans="1:33">
      <c r="A560" t="s">
        <v>3225</v>
      </c>
      <c r="B560" t="s">
        <v>1748</v>
      </c>
      <c r="C560" t="s">
        <v>1748</v>
      </c>
      <c r="D560">
        <f>IF(OR(B560="", C560=""), "", (C560 - B560))</f>
        <v>0</v>
      </c>
      <c r="E560" t="str">
        <f>IF(C560&lt;B560, "INVALID: Ship date before order date", "")</f>
        <v/>
      </c>
      <c r="F560" t="str">
        <f>IF(B560="", "", TEXT(B560, "mmmm"))</f>
        <v>September</v>
      </c>
      <c r="G560">
        <f>IF(B560="", "", YEAR(B560))</f>
        <v>2025</v>
      </c>
      <c r="H560" t="s">
        <v>1749</v>
      </c>
      <c r="I560" t="s">
        <v>88</v>
      </c>
      <c r="J560" t="s">
        <v>89</v>
      </c>
      <c r="K560" t="s">
        <v>24</v>
      </c>
      <c r="L560" t="s">
        <v>120</v>
      </c>
      <c r="M560" t="s">
        <v>121</v>
      </c>
      <c r="N560" t="s">
        <v>74</v>
      </c>
      <c r="O560" t="s">
        <v>272</v>
      </c>
      <c r="P560" t="s">
        <v>1750</v>
      </c>
      <c r="Q560" t="s">
        <v>49</v>
      </c>
      <c r="R560">
        <v>8</v>
      </c>
      <c r="S560" s="15">
        <v>3079.95</v>
      </c>
      <c r="T560" s="4">
        <v>0.2</v>
      </c>
      <c r="U560" s="3" t="str">
        <f>IF(T560&lt;0, "negative_discount", IF(AND(T560&gt;0.5, T560&lt;=1), "high_discount", ""))</f>
        <v/>
      </c>
      <c r="V560" s="11">
        <v>19711.68</v>
      </c>
      <c r="W560" s="12">
        <v>19711.68</v>
      </c>
      <c r="X560" s="11">
        <v>14461.8</v>
      </c>
      <c r="Y560" s="11">
        <v>5249.88</v>
      </c>
      <c r="Z560" s="11">
        <f>ROUND(W560-X560,2)</f>
        <v>5249.88</v>
      </c>
      <c r="AA560" s="4">
        <f>IF(W560=0,0,Z560/W560)</f>
        <v>0.2663334632055715</v>
      </c>
      <c r="AB560" t="s">
        <v>31</v>
      </c>
      <c r="AC560" t="s">
        <v>32</v>
      </c>
      <c r="AD560" t="str">
        <f>IF(AND(E560="", T560&gt;=0, T560&lt;=0.5, K560&lt;&gt;"Unknown", Q560&lt;&gt;"Unknown"), "CLEAN", _xlfn.CONCAT("WARNING: ", IF(E560&lt;&gt;"","invalid_date",""), IF(T560&lt;0,"negative_discount",""), IF(AND(T560&gt;0.5,T560&lt;=1),"high_discount",""), IF(K560="Unknown","missing_region",""), IF(Q560="Unknown","missing_ship_mode","")))</f>
        <v>CLEAN</v>
      </c>
      <c r="AE560" t="str">
        <f>IF(COUNTIF($AF$2:$AF$926,AF560)&gt;1,"DUPLICATE","UNIQUE")</f>
        <v>UNIQUE</v>
      </c>
      <c r="AF560" t="str">
        <f>A560&amp;"|"&amp;B560&amp;"|"&amp;H560&amp;"|"&amp;I560&amp;"|"&amp;R560&amp;"|"&amp;S560&amp;"|"&amp;V560</f>
        <v>ORD-2025-10559|2025-09-04|CUST-9368|Aditi Sen|8|3079.95|19711.68</v>
      </c>
      <c r="AG560" t="str">
        <f>IF(COUNTIF($A$2:$A$913,A560)&gt;1,"TRUE","FALSE")</f>
        <v>FALSE</v>
      </c>
    </row>
    <row r="561" spans="1:33">
      <c r="A561" t="s">
        <v>3226</v>
      </c>
      <c r="B561" t="s">
        <v>2809</v>
      </c>
      <c r="C561" t="s">
        <v>1751</v>
      </c>
      <c r="D561">
        <f>IF(OR(B561="", C561=""), "", (C561 - B561))</f>
        <v>7</v>
      </c>
      <c r="E561" t="str">
        <f>IF(C561&lt;B561, "INVALID: Ship date before order date", "")</f>
        <v/>
      </c>
      <c r="F561" t="str">
        <f>IF(B561="", "", TEXT(B561, "mmmm"))</f>
        <v>September</v>
      </c>
      <c r="G561">
        <f>IF(B561="", "", YEAR(B561))</f>
        <v>2025</v>
      </c>
      <c r="H561" t="s">
        <v>1752</v>
      </c>
      <c r="I561" t="s">
        <v>158</v>
      </c>
      <c r="J561" t="s">
        <v>89</v>
      </c>
      <c r="K561" t="s">
        <v>37</v>
      </c>
      <c r="L561" t="s">
        <v>142</v>
      </c>
      <c r="M561" t="s">
        <v>143</v>
      </c>
      <c r="N561" t="s">
        <v>74</v>
      </c>
      <c r="O561" t="s">
        <v>79</v>
      </c>
      <c r="P561" t="s">
        <v>1753</v>
      </c>
      <c r="Q561" t="s">
        <v>30</v>
      </c>
      <c r="R561">
        <v>5</v>
      </c>
      <c r="S561" s="15">
        <v>3277.82</v>
      </c>
      <c r="T561" s="4">
        <v>0.1</v>
      </c>
      <c r="U561" s="3" t="str">
        <f>IF(T561&lt;0, "negative_discount", IF(AND(T561&gt;0.5, T561&lt;=1), "high_discount", ""))</f>
        <v/>
      </c>
      <c r="V561" s="11">
        <v>14750.19</v>
      </c>
      <c r="W561" s="12">
        <v>14750.19</v>
      </c>
      <c r="X561" s="11">
        <v>9482.58</v>
      </c>
      <c r="Y561" s="11">
        <v>5267.61</v>
      </c>
      <c r="Z561" s="11">
        <f>ROUND(W561-X561,2)</f>
        <v>5267.61</v>
      </c>
      <c r="AA561" s="4">
        <f>IF(W561=0,0,Z561/W561)</f>
        <v>0.35712150148574356</v>
      </c>
      <c r="AB561" t="s">
        <v>31</v>
      </c>
      <c r="AC561" t="s">
        <v>100</v>
      </c>
      <c r="AD561" t="str">
        <f>IF(AND(E561="", T561&gt;=0, T561&lt;=0.5, K561&lt;&gt;"Unknown", Q561&lt;&gt;"Unknown"), "CLEAN", _xlfn.CONCAT("WARNING: ", IF(E561&lt;&gt;"","invalid_date",""), IF(T561&lt;0,"negative_discount",""), IF(AND(T561&gt;0.5,T561&lt;=1),"high_discount",""), IF(K561="Unknown","missing_region",""), IF(Q561="Unknown","missing_ship_mode","")))</f>
        <v>CLEAN</v>
      </c>
      <c r="AE561" t="str">
        <f>IF(COUNTIF($AF$2:$AF$926,AF561)&gt;1,"DUPLICATE","UNIQUE")</f>
        <v>UNIQUE</v>
      </c>
      <c r="AF561" t="str">
        <f>A561&amp;"|"&amp;B561&amp;"|"&amp;H561&amp;"|"&amp;I561&amp;"|"&amp;R561&amp;"|"&amp;S561&amp;"|"&amp;V561</f>
        <v>ORD-2025-10560|2025-09-30|CUST-6797|Diya Patel|5|3277.82|14750.19</v>
      </c>
      <c r="AG561" t="str">
        <f>IF(COUNTIF($A$2:$A$913,A561)&gt;1,"TRUE","FALSE")</f>
        <v>FALSE</v>
      </c>
    </row>
    <row r="562" spans="1:33">
      <c r="A562" t="s">
        <v>1754</v>
      </c>
      <c r="B562" t="s">
        <v>1755</v>
      </c>
      <c r="C562" t="s">
        <v>1312</v>
      </c>
      <c r="D562">
        <f>IF(OR(B562="", C562=""), "", (C562 - B562))</f>
        <v>6</v>
      </c>
      <c r="E562" t="str">
        <f>IF(C562&lt;B562, "INVALID: Ship date before order date", "")</f>
        <v/>
      </c>
      <c r="F562" t="str">
        <f>IF(B562="", "", TEXT(B562, "mmmm"))</f>
        <v>January</v>
      </c>
      <c r="G562">
        <f>IF(B562="", "", YEAR(B562))</f>
        <v>2024</v>
      </c>
      <c r="H562" t="s">
        <v>1756</v>
      </c>
      <c r="I562" t="s">
        <v>52</v>
      </c>
      <c r="J562" t="s">
        <v>23</v>
      </c>
      <c r="K562" t="s">
        <v>62</v>
      </c>
      <c r="L562" t="s">
        <v>185</v>
      </c>
      <c r="M562" t="s">
        <v>186</v>
      </c>
      <c r="N562" t="s">
        <v>27</v>
      </c>
      <c r="O562" t="s">
        <v>122</v>
      </c>
      <c r="P562" t="s">
        <v>1757</v>
      </c>
      <c r="Q562" t="s">
        <v>58</v>
      </c>
      <c r="R562">
        <v>4</v>
      </c>
      <c r="S562" s="15">
        <v>282.52999999999997</v>
      </c>
      <c r="T562" s="4">
        <v>0</v>
      </c>
      <c r="U562" s="3" t="str">
        <f>IF(T562&lt;0, "negative_discount", IF(AND(T562&gt;0.5, T562&lt;=1), "high_discount", ""))</f>
        <v/>
      </c>
      <c r="V562" s="11">
        <v>1130.1199999999999</v>
      </c>
      <c r="W562" s="12">
        <v>1130.1199999999999</v>
      </c>
      <c r="X562" s="11">
        <v>848.62</v>
      </c>
      <c r="Y562" s="11">
        <v>281.5</v>
      </c>
      <c r="Z562" s="11">
        <f>ROUND(W562-X562,2)</f>
        <v>281.5</v>
      </c>
      <c r="AA562" s="4">
        <f>IF(W562=0,0,Z562/W562)</f>
        <v>0.24908859236187311</v>
      </c>
      <c r="AB562" t="s">
        <v>31</v>
      </c>
      <c r="AC562" t="s">
        <v>67</v>
      </c>
      <c r="AD562" t="str">
        <f>IF(AND(E562="", T562&gt;=0, T562&lt;=0.5, K562&lt;&gt;"Unknown", Q562&lt;&gt;"Unknown"), "CLEAN", _xlfn.CONCAT("WARNING: ", IF(E562&lt;&gt;"","invalid_date",""), IF(T562&lt;0,"negative_discount",""), IF(AND(T562&gt;0.5,T562&lt;=1),"high_discount",""), IF(K562="Unknown","missing_region",""), IF(Q562="Unknown","missing_ship_mode","")))</f>
        <v>CLEAN</v>
      </c>
      <c r="AE562" t="str">
        <f>IF(COUNTIF($AF$2:$AF$926,AF562)&gt;1,"DUPLICATE","UNIQUE")</f>
        <v>UNIQUE</v>
      </c>
      <c r="AF562" t="str">
        <f>A562&amp;"|"&amp;B562&amp;"|"&amp;H562&amp;"|"&amp;I562&amp;"|"&amp;R562&amp;"|"&amp;S562&amp;"|"&amp;V562</f>
        <v>ORD-2024-10561|2024-01-16|CUST-9333|Arjun Bose|4|282.53|1130.12</v>
      </c>
      <c r="AG562" t="str">
        <f>IF(COUNTIF($A$2:$A$913,A562)&gt;1,"TRUE","FALSE")</f>
        <v>FALSE</v>
      </c>
    </row>
    <row r="563" spans="1:33">
      <c r="A563" t="s">
        <v>3227</v>
      </c>
      <c r="B563" t="s">
        <v>516</v>
      </c>
      <c r="C563" t="s">
        <v>1649</v>
      </c>
      <c r="D563">
        <f>IF(OR(B563="", C563=""), "", (C563 - B563))</f>
        <v>4</v>
      </c>
      <c r="E563" t="str">
        <f>IF(C563&lt;B563, "INVALID: Ship date before order date", "")</f>
        <v/>
      </c>
      <c r="F563" t="str">
        <f>IF(B563="", "", TEXT(B563, "mmmm"))</f>
        <v>July</v>
      </c>
      <c r="G563">
        <f>IF(B563="", "", YEAR(B563))</f>
        <v>2025</v>
      </c>
      <c r="H563" t="s">
        <v>1758</v>
      </c>
      <c r="I563" t="s">
        <v>88</v>
      </c>
      <c r="J563" t="s">
        <v>23</v>
      </c>
      <c r="K563" t="s">
        <v>24</v>
      </c>
      <c r="L563" t="s">
        <v>120</v>
      </c>
      <c r="M563" t="s">
        <v>121</v>
      </c>
      <c r="N563" t="s">
        <v>74</v>
      </c>
      <c r="O563" t="s">
        <v>79</v>
      </c>
      <c r="P563" t="s">
        <v>1759</v>
      </c>
      <c r="Q563" t="s">
        <v>49</v>
      </c>
      <c r="R563">
        <v>4</v>
      </c>
      <c r="S563" s="15">
        <v>725.22</v>
      </c>
      <c r="T563" s="4">
        <v>0</v>
      </c>
      <c r="U563" s="3" t="str">
        <f>IF(T563&lt;0, "negative_discount", IF(AND(T563&gt;0.5, T563&lt;=1), "high_discount", ""))</f>
        <v/>
      </c>
      <c r="V563" s="11">
        <v>2900.88</v>
      </c>
      <c r="W563" s="12">
        <v>2900.88</v>
      </c>
      <c r="X563" s="11">
        <v>2391.85</v>
      </c>
      <c r="Y563" s="11">
        <v>509.03</v>
      </c>
      <c r="Z563" s="11">
        <f>ROUND(W563-X563,2)</f>
        <v>509.03</v>
      </c>
      <c r="AA563" s="4">
        <f>IF(W563=0,0,Z563/W563)</f>
        <v>0.17547433882132316</v>
      </c>
      <c r="AB563" t="s">
        <v>109</v>
      </c>
      <c r="AC563" t="s">
        <v>100</v>
      </c>
      <c r="AD563" t="str">
        <f>IF(AND(E563="", T563&gt;=0, T563&lt;=0.5, K563&lt;&gt;"Unknown", Q563&lt;&gt;"Unknown"), "CLEAN", _xlfn.CONCAT("WARNING: ", IF(E563&lt;&gt;"","invalid_date",""), IF(T563&lt;0,"negative_discount",""), IF(AND(T563&gt;0.5,T563&lt;=1),"high_discount",""), IF(K563="Unknown","missing_region",""), IF(Q563="Unknown","missing_ship_mode","")))</f>
        <v>CLEAN</v>
      </c>
      <c r="AE563" t="str">
        <f>IF(COUNTIF($AF$2:$AF$926,AF563)&gt;1,"DUPLICATE","UNIQUE")</f>
        <v>UNIQUE</v>
      </c>
      <c r="AF563" t="str">
        <f>A563&amp;"|"&amp;B563&amp;"|"&amp;H563&amp;"|"&amp;I563&amp;"|"&amp;R563&amp;"|"&amp;S563&amp;"|"&amp;V563</f>
        <v>ORD-2025-10562|2025-07-14|CUST-6654|Aditi Sen|4|725.22|2900.88</v>
      </c>
      <c r="AG563" t="str">
        <f>IF(COUNTIF($A$2:$A$913,A563)&gt;1,"TRUE","FALSE")</f>
        <v>FALSE</v>
      </c>
    </row>
    <row r="564" spans="1:33">
      <c r="A564" t="s">
        <v>1760</v>
      </c>
      <c r="B564" t="s">
        <v>2836</v>
      </c>
      <c r="C564" t="s">
        <v>2739</v>
      </c>
      <c r="D564">
        <f>IF(OR(B564="", C564=""), "", (C564 - B564))</f>
        <v>6</v>
      </c>
      <c r="E564" t="str">
        <f>IF(C564&lt;B564, "INVALID: Ship date before order date", "")</f>
        <v/>
      </c>
      <c r="F564" t="str">
        <f>IF(B564="", "", TEXT(B564, "mmmm"))</f>
        <v>May</v>
      </c>
      <c r="G564">
        <f>IF(B564="", "", YEAR(B564))</f>
        <v>2024</v>
      </c>
      <c r="H564" t="s">
        <v>1761</v>
      </c>
      <c r="I564" t="s">
        <v>22</v>
      </c>
      <c r="J564" t="s">
        <v>23</v>
      </c>
      <c r="K564" t="s">
        <v>24</v>
      </c>
      <c r="L564" t="s">
        <v>120</v>
      </c>
      <c r="M564" t="s">
        <v>121</v>
      </c>
      <c r="N564" t="s">
        <v>27</v>
      </c>
      <c r="O564" t="s">
        <v>149</v>
      </c>
      <c r="P564" t="s">
        <v>1762</v>
      </c>
      <c r="Q564" t="s">
        <v>43</v>
      </c>
      <c r="R564">
        <v>7</v>
      </c>
      <c r="S564" s="15">
        <v>121.54</v>
      </c>
      <c r="T564" s="4">
        <v>0.2</v>
      </c>
      <c r="U564" s="3" t="str">
        <f>IF(T564&lt;0, "negative_discount", IF(AND(T564&gt;0.5, T564&lt;=1), "high_discount", ""))</f>
        <v/>
      </c>
      <c r="V564" s="11">
        <v>680.62</v>
      </c>
      <c r="W564" s="12">
        <v>680.62</v>
      </c>
      <c r="X564" s="11">
        <v>463.49</v>
      </c>
      <c r="Y564" s="11">
        <v>217.13</v>
      </c>
      <c r="Z564" s="11">
        <f>ROUND(W564-X564,2)</f>
        <v>217.13</v>
      </c>
      <c r="AA564" s="4">
        <f>IF(W564=0,0,Z564/W564)</f>
        <v>0.31901795421821277</v>
      </c>
      <c r="AB564" t="s">
        <v>151</v>
      </c>
      <c r="AC564" t="s">
        <v>100</v>
      </c>
      <c r="AD564" t="str">
        <f>IF(AND(E564="", T564&gt;=0, T564&lt;=0.5, K564&lt;&gt;"Unknown", Q564&lt;&gt;"Unknown"), "CLEAN", _xlfn.CONCAT("WARNING: ", IF(E564&lt;&gt;"","invalid_date",""), IF(T564&lt;0,"negative_discount",""), IF(AND(T564&gt;0.5,T564&lt;=1),"high_discount",""), IF(K564="Unknown","missing_region",""), IF(Q564="Unknown","missing_ship_mode","")))</f>
        <v>CLEAN</v>
      </c>
      <c r="AE564" t="str">
        <f>IF(COUNTIF($AF$2:$AF$926,AF564)&gt;1,"DUPLICATE","UNIQUE")</f>
        <v>UNIQUE</v>
      </c>
      <c r="AF564" t="str">
        <f>A564&amp;"|"&amp;B564&amp;"|"&amp;H564&amp;"|"&amp;I564&amp;"|"&amp;R564&amp;"|"&amp;S564&amp;"|"&amp;V564</f>
        <v>ORD-2024-10563|2024-05-10|CUST-8622|Karan Malhotra|7|121.54|680.62</v>
      </c>
      <c r="AG564" t="str">
        <f>IF(COUNTIF($A$2:$A$913,A564)&gt;1,"TRUE","FALSE")</f>
        <v>FALSE</v>
      </c>
    </row>
    <row r="565" spans="1:33">
      <c r="A565" t="s">
        <v>1763</v>
      </c>
      <c r="B565" t="s">
        <v>2734</v>
      </c>
      <c r="C565" t="s">
        <v>2782</v>
      </c>
      <c r="D565">
        <f>IF(OR(B565="", C565=""), "", (C565 - B565))</f>
        <v>213</v>
      </c>
      <c r="E565" t="str">
        <f>IF(C565&lt;B565, "INVALID: Ship date before order date", "")</f>
        <v/>
      </c>
      <c r="F565" t="str">
        <f>IF(B565="", "", TEXT(B565, "mmmm"))</f>
        <v>May</v>
      </c>
      <c r="G565">
        <f>IF(B565="", "", YEAR(B565))</f>
        <v>2024</v>
      </c>
      <c r="H565" t="s">
        <v>1764</v>
      </c>
      <c r="I565" t="s">
        <v>52</v>
      </c>
      <c r="J565" t="s">
        <v>89</v>
      </c>
      <c r="K565" t="s">
        <v>62</v>
      </c>
      <c r="L565" t="s">
        <v>185</v>
      </c>
      <c r="M565" t="s">
        <v>186</v>
      </c>
      <c r="N565" t="s">
        <v>40</v>
      </c>
      <c r="O565" t="s">
        <v>41</v>
      </c>
      <c r="P565" t="s">
        <v>1765</v>
      </c>
      <c r="Q565" t="s">
        <v>58</v>
      </c>
      <c r="R565">
        <v>9</v>
      </c>
      <c r="S565" s="15">
        <v>790.97</v>
      </c>
      <c r="T565" s="4">
        <v>0.2</v>
      </c>
      <c r="U565" s="3" t="str">
        <f>IF(T565&lt;0, "negative_discount", IF(AND(T565&gt;0.5, T565&lt;=1), "high_discount", ""))</f>
        <v/>
      </c>
      <c r="V565" s="11">
        <v>5694.98</v>
      </c>
      <c r="W565" s="12">
        <v>5694.98</v>
      </c>
      <c r="X565" s="11">
        <v>4618.33</v>
      </c>
      <c r="Y565" s="11">
        <v>1076.6500000000001</v>
      </c>
      <c r="Z565" s="11">
        <f>ROUND(W565-X565,2)</f>
        <v>1076.6500000000001</v>
      </c>
      <c r="AA565" s="4">
        <f>IF(W565=0,0,Z565/W565)</f>
        <v>0.18905246374877527</v>
      </c>
      <c r="AB565" t="s">
        <v>109</v>
      </c>
      <c r="AC565" t="s">
        <v>67</v>
      </c>
      <c r="AD565" t="str">
        <f>IF(AND(E565="", T565&gt;=0, T565&lt;=0.5, K565&lt;&gt;"Unknown", Q565&lt;&gt;"Unknown"), "CLEAN", _xlfn.CONCAT("WARNING: ", IF(E565&lt;&gt;"","invalid_date",""), IF(T565&lt;0,"negative_discount",""), IF(AND(T565&gt;0.5,T565&lt;=1),"high_discount",""), IF(K565="Unknown","missing_region",""), IF(Q565="Unknown","missing_ship_mode","")))</f>
        <v>CLEAN</v>
      </c>
      <c r="AE565" t="str">
        <f>IF(COUNTIF($AF$2:$AF$926,AF565)&gt;1,"DUPLICATE","UNIQUE")</f>
        <v>UNIQUE</v>
      </c>
      <c r="AF565" t="str">
        <f>A565&amp;"|"&amp;B565&amp;"|"&amp;H565&amp;"|"&amp;I565&amp;"|"&amp;R565&amp;"|"&amp;S565&amp;"|"&amp;V565</f>
        <v>ORD-2024-10564|2024-05-06|CUST-8776|Arjun Bose|9|790.97|5694.98</v>
      </c>
      <c r="AG565" t="str">
        <f>IF(COUNTIF($A$2:$A$913,A565)&gt;1,"TRUE","FALSE")</f>
        <v>FALSE</v>
      </c>
    </row>
    <row r="566" spans="1:33">
      <c r="A566" t="s">
        <v>1766</v>
      </c>
      <c r="B566" t="s">
        <v>2681</v>
      </c>
      <c r="C566" t="s">
        <v>1547</v>
      </c>
      <c r="D566">
        <f>IF(OR(B566="", C566=""), "", (C566 - B566))</f>
        <v>4</v>
      </c>
      <c r="E566" t="str">
        <f>IF(C566&lt;B566, "INVALID: Ship date before order date", "")</f>
        <v/>
      </c>
      <c r="F566" t="str">
        <f>IF(B566="", "", TEXT(B566, "mmmm"))</f>
        <v>November</v>
      </c>
      <c r="G566">
        <f>IF(B566="", "", YEAR(B566))</f>
        <v>2024</v>
      </c>
      <c r="H566" t="s">
        <v>1767</v>
      </c>
      <c r="I566" t="s">
        <v>131</v>
      </c>
      <c r="J566" t="s">
        <v>89</v>
      </c>
      <c r="K566" t="s">
        <v>53</v>
      </c>
      <c r="L566" t="s">
        <v>83</v>
      </c>
      <c r="M566" t="s">
        <v>84</v>
      </c>
      <c r="N566" t="s">
        <v>40</v>
      </c>
      <c r="O566" t="s">
        <v>41</v>
      </c>
      <c r="P566" t="s">
        <v>1768</v>
      </c>
      <c r="Q566" t="s">
        <v>49</v>
      </c>
      <c r="R566">
        <v>2</v>
      </c>
      <c r="S566" s="15">
        <v>921.34</v>
      </c>
      <c r="T566" s="4">
        <v>0.2</v>
      </c>
      <c r="U566" s="3" t="str">
        <f>IF(T566&lt;0, "negative_discount", IF(AND(T566&gt;0.5, T566&lt;=1), "high_discount", ""))</f>
        <v/>
      </c>
      <c r="V566" s="11">
        <v>1474.14</v>
      </c>
      <c r="W566" s="12">
        <v>1474.14</v>
      </c>
      <c r="X566" s="11">
        <v>968.46</v>
      </c>
      <c r="Y566" s="11">
        <v>505.68</v>
      </c>
      <c r="Z566" s="11">
        <f>ROUND(W566-X566,2)</f>
        <v>505.68</v>
      </c>
      <c r="AA566" s="4">
        <f>IF(W566=0,0,Z566/W566)</f>
        <v>0.34303390451381821</v>
      </c>
      <c r="AB566" t="s">
        <v>31</v>
      </c>
      <c r="AC566" t="s">
        <v>32</v>
      </c>
      <c r="AD566" t="str">
        <f>IF(AND(E566="", T566&gt;=0, T566&lt;=0.5, K566&lt;&gt;"Unknown", Q566&lt;&gt;"Unknown"), "CLEAN", _xlfn.CONCAT("WARNING: ", IF(E566&lt;&gt;"","invalid_date",""), IF(T566&lt;0,"negative_discount",""), IF(AND(T566&gt;0.5,T566&lt;=1),"high_discount",""), IF(K566="Unknown","missing_region",""), IF(Q566="Unknown","missing_ship_mode","")))</f>
        <v>CLEAN</v>
      </c>
      <c r="AE566" t="str">
        <f>IF(COUNTIF($AF$2:$AF$926,AF566)&gt;1,"DUPLICATE","UNIQUE")</f>
        <v>UNIQUE</v>
      </c>
      <c r="AF566" t="str">
        <f>A566&amp;"|"&amp;B566&amp;"|"&amp;H566&amp;"|"&amp;I566&amp;"|"&amp;R566&amp;"|"&amp;S566&amp;"|"&amp;V566</f>
        <v>ORD-2024-10565|2024-11-10|CUST-9100|Sneha Kapoor|2|921.34|1474.14</v>
      </c>
      <c r="AG566" t="str">
        <f>IF(COUNTIF($A$2:$A$913,A566)&gt;1,"TRUE","FALSE")</f>
        <v>FALSE</v>
      </c>
    </row>
    <row r="567" spans="1:33">
      <c r="A567" t="s">
        <v>3228</v>
      </c>
      <c r="B567" t="s">
        <v>1158</v>
      </c>
      <c r="C567" t="s">
        <v>2683</v>
      </c>
      <c r="D567">
        <f>IF(OR(B567="", C567=""), "", (C567 - B567))</f>
        <v>6</v>
      </c>
      <c r="E567" t="str">
        <f>IF(C567&lt;B567, "INVALID: Ship date before order date", "")</f>
        <v/>
      </c>
      <c r="F567" t="str">
        <f>IF(B567="", "", TEXT(B567, "mmmm"))</f>
        <v>August</v>
      </c>
      <c r="G567">
        <f>IF(B567="", "", YEAR(B567))</f>
        <v>2025</v>
      </c>
      <c r="H567" t="s">
        <v>1769</v>
      </c>
      <c r="I567" t="s">
        <v>35</v>
      </c>
      <c r="J567" t="s">
        <v>89</v>
      </c>
      <c r="K567" t="s">
        <v>24</v>
      </c>
      <c r="L567" t="s">
        <v>353</v>
      </c>
      <c r="M567" t="s">
        <v>354</v>
      </c>
      <c r="N567" t="s">
        <v>74</v>
      </c>
      <c r="O567" t="s">
        <v>168</v>
      </c>
      <c r="P567" t="s">
        <v>1770</v>
      </c>
      <c r="Q567" t="s">
        <v>58</v>
      </c>
      <c r="R567">
        <v>6</v>
      </c>
      <c r="S567" s="15">
        <v>1921.86</v>
      </c>
      <c r="T567" s="4">
        <v>0.2</v>
      </c>
      <c r="U567" s="3" t="str">
        <f>IF(T567&lt;0, "negative_discount", IF(AND(T567&gt;0.5, T567&lt;=1), "high_discount", ""))</f>
        <v/>
      </c>
      <c r="V567" s="11">
        <v>9224.93</v>
      </c>
      <c r="W567" s="12">
        <v>9224.93</v>
      </c>
      <c r="X567" s="11">
        <v>7005.2</v>
      </c>
      <c r="Y567" s="11">
        <v>2219.73</v>
      </c>
      <c r="Z567" s="11">
        <f>ROUND(W567-X567,2)</f>
        <v>2219.73</v>
      </c>
      <c r="AA567" s="4">
        <f>IF(W567=0,0,Z567/W567)</f>
        <v>0.24062296407669218</v>
      </c>
      <c r="AB567" t="s">
        <v>99</v>
      </c>
      <c r="AC567" t="s">
        <v>67</v>
      </c>
      <c r="AD567" t="str">
        <f>IF(AND(E567="", T567&gt;=0, T567&lt;=0.5, K567&lt;&gt;"Unknown", Q567&lt;&gt;"Unknown"), "CLEAN", _xlfn.CONCAT("WARNING: ", IF(E567&lt;&gt;"","invalid_date",""), IF(T567&lt;0,"negative_discount",""), IF(AND(T567&gt;0.5,T567&lt;=1),"high_discount",""), IF(K567="Unknown","missing_region",""), IF(Q567="Unknown","missing_ship_mode","")))</f>
        <v>CLEAN</v>
      </c>
      <c r="AE567" t="str">
        <f>IF(COUNTIF($AF$2:$AF$926,AF567)&gt;1,"DUPLICATE","UNIQUE")</f>
        <v>UNIQUE</v>
      </c>
      <c r="AF567" t="str">
        <f>A567&amp;"|"&amp;B567&amp;"|"&amp;H567&amp;"|"&amp;I567&amp;"|"&amp;R567&amp;"|"&amp;S567&amp;"|"&amp;V567</f>
        <v>ORD-2025-10566|2025-08-07|CUST-5601|Mira Das|6|1921.86|9224.93</v>
      </c>
      <c r="AG567" t="str">
        <f>IF(COUNTIF($A$2:$A$913,A567)&gt;1,"TRUE","FALSE")</f>
        <v>FALSE</v>
      </c>
    </row>
    <row r="568" spans="1:33">
      <c r="A568" t="s">
        <v>1771</v>
      </c>
      <c r="B568" t="s">
        <v>2229</v>
      </c>
      <c r="C568" t="s">
        <v>1772</v>
      </c>
      <c r="D568">
        <f>IF(OR(B568="", C568=""), "", (C568 - B568))</f>
        <v>8</v>
      </c>
      <c r="E568" t="str">
        <f>IF(C568&lt;B568, "INVALID: Ship date before order date", "")</f>
        <v/>
      </c>
      <c r="F568" t="str">
        <f>IF(B568="", "", TEXT(B568, "mmmm"))</f>
        <v>August</v>
      </c>
      <c r="G568">
        <f>IF(B568="", "", YEAR(B568))</f>
        <v>2024</v>
      </c>
      <c r="H568" t="s">
        <v>1773</v>
      </c>
      <c r="I568" t="s">
        <v>131</v>
      </c>
      <c r="J568" t="s">
        <v>36</v>
      </c>
      <c r="K568" t="s">
        <v>62</v>
      </c>
      <c r="L568" t="s">
        <v>63</v>
      </c>
      <c r="M568" t="s">
        <v>64</v>
      </c>
      <c r="N568" t="s">
        <v>27</v>
      </c>
      <c r="O568" t="s">
        <v>28</v>
      </c>
      <c r="P568" t="s">
        <v>1774</v>
      </c>
      <c r="Q568" t="s">
        <v>43</v>
      </c>
      <c r="R568">
        <v>2</v>
      </c>
      <c r="S568" s="15">
        <v>2617.89</v>
      </c>
      <c r="T568" s="4">
        <v>0.1</v>
      </c>
      <c r="U568" s="3" t="str">
        <f>IF(T568&lt;0, "negative_discount", IF(AND(T568&gt;0.5, T568&lt;=1), "high_discount", ""))</f>
        <v/>
      </c>
      <c r="V568" s="11">
        <v>4712.2</v>
      </c>
      <c r="W568" s="12">
        <v>4712.2</v>
      </c>
      <c r="X568" s="11">
        <v>3851.91</v>
      </c>
      <c r="Y568" s="11">
        <v>860.29</v>
      </c>
      <c r="Z568" s="11">
        <f>ROUND(W568-X568,2)</f>
        <v>860.29</v>
      </c>
      <c r="AA568" s="4">
        <f>IF(W568=0,0,Z568/W568)</f>
        <v>0.18256652943423454</v>
      </c>
      <c r="AB568" t="s">
        <v>151</v>
      </c>
      <c r="AC568" t="s">
        <v>100</v>
      </c>
      <c r="AD568" t="str">
        <f>IF(AND(E568="", T568&gt;=0, T568&lt;=0.5, K568&lt;&gt;"Unknown", Q568&lt;&gt;"Unknown"), "CLEAN", _xlfn.CONCAT("WARNING: ", IF(E568&lt;&gt;"","invalid_date",""), IF(T568&lt;0,"negative_discount",""), IF(AND(T568&gt;0.5,T568&lt;=1),"high_discount",""), IF(K568="Unknown","missing_region",""), IF(Q568="Unknown","missing_ship_mode","")))</f>
        <v>CLEAN</v>
      </c>
      <c r="AE568" t="str">
        <f>IF(COUNTIF($AF$2:$AF$926,AF568)&gt;1,"DUPLICATE","UNIQUE")</f>
        <v>UNIQUE</v>
      </c>
      <c r="AF568" t="str">
        <f>A568&amp;"|"&amp;B568&amp;"|"&amp;H568&amp;"|"&amp;I568&amp;"|"&amp;R568&amp;"|"&amp;S568&amp;"|"&amp;V568</f>
        <v>ORD-2024-10567|2024-08-11|CUST-5246|Sneha Kapoor|2|2617.89|4712.2</v>
      </c>
      <c r="AG568" t="str">
        <f>IF(COUNTIF($A$2:$A$913,A568)&gt;1,"TRUE","FALSE")</f>
        <v>FALSE</v>
      </c>
    </row>
    <row r="569" spans="1:33">
      <c r="A569" t="s">
        <v>1775</v>
      </c>
      <c r="B569" t="s">
        <v>1461</v>
      </c>
      <c r="C569" t="s">
        <v>2853</v>
      </c>
      <c r="D569">
        <f>IF(OR(B569="", C569=""), "", (C569 - B569))</f>
        <v>239</v>
      </c>
      <c r="E569" t="str">
        <f>IF(C569&lt;B569, "INVALID: Ship date before order date", "")</f>
        <v/>
      </c>
      <c r="F569" t="str">
        <f>IF(B569="", "", TEXT(B569, "mmmm"))</f>
        <v>February</v>
      </c>
      <c r="G569">
        <f>IF(B569="", "", YEAR(B569))</f>
        <v>2024</v>
      </c>
      <c r="H569" t="s">
        <v>1776</v>
      </c>
      <c r="I569" t="s">
        <v>52</v>
      </c>
      <c r="J569" t="s">
        <v>93</v>
      </c>
      <c r="K569" t="s">
        <v>24</v>
      </c>
      <c r="L569" t="s">
        <v>134</v>
      </c>
      <c r="M569" t="s">
        <v>135</v>
      </c>
      <c r="N569" t="s">
        <v>40</v>
      </c>
      <c r="O569" t="s">
        <v>56</v>
      </c>
      <c r="P569" t="s">
        <v>601</v>
      </c>
      <c r="Q569" t="s">
        <v>43</v>
      </c>
      <c r="R569">
        <v>1</v>
      </c>
      <c r="S569" s="15">
        <v>1374.06</v>
      </c>
      <c r="T569" s="4">
        <v>0.05</v>
      </c>
      <c r="U569" s="3" t="str">
        <f>IF(T569&lt;0, "negative_discount", IF(AND(T569&gt;0.5, T569&lt;=1), "high_discount", ""))</f>
        <v/>
      </c>
      <c r="V569" s="11">
        <v>1305.3599999999999</v>
      </c>
      <c r="W569" s="12">
        <v>1305.3599999999999</v>
      </c>
      <c r="X569" s="11">
        <v>731.89</v>
      </c>
      <c r="Y569" s="11">
        <v>573.47</v>
      </c>
      <c r="Z569" s="11">
        <f>ROUND(W569-X569,2)</f>
        <v>573.47</v>
      </c>
      <c r="AA569" s="4">
        <f>IF(W569=0,0,Z569/W569)</f>
        <v>0.43931942146227865</v>
      </c>
      <c r="AB569" t="s">
        <v>31</v>
      </c>
      <c r="AC569" t="s">
        <v>32</v>
      </c>
      <c r="AD569" t="str">
        <f>IF(AND(E569="", T569&gt;=0, T569&lt;=0.5, K569&lt;&gt;"Unknown", Q569&lt;&gt;"Unknown"), "CLEAN", _xlfn.CONCAT("WARNING: ", IF(E569&lt;&gt;"","invalid_date",""), IF(T569&lt;0,"negative_discount",""), IF(AND(T569&gt;0.5,T569&lt;=1),"high_discount",""), IF(K569="Unknown","missing_region",""), IF(Q569="Unknown","missing_ship_mode","")))</f>
        <v>CLEAN</v>
      </c>
      <c r="AE569" t="str">
        <f>IF(COUNTIF($AF$2:$AF$926,AF569)&gt;1,"DUPLICATE","UNIQUE")</f>
        <v>UNIQUE</v>
      </c>
      <c r="AF569" t="str">
        <f>A569&amp;"|"&amp;B569&amp;"|"&amp;H569&amp;"|"&amp;I569&amp;"|"&amp;R569&amp;"|"&amp;S569&amp;"|"&amp;V569</f>
        <v>ORD-2024-10568|2024-02-06|CUST-3128|Arjun Bose|1|1374.06|1305.36</v>
      </c>
      <c r="AG569" t="str">
        <f>IF(COUNTIF($A$2:$A$913,A569)&gt;1,"TRUE","FALSE")</f>
        <v>FALSE</v>
      </c>
    </row>
    <row r="570" spans="1:33">
      <c r="A570" t="s">
        <v>1777</v>
      </c>
      <c r="B570" t="s">
        <v>2779</v>
      </c>
      <c r="C570" t="s">
        <v>1197</v>
      </c>
      <c r="D570">
        <f>IF(OR(B570="", C570=""), "", (C570 - B570))</f>
        <v>3</v>
      </c>
      <c r="E570" t="str">
        <f>IF(C570&lt;B570, "INVALID: Ship date before order date", "")</f>
        <v/>
      </c>
      <c r="F570" t="str">
        <f>IF(B570="", "", TEXT(B570, "mmmm"))</f>
        <v>January</v>
      </c>
      <c r="G570">
        <f>IF(B570="", "", YEAR(B570))</f>
        <v>2024</v>
      </c>
      <c r="H570" t="s">
        <v>1778</v>
      </c>
      <c r="I570" t="s">
        <v>263</v>
      </c>
      <c r="J570" t="s">
        <v>89</v>
      </c>
      <c r="K570" t="s">
        <v>24</v>
      </c>
      <c r="L570" t="s">
        <v>120</v>
      </c>
      <c r="M570" t="s">
        <v>121</v>
      </c>
      <c r="N570" t="s">
        <v>74</v>
      </c>
      <c r="O570" t="s">
        <v>272</v>
      </c>
      <c r="P570" t="s">
        <v>1779</v>
      </c>
      <c r="Q570" t="s">
        <v>43</v>
      </c>
      <c r="R570">
        <v>1</v>
      </c>
      <c r="S570" s="15">
        <v>3806.3</v>
      </c>
      <c r="T570" s="4">
        <v>0.25</v>
      </c>
      <c r="U570" s="3" t="str">
        <f>IF(T570&lt;0, "negative_discount", IF(AND(T570&gt;0.5, T570&lt;=1), "high_discount", ""))</f>
        <v/>
      </c>
      <c r="V570" s="11">
        <v>2854.73</v>
      </c>
      <c r="W570" s="12">
        <v>2854.73</v>
      </c>
      <c r="X570" s="11">
        <v>1968.12</v>
      </c>
      <c r="Y570" s="11">
        <v>886.61</v>
      </c>
      <c r="Z570" s="11">
        <f>ROUND(W570-X570,2)</f>
        <v>886.61</v>
      </c>
      <c r="AA570" s="4">
        <f>IF(W570=0,0,Z570/W570)</f>
        <v>0.31057578124726332</v>
      </c>
      <c r="AB570" t="s">
        <v>31</v>
      </c>
      <c r="AC570" t="s">
        <v>32</v>
      </c>
      <c r="AD570" t="str">
        <f>IF(AND(E570="", T570&gt;=0, T570&lt;=0.5, K570&lt;&gt;"Unknown", Q570&lt;&gt;"Unknown"), "CLEAN", _xlfn.CONCAT("WARNING: ", IF(E570&lt;&gt;"","invalid_date",""), IF(T570&lt;0,"negative_discount",""), IF(AND(T570&gt;0.5,T570&lt;=1),"high_discount",""), IF(K570="Unknown","missing_region",""), IF(Q570="Unknown","missing_ship_mode","")))</f>
        <v>CLEAN</v>
      </c>
      <c r="AE570" t="str">
        <f>IF(COUNTIF($AF$2:$AF$926,AF570)&gt;1,"DUPLICATE","UNIQUE")</f>
        <v>UNIQUE</v>
      </c>
      <c r="AF570" t="str">
        <f>A570&amp;"|"&amp;B570&amp;"|"&amp;H570&amp;"|"&amp;I570&amp;"|"&amp;R570&amp;"|"&amp;S570&amp;"|"&amp;V570</f>
        <v>ORD-2024-10569|2024-01-21|CUST-4604|Kabir Singh|1|3806.3|2854.73</v>
      </c>
      <c r="AG570" t="str">
        <f>IF(COUNTIF($A$2:$A$913,A570)&gt;1,"TRUE","FALSE")</f>
        <v>FALSE</v>
      </c>
    </row>
    <row r="571" spans="1:33">
      <c r="A571" t="s">
        <v>3229</v>
      </c>
      <c r="B571" t="s">
        <v>2780</v>
      </c>
      <c r="C571" t="s">
        <v>1780</v>
      </c>
      <c r="D571">
        <f>IF(OR(B571="", C571=""), "", (C571 - B571))</f>
        <v>2</v>
      </c>
      <c r="E571" t="str">
        <f>IF(C571&lt;B571, "INVALID: Ship date before order date", "")</f>
        <v/>
      </c>
      <c r="F571" t="str">
        <f>IF(B571="", "", TEXT(B571, "mmmm"))</f>
        <v>September</v>
      </c>
      <c r="G571">
        <f>IF(B571="", "", YEAR(B571))</f>
        <v>2025</v>
      </c>
      <c r="H571" t="s">
        <v>1781</v>
      </c>
      <c r="I571" t="s">
        <v>116</v>
      </c>
      <c r="J571" t="s">
        <v>93</v>
      </c>
      <c r="K571" t="s">
        <v>62</v>
      </c>
      <c r="L571" t="s">
        <v>63</v>
      </c>
      <c r="M571" t="s">
        <v>64</v>
      </c>
      <c r="N571" t="s">
        <v>40</v>
      </c>
      <c r="O571" t="s">
        <v>56</v>
      </c>
      <c r="P571" t="s">
        <v>1782</v>
      </c>
      <c r="Q571" t="s">
        <v>58</v>
      </c>
      <c r="R571">
        <v>6</v>
      </c>
      <c r="S571" s="15">
        <v>3251.17</v>
      </c>
      <c r="T571" s="4">
        <v>0.25</v>
      </c>
      <c r="U571" s="3" t="str">
        <f>IF(T571&lt;0, "negative_discount", IF(AND(T571&gt;0.5, T571&lt;=1), "high_discount", ""))</f>
        <v/>
      </c>
      <c r="V571" s="11">
        <v>14630.26</v>
      </c>
      <c r="W571" s="12">
        <v>14630.27</v>
      </c>
      <c r="X571" s="11">
        <v>11906.36</v>
      </c>
      <c r="Y571" s="11">
        <v>2723.9</v>
      </c>
      <c r="Z571" s="11">
        <f>ROUND(W571-X571,2)</f>
        <v>2723.91</v>
      </c>
      <c r="AA571" s="4">
        <f>IF(W571=0,0,Z571/W571)</f>
        <v>0.18618316681783725</v>
      </c>
      <c r="AB571" t="s">
        <v>99</v>
      </c>
      <c r="AC571" t="s">
        <v>100</v>
      </c>
      <c r="AD571" t="str">
        <f>IF(AND(E571="", T571&gt;=0, T571&lt;=0.5, K571&lt;&gt;"Unknown", Q571&lt;&gt;"Unknown"), "CLEAN", _xlfn.CONCAT("WARNING: ", IF(E571&lt;&gt;"","invalid_date",""), IF(T571&lt;0,"negative_discount",""), IF(AND(T571&gt;0.5,T571&lt;=1),"high_discount",""), IF(K571="Unknown","missing_region",""), IF(Q571="Unknown","missing_ship_mode","")))</f>
        <v>CLEAN</v>
      </c>
      <c r="AE571" t="str">
        <f>IF(COUNTIF($AF$2:$AF$926,AF571)&gt;1,"DUPLICATE","UNIQUE")</f>
        <v>UNIQUE</v>
      </c>
      <c r="AF571" t="str">
        <f>A571&amp;"|"&amp;B571&amp;"|"&amp;H571&amp;"|"&amp;I571&amp;"|"&amp;R571&amp;"|"&amp;S571&amp;"|"&amp;V571</f>
        <v>ORD-2025-10570|2025-09-08|CUST-2586|Rahul Verma|6|3251.17|14630.26</v>
      </c>
      <c r="AG571" t="str">
        <f>IF(COUNTIF($A$2:$A$913,A571)&gt;1,"TRUE","FALSE")</f>
        <v>FALSE</v>
      </c>
    </row>
    <row r="572" spans="1:33">
      <c r="A572" t="s">
        <v>3230</v>
      </c>
      <c r="B572" t="s">
        <v>611</v>
      </c>
      <c r="C572" t="s">
        <v>321</v>
      </c>
      <c r="D572">
        <f>IF(OR(B572="", C572=""), "", (C572 - B572))</f>
        <v>4</v>
      </c>
      <c r="E572" t="str">
        <f>IF(C572&lt;B572, "INVALID: Ship date before order date", "")</f>
        <v/>
      </c>
      <c r="F572" t="str">
        <f>IF(B572="", "", TEXT(B572, "mmmm"))</f>
        <v>August</v>
      </c>
      <c r="G572">
        <f>IF(B572="", "", YEAR(B572))</f>
        <v>2025</v>
      </c>
      <c r="H572" t="s">
        <v>1783</v>
      </c>
      <c r="I572" t="s">
        <v>52</v>
      </c>
      <c r="J572" t="s">
        <v>23</v>
      </c>
      <c r="K572" t="s">
        <v>37</v>
      </c>
      <c r="L572" t="s">
        <v>226</v>
      </c>
      <c r="M572" t="s">
        <v>227</v>
      </c>
      <c r="N572" t="s">
        <v>40</v>
      </c>
      <c r="O572" t="s">
        <v>56</v>
      </c>
      <c r="P572" t="s">
        <v>1784</v>
      </c>
      <c r="Q572" t="s">
        <v>30</v>
      </c>
      <c r="R572">
        <v>3</v>
      </c>
      <c r="S572" s="15">
        <v>3946.44</v>
      </c>
      <c r="T572" s="4">
        <v>0.25</v>
      </c>
      <c r="U572" s="3" t="str">
        <f>IF(T572&lt;0, "negative_discount", IF(AND(T572&gt;0.5, T572&lt;=1), "high_discount", ""))</f>
        <v/>
      </c>
      <c r="V572" s="11">
        <v>8879.49</v>
      </c>
      <c r="W572" s="12">
        <v>8879.49</v>
      </c>
      <c r="X572" s="11">
        <v>6344.57</v>
      </c>
      <c r="Y572" s="11">
        <v>2534.92</v>
      </c>
      <c r="Z572" s="11">
        <f>ROUND(W572-X572,2)</f>
        <v>2534.92</v>
      </c>
      <c r="AA572" s="4">
        <f>IF(W572=0,0,Z572/W572)</f>
        <v>0.28548035979543873</v>
      </c>
      <c r="AB572" t="s">
        <v>151</v>
      </c>
      <c r="AC572" t="s">
        <v>100</v>
      </c>
      <c r="AD572" t="str">
        <f>IF(AND(E572="", T572&gt;=0, T572&lt;=0.5, K572&lt;&gt;"Unknown", Q572&lt;&gt;"Unknown"), "CLEAN", _xlfn.CONCAT("WARNING: ", IF(E572&lt;&gt;"","invalid_date",""), IF(T572&lt;0,"negative_discount",""), IF(AND(T572&gt;0.5,T572&lt;=1),"high_discount",""), IF(K572="Unknown","missing_region",""), IF(Q572="Unknown","missing_ship_mode","")))</f>
        <v>CLEAN</v>
      </c>
      <c r="AE572" t="str">
        <f>IF(COUNTIF($AF$2:$AF$926,AF572)&gt;1,"DUPLICATE","UNIQUE")</f>
        <v>UNIQUE</v>
      </c>
      <c r="AF572" t="str">
        <f>A572&amp;"|"&amp;B572&amp;"|"&amp;H572&amp;"|"&amp;I572&amp;"|"&amp;R572&amp;"|"&amp;S572&amp;"|"&amp;V572</f>
        <v>ORD-2025-10571|2025-08-18|CUST-6585|Arjun Bose|3|3946.44|8879.49</v>
      </c>
      <c r="AG572" t="str">
        <f>IF(COUNTIF($A$2:$A$913,A572)&gt;1,"TRUE","FALSE")</f>
        <v>FALSE</v>
      </c>
    </row>
    <row r="573" spans="1:33">
      <c r="A573" t="s">
        <v>3231</v>
      </c>
      <c r="B573" t="s">
        <v>2759</v>
      </c>
      <c r="C573" t="s">
        <v>1785</v>
      </c>
      <c r="D573">
        <f>IF(OR(B573="", C573=""), "", (C573 - B573))</f>
        <v>4</v>
      </c>
      <c r="E573" t="str">
        <f>IF(C573&lt;B573, "INVALID: Ship date before order date", "")</f>
        <v/>
      </c>
      <c r="F573" t="str">
        <f>IF(B573="", "", TEXT(B573, "mmmm"))</f>
        <v>February</v>
      </c>
      <c r="G573">
        <f>IF(B573="", "", YEAR(B573))</f>
        <v>2025</v>
      </c>
      <c r="H573" t="s">
        <v>1786</v>
      </c>
      <c r="I573" t="s">
        <v>112</v>
      </c>
      <c r="J573" t="s">
        <v>36</v>
      </c>
      <c r="K573" t="s">
        <v>24</v>
      </c>
      <c r="L573" t="s">
        <v>134</v>
      </c>
      <c r="M573" t="s">
        <v>135</v>
      </c>
      <c r="N573" t="s">
        <v>74</v>
      </c>
      <c r="O573" t="s">
        <v>168</v>
      </c>
      <c r="P573" t="s">
        <v>1787</v>
      </c>
      <c r="Q573" t="s">
        <v>2970</v>
      </c>
      <c r="R573">
        <v>5</v>
      </c>
      <c r="S573" s="15">
        <v>4276.29</v>
      </c>
      <c r="T573" s="4">
        <v>0</v>
      </c>
      <c r="U573" s="3" t="str">
        <f>IF(T573&lt;0, "negative_discount", IF(AND(T573&gt;0.5, T573&lt;=1), "high_discount", ""))</f>
        <v/>
      </c>
      <c r="V573" s="11">
        <v>21381.45</v>
      </c>
      <c r="W573" s="12">
        <v>21381.45</v>
      </c>
      <c r="X573" s="11">
        <v>13240.21</v>
      </c>
      <c r="Y573" s="11">
        <v>8141.24</v>
      </c>
      <c r="Z573" s="11">
        <f>ROUND(W573-X573,2)</f>
        <v>8141.24</v>
      </c>
      <c r="AA573" s="4">
        <f>IF(W573=0,0,Z573/W573)</f>
        <v>0.38076182859441243</v>
      </c>
      <c r="AB573" t="s">
        <v>151</v>
      </c>
      <c r="AC573" t="s">
        <v>100</v>
      </c>
      <c r="AD573" t="str">
        <f>IF(AND(E573="", T573&gt;=0, T573&lt;=0.5, K573&lt;&gt;"Unknown", Q573&lt;&gt;"Unknown"), "CLEAN", _xlfn.CONCAT("WARNING: ", IF(E573&lt;&gt;"","invalid_date",""), IF(T573&lt;0,"negative_discount",""), IF(AND(T573&gt;0.5,T573&lt;=1),"high_discount",""), IF(K573="Unknown","missing_region",""), IF(Q573="Unknown","missing_ship_mode","")))</f>
        <v>WARNING: missing_ship_mode</v>
      </c>
      <c r="AE573" t="str">
        <f>IF(COUNTIF($AF$2:$AF$926,AF573)&gt;1,"DUPLICATE","UNIQUE")</f>
        <v>UNIQUE</v>
      </c>
      <c r="AF573" t="str">
        <f>A573&amp;"|"&amp;B573&amp;"|"&amp;H573&amp;"|"&amp;I573&amp;"|"&amp;R573&amp;"|"&amp;S573&amp;"|"&amp;V573</f>
        <v>ORD-2025-10572|2025-02-10|CUST-3425|Priya Menon|5|4276.29|21381.45</v>
      </c>
      <c r="AG573" t="str">
        <f>IF(COUNTIF($A$2:$A$913,A573)&gt;1,"TRUE","FALSE")</f>
        <v>TRUE</v>
      </c>
    </row>
    <row r="574" spans="1:33">
      <c r="A574" t="s">
        <v>1788</v>
      </c>
      <c r="B574" t="s">
        <v>2837</v>
      </c>
      <c r="C574" t="s">
        <v>282</v>
      </c>
      <c r="D574">
        <f>IF(OR(B574="", C574=""), "", (C574 - B574))</f>
        <v>243</v>
      </c>
      <c r="E574" t="str">
        <f>IF(C574&lt;B574, "INVALID: Ship date before order date", "")</f>
        <v/>
      </c>
      <c r="F574" t="str">
        <f>IF(B574="", "", TEXT(B574, "mmmm"))</f>
        <v>January</v>
      </c>
      <c r="G574">
        <f>IF(B574="", "", YEAR(B574))</f>
        <v>2024</v>
      </c>
      <c r="H574" t="s">
        <v>1789</v>
      </c>
      <c r="I574" t="s">
        <v>158</v>
      </c>
      <c r="J574" t="s">
        <v>89</v>
      </c>
      <c r="K574" t="s">
        <v>24</v>
      </c>
      <c r="L574" t="s">
        <v>353</v>
      </c>
      <c r="M574" t="s">
        <v>354</v>
      </c>
      <c r="N574" t="s">
        <v>74</v>
      </c>
      <c r="O574" t="s">
        <v>168</v>
      </c>
      <c r="P574" t="s">
        <v>1790</v>
      </c>
      <c r="Q574" t="s">
        <v>58</v>
      </c>
      <c r="R574">
        <v>3</v>
      </c>
      <c r="S574" s="15">
        <v>739.56</v>
      </c>
      <c r="T574" s="4">
        <v>0.2</v>
      </c>
      <c r="U574" s="3" t="str">
        <f>IF(T574&lt;0, "negative_discount", IF(AND(T574&gt;0.5, T574&lt;=1), "high_discount", ""))</f>
        <v/>
      </c>
      <c r="V574" s="11">
        <v>1774.94</v>
      </c>
      <c r="W574" s="12">
        <v>1774.94</v>
      </c>
      <c r="X574" s="11">
        <v>1007.4</v>
      </c>
      <c r="Y574" s="11">
        <v>767.54</v>
      </c>
      <c r="Z574" s="11">
        <f>ROUND(W574-X574,2)</f>
        <v>767.54</v>
      </c>
      <c r="AA574" s="4">
        <f>IF(W574=0,0,Z574/W574)</f>
        <v>0.43243151881190345</v>
      </c>
      <c r="AB574" t="s">
        <v>31</v>
      </c>
      <c r="AC574" t="s">
        <v>32</v>
      </c>
      <c r="AD574" t="str">
        <f>IF(AND(E574="", T574&gt;=0, T574&lt;=0.5, K574&lt;&gt;"Unknown", Q574&lt;&gt;"Unknown"), "CLEAN", _xlfn.CONCAT("WARNING: ", IF(E574&lt;&gt;"","invalid_date",""), IF(T574&lt;0,"negative_discount",""), IF(AND(T574&gt;0.5,T574&lt;=1),"high_discount",""), IF(K574="Unknown","missing_region",""), IF(Q574="Unknown","missing_ship_mode","")))</f>
        <v>CLEAN</v>
      </c>
      <c r="AE574" t="str">
        <f>IF(COUNTIF($AF$2:$AF$926,AF574)&gt;1,"DUPLICATE","UNIQUE")</f>
        <v>UNIQUE</v>
      </c>
      <c r="AF574" t="str">
        <f>A574&amp;"|"&amp;B574&amp;"|"&amp;H574&amp;"|"&amp;I574&amp;"|"&amp;R574&amp;"|"&amp;S574&amp;"|"&amp;V574</f>
        <v>ORD-2024-10573|2024-01-02|CUST-8633|Diya Patel|3|739.56|1774.94</v>
      </c>
      <c r="AG574" t="str">
        <f>IF(COUNTIF($A$2:$A$913,A574)&gt;1,"TRUE","FALSE")</f>
        <v>FALSE</v>
      </c>
    </row>
    <row r="575" spans="1:33">
      <c r="A575" t="s">
        <v>3232</v>
      </c>
      <c r="B575" t="s">
        <v>1065</v>
      </c>
      <c r="C575" t="s">
        <v>2794</v>
      </c>
      <c r="D575">
        <f>IF(OR(B575="", C575=""), "", (C575 - B575))</f>
        <v>4</v>
      </c>
      <c r="E575" t="str">
        <f>IF(C575&lt;B575, "INVALID: Ship date before order date", "")</f>
        <v/>
      </c>
      <c r="F575" t="str">
        <f>IF(B575="", "", TEXT(B575, "mmmm"))</f>
        <v>September</v>
      </c>
      <c r="G575">
        <f>IF(B575="", "", YEAR(B575))</f>
        <v>2025</v>
      </c>
      <c r="H575" t="s">
        <v>1791</v>
      </c>
      <c r="I575" t="s">
        <v>46</v>
      </c>
      <c r="J575" t="s">
        <v>23</v>
      </c>
      <c r="K575" t="s">
        <v>53</v>
      </c>
      <c r="L575" t="s">
        <v>83</v>
      </c>
      <c r="M575" t="s">
        <v>84</v>
      </c>
      <c r="N575" t="s">
        <v>74</v>
      </c>
      <c r="O575" t="s">
        <v>168</v>
      </c>
      <c r="P575" t="s">
        <v>1792</v>
      </c>
      <c r="Q575" t="s">
        <v>58</v>
      </c>
      <c r="R575">
        <v>1</v>
      </c>
      <c r="S575" s="15">
        <v>573.65</v>
      </c>
      <c r="T575" s="4">
        <v>0</v>
      </c>
      <c r="U575" s="3" t="str">
        <f>IF(T575&lt;0, "negative_discount", IF(AND(T575&gt;0.5, T575&lt;=1), "high_discount", ""))</f>
        <v/>
      </c>
      <c r="V575" s="11">
        <v>573.65</v>
      </c>
      <c r="W575" s="12">
        <v>573.65</v>
      </c>
      <c r="X575" s="11">
        <v>322.67</v>
      </c>
      <c r="Y575" s="11">
        <v>250.98</v>
      </c>
      <c r="Z575" s="11">
        <f>ROUND(W575-X575,2)</f>
        <v>250.98</v>
      </c>
      <c r="AA575" s="4">
        <f>IF(W575=0,0,Z575/W575)</f>
        <v>0.43751416368866031</v>
      </c>
      <c r="AB575" t="s">
        <v>31</v>
      </c>
      <c r="AC575" t="s">
        <v>32</v>
      </c>
      <c r="AD575" t="str">
        <f>IF(AND(E575="", T575&gt;=0, T575&lt;=0.5, K575&lt;&gt;"Unknown", Q575&lt;&gt;"Unknown"), "CLEAN", _xlfn.CONCAT("WARNING: ", IF(E575&lt;&gt;"","invalid_date",""), IF(T575&lt;0,"negative_discount",""), IF(AND(T575&gt;0.5,T575&lt;=1),"high_discount",""), IF(K575="Unknown","missing_region",""), IF(Q575="Unknown","missing_ship_mode","")))</f>
        <v>CLEAN</v>
      </c>
      <c r="AE575" t="str">
        <f>IF(COUNTIF($AF$2:$AF$926,AF575)&gt;1,"DUPLICATE","UNIQUE")</f>
        <v>UNIQUE</v>
      </c>
      <c r="AF575" t="str">
        <f>A575&amp;"|"&amp;B575&amp;"|"&amp;H575&amp;"|"&amp;I575&amp;"|"&amp;R575&amp;"|"&amp;S575&amp;"|"&amp;V575</f>
        <v>ORD-2025-10574|2025-09-22|CUST-8243|Isha Nair|1|573.65|573.65</v>
      </c>
      <c r="AG575" t="str">
        <f>IF(COUNTIF($A$2:$A$913,A575)&gt;1,"TRUE","FALSE")</f>
        <v>FALSE</v>
      </c>
    </row>
    <row r="576" spans="1:33">
      <c r="A576" t="s">
        <v>1793</v>
      </c>
      <c r="B576" t="s">
        <v>1342</v>
      </c>
      <c r="C576" t="s">
        <v>2775</v>
      </c>
      <c r="D576">
        <f>IF(OR(B576="", C576=""), "", (C576 - B576))</f>
        <v>5</v>
      </c>
      <c r="E576" t="str">
        <f>IF(C576&lt;B576, "INVALID: Ship date before order date", "")</f>
        <v/>
      </c>
      <c r="F576" t="str">
        <f>IF(B576="", "", TEXT(B576, "mmmm"))</f>
        <v>February</v>
      </c>
      <c r="G576">
        <f>IF(B576="", "", YEAR(B576))</f>
        <v>2024</v>
      </c>
      <c r="H576" t="s">
        <v>793</v>
      </c>
      <c r="I576" t="s">
        <v>158</v>
      </c>
      <c r="J576" t="s">
        <v>93</v>
      </c>
      <c r="K576" t="s">
        <v>24</v>
      </c>
      <c r="L576" t="s">
        <v>120</v>
      </c>
      <c r="M576" t="s">
        <v>121</v>
      </c>
      <c r="N576" t="s">
        <v>74</v>
      </c>
      <c r="O576" t="s">
        <v>272</v>
      </c>
      <c r="P576" t="s">
        <v>1794</v>
      </c>
      <c r="Q576" t="s">
        <v>58</v>
      </c>
      <c r="R576">
        <v>4</v>
      </c>
      <c r="S576" s="15">
        <v>1355.8</v>
      </c>
      <c r="T576" s="4">
        <v>0</v>
      </c>
      <c r="U576" s="3" t="str">
        <f>IF(T576&lt;0, "negative_discount", IF(AND(T576&gt;0.5, T576&lt;=1), "high_discount", ""))</f>
        <v/>
      </c>
      <c r="V576" s="11">
        <v>5423.2</v>
      </c>
      <c r="W576" s="12">
        <v>5423.2</v>
      </c>
      <c r="X576" s="11">
        <v>4072.44</v>
      </c>
      <c r="Y576" s="11">
        <v>1350.76</v>
      </c>
      <c r="Z576" s="11">
        <f>ROUND(W576-X576,2)</f>
        <v>1350.76</v>
      </c>
      <c r="AA576" s="4">
        <f>IF(W576=0,0,Z576/W576)</f>
        <v>0.24907065938929046</v>
      </c>
      <c r="AB576" t="s">
        <v>31</v>
      </c>
      <c r="AC576" t="s">
        <v>32</v>
      </c>
      <c r="AD576" t="str">
        <f>IF(AND(E576="", T576&gt;=0, T576&lt;=0.5, K576&lt;&gt;"Unknown", Q576&lt;&gt;"Unknown"), "CLEAN", _xlfn.CONCAT("WARNING: ", IF(E576&lt;&gt;"","invalid_date",""), IF(T576&lt;0,"negative_discount",""), IF(AND(T576&gt;0.5,T576&lt;=1),"high_discount",""), IF(K576="Unknown","missing_region",""), IF(Q576="Unknown","missing_ship_mode","")))</f>
        <v>CLEAN</v>
      </c>
      <c r="AE576" t="str">
        <f>IF(COUNTIF($AF$2:$AF$926,AF576)&gt;1,"DUPLICATE","UNIQUE")</f>
        <v>UNIQUE</v>
      </c>
      <c r="AF576" t="str">
        <f>A576&amp;"|"&amp;B576&amp;"|"&amp;H576&amp;"|"&amp;I576&amp;"|"&amp;R576&amp;"|"&amp;S576&amp;"|"&amp;V576</f>
        <v>ORD-2024-10575|2024-02-20|CUST-9139|Diya Patel|4|1355.8|5423.2</v>
      </c>
      <c r="AG576" t="str">
        <f>IF(COUNTIF($A$2:$A$913,A576)&gt;1,"TRUE","FALSE")</f>
        <v>FALSE</v>
      </c>
    </row>
    <row r="577" spans="1:33">
      <c r="A577" t="s">
        <v>3233</v>
      </c>
      <c r="B577" t="s">
        <v>1831</v>
      </c>
      <c r="C577" t="s">
        <v>927</v>
      </c>
      <c r="D577">
        <f>IF(OR(B577="", C577=""), "", (C577 - B577))</f>
        <v>3</v>
      </c>
      <c r="E577" t="str">
        <f>IF(C577&lt;B577, "INVALID: Ship date before order date", "")</f>
        <v/>
      </c>
      <c r="F577" t="str">
        <f>IF(B577="", "", TEXT(B577, "mmmm"))</f>
        <v>March</v>
      </c>
      <c r="G577">
        <f>IF(B577="", "", YEAR(B577))</f>
        <v>2025</v>
      </c>
      <c r="H577" t="s">
        <v>1795</v>
      </c>
      <c r="I577" t="s">
        <v>131</v>
      </c>
      <c r="J577" t="s">
        <v>93</v>
      </c>
      <c r="K577" t="s">
        <v>53</v>
      </c>
      <c r="L577" t="s">
        <v>180</v>
      </c>
      <c r="M577" t="s">
        <v>181</v>
      </c>
      <c r="N577" t="s">
        <v>40</v>
      </c>
      <c r="O577" t="s">
        <v>56</v>
      </c>
      <c r="P577" t="s">
        <v>1796</v>
      </c>
      <c r="Q577" t="s">
        <v>43</v>
      </c>
      <c r="R577">
        <v>4</v>
      </c>
      <c r="S577" s="15">
        <v>1244.82</v>
      </c>
      <c r="T577" s="4">
        <v>0.2</v>
      </c>
      <c r="U577" s="3" t="str">
        <f>IF(T577&lt;0, "negative_discount", IF(AND(T577&gt;0.5, T577&lt;=1), "high_discount", ""))</f>
        <v/>
      </c>
      <c r="V577" s="11">
        <v>3983.42</v>
      </c>
      <c r="W577" s="12">
        <v>3983.42</v>
      </c>
      <c r="X577" s="11">
        <v>3174.91</v>
      </c>
      <c r="Y577" s="11">
        <v>808.51</v>
      </c>
      <c r="Z577" s="11">
        <f>ROUND(W577-X577,2)</f>
        <v>808.51</v>
      </c>
      <c r="AA577" s="4">
        <f>IF(W577=0,0,Z577/W577)</f>
        <v>0.20296880569962494</v>
      </c>
      <c r="AB577" t="s">
        <v>151</v>
      </c>
      <c r="AC577" t="s">
        <v>100</v>
      </c>
      <c r="AD577" t="str">
        <f>IF(AND(E577="", T577&gt;=0, T577&lt;=0.5, K577&lt;&gt;"Unknown", Q577&lt;&gt;"Unknown"), "CLEAN", _xlfn.CONCAT("WARNING: ", IF(E577&lt;&gt;"","invalid_date",""), IF(T577&lt;0,"negative_discount",""), IF(AND(T577&gt;0.5,T577&lt;=1),"high_discount",""), IF(K577="Unknown","missing_region",""), IF(Q577="Unknown","missing_ship_mode","")))</f>
        <v>CLEAN</v>
      </c>
      <c r="AE577" t="str">
        <f>IF(COUNTIF($AF$2:$AF$926,AF577)&gt;1,"DUPLICATE","UNIQUE")</f>
        <v>UNIQUE</v>
      </c>
      <c r="AF577" t="str">
        <f>A577&amp;"|"&amp;B577&amp;"|"&amp;H577&amp;"|"&amp;I577&amp;"|"&amp;R577&amp;"|"&amp;S577&amp;"|"&amp;V577</f>
        <v>ORD-2025-10576|2025-03-11|CUST-5496|Sneha Kapoor|4|1244.82|3983.42</v>
      </c>
      <c r="AG577" t="str">
        <f>IF(COUNTIF($A$2:$A$913,A577)&gt;1,"TRUE","FALSE")</f>
        <v>FALSE</v>
      </c>
    </row>
    <row r="578" spans="1:33">
      <c r="A578" t="s">
        <v>1797</v>
      </c>
      <c r="B578" t="s">
        <v>2838</v>
      </c>
      <c r="C578" t="s">
        <v>2818</v>
      </c>
      <c r="D578">
        <f>IF(OR(B578="", C578=""), "", (C578 - B578))</f>
        <v>6</v>
      </c>
      <c r="E578" t="str">
        <f>IF(C578&lt;B578, "INVALID: Ship date before order date", "")</f>
        <v/>
      </c>
      <c r="F578" t="str">
        <f>IF(B578="", "", TEXT(B578, "mmmm"))</f>
        <v>February</v>
      </c>
      <c r="G578">
        <f>IF(B578="", "", YEAR(B578))</f>
        <v>2024</v>
      </c>
      <c r="H578" t="s">
        <v>1798</v>
      </c>
      <c r="I578" t="s">
        <v>139</v>
      </c>
      <c r="J578" t="s">
        <v>93</v>
      </c>
      <c r="K578" t="s">
        <v>2970</v>
      </c>
      <c r="L578" t="s">
        <v>142</v>
      </c>
      <c r="M578" t="s">
        <v>143</v>
      </c>
      <c r="N578" t="s">
        <v>27</v>
      </c>
      <c r="O578" t="s">
        <v>149</v>
      </c>
      <c r="P578" t="s">
        <v>1799</v>
      </c>
      <c r="Q578" t="s">
        <v>58</v>
      </c>
      <c r="R578">
        <v>9</v>
      </c>
      <c r="S578" s="15">
        <v>2614.46</v>
      </c>
      <c r="T578" s="4">
        <v>0</v>
      </c>
      <c r="U578" s="3" t="str">
        <f>IF(T578&lt;0, "negative_discount", IF(AND(T578&gt;0.5, T578&lt;=1), "high_discount", ""))</f>
        <v/>
      </c>
      <c r="V578" s="11">
        <v>23530.14</v>
      </c>
      <c r="W578" s="12">
        <v>23530.14</v>
      </c>
      <c r="X578" s="11">
        <v>19537.79</v>
      </c>
      <c r="Y578" s="11">
        <v>3992.35</v>
      </c>
      <c r="Z578" s="11">
        <f>ROUND(W578-X578,2)</f>
        <v>3992.35</v>
      </c>
      <c r="AA578" s="4">
        <f>IF(W578=0,0,Z578/W578)</f>
        <v>0.16966962372514571</v>
      </c>
      <c r="AB578" t="s">
        <v>99</v>
      </c>
      <c r="AC578" t="s">
        <v>100</v>
      </c>
      <c r="AD578" t="str">
        <f>IF(AND(E578="", T578&gt;=0, T578&lt;=0.5, K578&lt;&gt;"Unknown", Q578&lt;&gt;"Unknown"), "CLEAN", _xlfn.CONCAT("WARNING: ", IF(E578&lt;&gt;"","invalid_date",""), IF(T578&lt;0,"negative_discount",""), IF(AND(T578&gt;0.5,T578&lt;=1),"high_discount",""), IF(K578="Unknown","missing_region",""), IF(Q578="Unknown","missing_ship_mode","")))</f>
        <v>WARNING: missing_region</v>
      </c>
      <c r="AE578" t="str">
        <f>IF(COUNTIF($AF$2:$AF$926,AF578)&gt;1,"DUPLICATE","UNIQUE")</f>
        <v>UNIQUE</v>
      </c>
      <c r="AF578" t="str">
        <f>A578&amp;"|"&amp;B578&amp;"|"&amp;H578&amp;"|"&amp;I578&amp;"|"&amp;R578&amp;"|"&amp;S578&amp;"|"&amp;V578</f>
        <v>ORD-2024-10577|2024-02-17|CUST-2228|Rohan Mehta|9|2614.46|23530.14</v>
      </c>
      <c r="AG578" t="str">
        <f>IF(COUNTIF($A$2:$A$913,A578)&gt;1,"TRUE","FALSE")</f>
        <v>FALSE</v>
      </c>
    </row>
    <row r="579" spans="1:33">
      <c r="A579" t="s">
        <v>3234</v>
      </c>
      <c r="B579" t="s">
        <v>1308</v>
      </c>
      <c r="C579" t="s">
        <v>1800</v>
      </c>
      <c r="D579">
        <f>IF(OR(B579="", C579=""), "", (C579 - B579))</f>
        <v>6</v>
      </c>
      <c r="E579" t="str">
        <f>IF(C579&lt;B579, "INVALID: Ship date before order date", "")</f>
        <v/>
      </c>
      <c r="F579" t="str">
        <f>IF(B579="", "", TEXT(B579, "mmmm"))</f>
        <v>August</v>
      </c>
      <c r="G579">
        <f>IF(B579="", "", YEAR(B579))</f>
        <v>2025</v>
      </c>
      <c r="H579" t="s">
        <v>1801</v>
      </c>
      <c r="I579" t="s">
        <v>112</v>
      </c>
      <c r="J579" t="s">
        <v>89</v>
      </c>
      <c r="K579" t="s">
        <v>62</v>
      </c>
      <c r="L579" t="s">
        <v>72</v>
      </c>
      <c r="M579" t="s">
        <v>73</v>
      </c>
      <c r="N579" t="s">
        <v>40</v>
      </c>
      <c r="O579" t="s">
        <v>56</v>
      </c>
      <c r="P579" t="s">
        <v>1802</v>
      </c>
      <c r="Q579" t="s">
        <v>58</v>
      </c>
      <c r="R579">
        <v>7</v>
      </c>
      <c r="S579" s="15">
        <v>268.45</v>
      </c>
      <c r="T579" s="4">
        <v>0</v>
      </c>
      <c r="U579" s="3" t="str">
        <f>IF(T579&lt;0, "negative_discount", IF(AND(T579&gt;0.5, T579&lt;=1), "high_discount", ""))</f>
        <v/>
      </c>
      <c r="V579" s="11">
        <v>1879.15</v>
      </c>
      <c r="W579" s="12">
        <v>1879.15</v>
      </c>
      <c r="X579" s="11">
        <v>1134.9000000000001</v>
      </c>
      <c r="Y579" s="11">
        <v>744.25</v>
      </c>
      <c r="Z579" s="11">
        <f>ROUND(W579-X579,2)</f>
        <v>744.25</v>
      </c>
      <c r="AA579" s="4">
        <f>IF(W579=0,0,Z579/W579)</f>
        <v>0.3960567277758561</v>
      </c>
      <c r="AB579" t="s">
        <v>31</v>
      </c>
      <c r="AC579" t="s">
        <v>32</v>
      </c>
      <c r="AD579" t="str">
        <f>IF(AND(E579="", T579&gt;=0, T579&lt;=0.5, K579&lt;&gt;"Unknown", Q579&lt;&gt;"Unknown"), "CLEAN", _xlfn.CONCAT("WARNING: ", IF(E579&lt;&gt;"","invalid_date",""), IF(T579&lt;0,"negative_discount",""), IF(AND(T579&gt;0.5,T579&lt;=1),"high_discount",""), IF(K579="Unknown","missing_region",""), IF(Q579="Unknown","missing_ship_mode","")))</f>
        <v>CLEAN</v>
      </c>
      <c r="AE579" t="str">
        <f>IF(COUNTIF($AF$2:$AF$926,AF579)&gt;1,"DUPLICATE","UNIQUE")</f>
        <v>UNIQUE</v>
      </c>
      <c r="AF579" t="str">
        <f>A579&amp;"|"&amp;B579&amp;"|"&amp;H579&amp;"|"&amp;I579&amp;"|"&amp;R579&amp;"|"&amp;S579&amp;"|"&amp;V579</f>
        <v>ORD-2025-10578|2025-08-28|CUST-4151|Priya Menon|7|268.45|1879.15</v>
      </c>
      <c r="AG579" t="str">
        <f>IF(COUNTIF($A$2:$A$913,A579)&gt;1,"TRUE","FALSE")</f>
        <v>FALSE</v>
      </c>
    </row>
    <row r="580" spans="1:33">
      <c r="A580" t="s">
        <v>1803</v>
      </c>
      <c r="B580" t="s">
        <v>1804</v>
      </c>
      <c r="C580" t="s">
        <v>2818</v>
      </c>
      <c r="D580">
        <f>IF(OR(B580="", C580=""), "", (C580 - B580))</f>
        <v>2</v>
      </c>
      <c r="E580" t="str">
        <f>IF(C580&lt;B580, "INVALID: Ship date before order date", "")</f>
        <v/>
      </c>
      <c r="F580" t="str">
        <f>IF(B580="", "", TEXT(B580, "mmmm"))</f>
        <v>February</v>
      </c>
      <c r="G580">
        <f>IF(B580="", "", YEAR(B580))</f>
        <v>2024</v>
      </c>
      <c r="H580" t="s">
        <v>297</v>
      </c>
      <c r="I580" t="s">
        <v>78</v>
      </c>
      <c r="J580" t="s">
        <v>36</v>
      </c>
      <c r="K580" t="s">
        <v>62</v>
      </c>
      <c r="L580" t="s">
        <v>176</v>
      </c>
      <c r="M580" t="s">
        <v>177</v>
      </c>
      <c r="N580" t="s">
        <v>74</v>
      </c>
      <c r="O580" t="s">
        <v>79</v>
      </c>
      <c r="P580" t="s">
        <v>1805</v>
      </c>
      <c r="Q580" t="s">
        <v>49</v>
      </c>
      <c r="R580">
        <v>6</v>
      </c>
      <c r="S580" s="15">
        <v>2633.65</v>
      </c>
      <c r="T580" s="4">
        <v>0.05</v>
      </c>
      <c r="U580" s="3" t="str">
        <f>IF(T580&lt;0, "negative_discount", IF(AND(T580&gt;0.5, T580&lt;=1), "high_discount", ""))</f>
        <v/>
      </c>
      <c r="V580" s="11">
        <v>15011.81</v>
      </c>
      <c r="W580" s="12">
        <v>15011.81</v>
      </c>
      <c r="X580" s="11">
        <v>9660.36</v>
      </c>
      <c r="Y580" s="11">
        <v>5351.45</v>
      </c>
      <c r="Z580" s="11">
        <f>ROUND(W580-X580,2)</f>
        <v>5351.45</v>
      </c>
      <c r="AA580" s="4">
        <f>IF(W580=0,0,Z580/W580)</f>
        <v>0.35648266265027334</v>
      </c>
      <c r="AB580" t="s">
        <v>31</v>
      </c>
      <c r="AC580" t="s">
        <v>32</v>
      </c>
      <c r="AD580" t="str">
        <f>IF(AND(E580="", T580&gt;=0, T580&lt;=0.5, K580&lt;&gt;"Unknown", Q580&lt;&gt;"Unknown"), "CLEAN", _xlfn.CONCAT("WARNING: ", IF(E580&lt;&gt;"","invalid_date",""), IF(T580&lt;0,"negative_discount",""), IF(AND(T580&gt;0.5,T580&lt;=1),"high_discount",""), IF(K580="Unknown","missing_region",""), IF(Q580="Unknown","missing_ship_mode","")))</f>
        <v>CLEAN</v>
      </c>
      <c r="AE580" t="str">
        <f>IF(COUNTIF($AF$2:$AF$926,AF580)&gt;1,"DUPLICATE","UNIQUE")</f>
        <v>UNIQUE</v>
      </c>
      <c r="AF580" t="str">
        <f>A580&amp;"|"&amp;B580&amp;"|"&amp;H580&amp;"|"&amp;I580&amp;"|"&amp;R580&amp;"|"&amp;S580&amp;"|"&amp;V580</f>
        <v>ORD-2024-10579|2024-02-21|CUST-4900|Neha Gupta|6|2633.65|15011.81</v>
      </c>
      <c r="AG580" t="str">
        <f>IF(COUNTIF($A$2:$A$913,A580)&gt;1,"TRUE","FALSE")</f>
        <v>FALSE</v>
      </c>
    </row>
    <row r="581" spans="1:33">
      <c r="A581" t="s">
        <v>1806</v>
      </c>
      <c r="B581" t="s">
        <v>2839</v>
      </c>
      <c r="C581" t="s">
        <v>958</v>
      </c>
      <c r="D581">
        <f>IF(OR(B581="", C581=""), "", (C581 - B581))</f>
        <v>5</v>
      </c>
      <c r="E581" t="str">
        <f>IF(C581&lt;B581, "INVALID: Ship date before order date", "")</f>
        <v/>
      </c>
      <c r="F581" t="str">
        <f>IF(B581="", "", TEXT(B581, "mmmm"))</f>
        <v>June</v>
      </c>
      <c r="G581">
        <f>IF(B581="", "", YEAR(B581))</f>
        <v>2024</v>
      </c>
      <c r="H581" t="s">
        <v>1807</v>
      </c>
      <c r="I581" t="s">
        <v>126</v>
      </c>
      <c r="J581" t="s">
        <v>36</v>
      </c>
      <c r="K581" t="s">
        <v>53</v>
      </c>
      <c r="L581" t="s">
        <v>246</v>
      </c>
      <c r="M581" t="s">
        <v>247</v>
      </c>
      <c r="N581" t="s">
        <v>27</v>
      </c>
      <c r="O581" t="s">
        <v>122</v>
      </c>
      <c r="P581" t="s">
        <v>1808</v>
      </c>
      <c r="Q581" t="s">
        <v>43</v>
      </c>
      <c r="R581">
        <v>1</v>
      </c>
      <c r="S581" s="15">
        <v>3202.41</v>
      </c>
      <c r="T581" s="4">
        <v>0</v>
      </c>
      <c r="U581" s="3" t="str">
        <f>IF(T581&lt;0, "negative_discount", IF(AND(T581&gt;0.5, T581&lt;=1), "high_discount", ""))</f>
        <v/>
      </c>
      <c r="V581" s="11">
        <v>3202.41</v>
      </c>
      <c r="W581" s="12">
        <v>3202.41</v>
      </c>
      <c r="X581" s="11">
        <v>2608.44</v>
      </c>
      <c r="Y581" s="11">
        <v>593.97</v>
      </c>
      <c r="Z581" s="11">
        <f>ROUND(W581-X581,2)</f>
        <v>593.97</v>
      </c>
      <c r="AA581" s="4">
        <f>IF(W581=0,0,Z581/W581)</f>
        <v>0.185475938433867</v>
      </c>
      <c r="AB581" t="s">
        <v>31</v>
      </c>
      <c r="AC581" t="s">
        <v>32</v>
      </c>
      <c r="AD581" t="str">
        <f>IF(AND(E581="", T581&gt;=0, T581&lt;=0.5, K581&lt;&gt;"Unknown", Q581&lt;&gt;"Unknown"), "CLEAN", _xlfn.CONCAT("WARNING: ", IF(E581&lt;&gt;"","invalid_date",""), IF(T581&lt;0,"negative_discount",""), IF(AND(T581&gt;0.5,T581&lt;=1),"high_discount",""), IF(K581="Unknown","missing_region",""), IF(Q581="Unknown","missing_ship_mode","")))</f>
        <v>CLEAN</v>
      </c>
      <c r="AE581" t="str">
        <f>IF(COUNTIF($AF$2:$AF$926,AF581)&gt;1,"DUPLICATE","UNIQUE")</f>
        <v>UNIQUE</v>
      </c>
      <c r="AF581" t="str">
        <f>A581&amp;"|"&amp;B581&amp;"|"&amp;H581&amp;"|"&amp;I581&amp;"|"&amp;R581&amp;"|"&amp;S581&amp;"|"&amp;V581</f>
        <v>ORD-2024-10580|2024-06-19|CUST-9617|Aarav Sharma|1|3202.41|3202.41</v>
      </c>
      <c r="AG581" t="str">
        <f>IF(COUNTIF($A$2:$A$913,A581)&gt;1,"TRUE","FALSE")</f>
        <v>FALSE</v>
      </c>
    </row>
    <row r="582" spans="1:33">
      <c r="A582" t="s">
        <v>3235</v>
      </c>
      <c r="B582" t="s">
        <v>2840</v>
      </c>
      <c r="C582" t="s">
        <v>2763</v>
      </c>
      <c r="D582">
        <f>IF(OR(B582="", C582=""), "", (C582 - B582))</f>
        <v>-82</v>
      </c>
      <c r="E582" t="str">
        <f>IF(C582&lt;B582, "INVALID: Ship date before order date", "")</f>
        <v>INVALID: Ship date before order date</v>
      </c>
      <c r="F582" t="str">
        <f>IF(B582="", "", TEXT(B582, "mmmm"))</f>
        <v>June</v>
      </c>
      <c r="G582">
        <f>IF(B582="", "", YEAR(B582))</f>
        <v>2025</v>
      </c>
      <c r="H582" t="s">
        <v>1809</v>
      </c>
      <c r="I582" t="s">
        <v>263</v>
      </c>
      <c r="J582" t="s">
        <v>23</v>
      </c>
      <c r="K582" t="s">
        <v>53</v>
      </c>
      <c r="L582" t="s">
        <v>180</v>
      </c>
      <c r="M582" t="s">
        <v>181</v>
      </c>
      <c r="N582" t="s">
        <v>40</v>
      </c>
      <c r="O582" t="s">
        <v>65</v>
      </c>
      <c r="P582" t="s">
        <v>1810</v>
      </c>
      <c r="Q582" t="s">
        <v>58</v>
      </c>
      <c r="R582">
        <v>3</v>
      </c>
      <c r="S582" s="15">
        <v>163.72</v>
      </c>
      <c r="T582" s="4">
        <v>0.15</v>
      </c>
      <c r="U582" s="3" t="str">
        <f>IF(T582&lt;0, "negative_discount", IF(AND(T582&gt;0.5, T582&lt;=1), "high_discount", ""))</f>
        <v/>
      </c>
      <c r="V582" s="11">
        <v>417.49</v>
      </c>
      <c r="W582" s="12">
        <v>417.49</v>
      </c>
      <c r="X582" s="11">
        <v>261.67</v>
      </c>
      <c r="Y582" s="11">
        <v>155.82</v>
      </c>
      <c r="Z582" s="11">
        <f>ROUND(W582-X582,2)</f>
        <v>155.82</v>
      </c>
      <c r="AA582" s="4">
        <f>IF(W582=0,0,Z582/W582)</f>
        <v>0.37323049653883922</v>
      </c>
      <c r="AB582" t="s">
        <v>151</v>
      </c>
      <c r="AC582" t="s">
        <v>100</v>
      </c>
      <c r="AD582" t="str">
        <f>IF(AND(E582="", T582&gt;=0, T582&lt;=0.5, K582&lt;&gt;"Unknown", Q582&lt;&gt;"Unknown"), "CLEAN", _xlfn.CONCAT("WARNING: ", IF(E582&lt;&gt;"","invalid_date",""), IF(T582&lt;0,"negative_discount",""), IF(AND(T582&gt;0.5,T582&lt;=1),"high_discount",""), IF(K582="Unknown","missing_region",""), IF(Q582="Unknown","missing_ship_mode","")))</f>
        <v>WARNING: invalid_date</v>
      </c>
      <c r="AE582" t="str">
        <f>IF(COUNTIF($AF$2:$AF$926,AF582)&gt;1,"DUPLICATE","UNIQUE")</f>
        <v>UNIQUE</v>
      </c>
      <c r="AF582" t="str">
        <f>A582&amp;"|"&amp;B582&amp;"|"&amp;H582&amp;"|"&amp;I582&amp;"|"&amp;R582&amp;"|"&amp;S582&amp;"|"&amp;V582</f>
        <v>ORD-2025-10581|2025-06-03|CUST-7958|Kabir Singh|3|163.72|417.49</v>
      </c>
      <c r="AG582" t="str">
        <f>IF(COUNTIF($A$2:$A$913,A582)&gt;1,"TRUE","FALSE")</f>
        <v>FALSE</v>
      </c>
    </row>
    <row r="583" spans="1:33">
      <c r="A583" t="s">
        <v>3236</v>
      </c>
      <c r="B583" t="s">
        <v>870</v>
      </c>
      <c r="C583" t="s">
        <v>2015</v>
      </c>
      <c r="D583">
        <f>IF(OR(B583="", C583=""), "", (C583 - B583))</f>
        <v>1</v>
      </c>
      <c r="E583" t="str">
        <f>IF(C583&lt;B583, "INVALID: Ship date before order date", "")</f>
        <v/>
      </c>
      <c r="F583" t="str">
        <f>IF(B583="", "", TEXT(B583, "mmmm"))</f>
        <v>August</v>
      </c>
      <c r="G583">
        <f>IF(B583="", "", YEAR(B583))</f>
        <v>2025</v>
      </c>
      <c r="H583" t="s">
        <v>1811</v>
      </c>
      <c r="I583" t="s">
        <v>78</v>
      </c>
      <c r="J583" t="s">
        <v>23</v>
      </c>
      <c r="K583" t="s">
        <v>24</v>
      </c>
      <c r="L583" t="s">
        <v>353</v>
      </c>
      <c r="M583" t="s">
        <v>354</v>
      </c>
      <c r="N583" t="s">
        <v>27</v>
      </c>
      <c r="O583" t="s">
        <v>47</v>
      </c>
      <c r="P583" t="s">
        <v>1812</v>
      </c>
      <c r="Q583" t="s">
        <v>30</v>
      </c>
      <c r="R583">
        <v>4</v>
      </c>
      <c r="S583" s="15">
        <v>4080.95</v>
      </c>
      <c r="T583" s="4">
        <v>0</v>
      </c>
      <c r="U583" s="3" t="str">
        <f>IF(T583&lt;0, "negative_discount", IF(AND(T583&gt;0.5, T583&lt;=1), "high_discount", ""))</f>
        <v/>
      </c>
      <c r="V583" s="11">
        <v>16323.8</v>
      </c>
      <c r="W583" s="12">
        <v>16323.8</v>
      </c>
      <c r="X583" s="11">
        <v>9965.7900000000009</v>
      </c>
      <c r="Y583" s="11">
        <v>6358.01</v>
      </c>
      <c r="Z583" s="11">
        <f>ROUND(W583-X583,2)</f>
        <v>6358.01</v>
      </c>
      <c r="AA583" s="4">
        <f>IF(W583=0,0,Z583/W583)</f>
        <v>0.38949325524694006</v>
      </c>
      <c r="AB583" t="s">
        <v>99</v>
      </c>
      <c r="AC583" t="s">
        <v>100</v>
      </c>
      <c r="AD583" t="str">
        <f>IF(AND(E583="", T583&gt;=0, T583&lt;=0.5, K583&lt;&gt;"Unknown", Q583&lt;&gt;"Unknown"), "CLEAN", _xlfn.CONCAT("WARNING: ", IF(E583&lt;&gt;"","invalid_date",""), IF(T583&lt;0,"negative_discount",""), IF(AND(T583&gt;0.5,T583&lt;=1),"high_discount",""), IF(K583="Unknown","missing_region",""), IF(Q583="Unknown","missing_ship_mode","")))</f>
        <v>CLEAN</v>
      </c>
      <c r="AE583" t="str">
        <f>IF(COUNTIF($AF$2:$AF$926,AF583)&gt;1,"DUPLICATE","UNIQUE")</f>
        <v>UNIQUE</v>
      </c>
      <c r="AF583" t="str">
        <f>A583&amp;"|"&amp;B583&amp;"|"&amp;H583&amp;"|"&amp;I583&amp;"|"&amp;R583&amp;"|"&amp;S583&amp;"|"&amp;V583</f>
        <v>ORD-2025-10582|2025-08-09|CUST-9931|Neha Gupta|4|4080.95|16323.8</v>
      </c>
      <c r="AG583" t="str">
        <f>IF(COUNTIF($A$2:$A$913,A583)&gt;1,"TRUE","FALSE")</f>
        <v>FALSE</v>
      </c>
    </row>
    <row r="584" spans="1:33">
      <c r="A584" t="s">
        <v>1813</v>
      </c>
      <c r="B584" t="s">
        <v>1814</v>
      </c>
      <c r="C584" t="s">
        <v>1528</v>
      </c>
      <c r="D584">
        <f>IF(OR(B584="", C584=""), "", (C584 - B584))</f>
        <v>5</v>
      </c>
      <c r="E584" t="str">
        <f>IF(C584&lt;B584, "INVALID: Ship date before order date", "")</f>
        <v/>
      </c>
      <c r="F584" t="str">
        <f>IF(B584="", "", TEXT(B584, "mmmm"))</f>
        <v>October</v>
      </c>
      <c r="G584">
        <f>IF(B584="", "", YEAR(B584))</f>
        <v>2024</v>
      </c>
      <c r="H584" t="s">
        <v>1815</v>
      </c>
      <c r="I584" t="s">
        <v>61</v>
      </c>
      <c r="J584" t="s">
        <v>23</v>
      </c>
      <c r="K584" t="s">
        <v>37</v>
      </c>
      <c r="L584" t="s">
        <v>38</v>
      </c>
      <c r="M584" t="s">
        <v>39</v>
      </c>
      <c r="N584" t="s">
        <v>27</v>
      </c>
      <c r="O584" t="s">
        <v>47</v>
      </c>
      <c r="P584" t="s">
        <v>1816</v>
      </c>
      <c r="Q584" t="s">
        <v>49</v>
      </c>
      <c r="R584">
        <v>5</v>
      </c>
      <c r="S584" s="15">
        <v>671.24</v>
      </c>
      <c r="T584" s="4">
        <v>0</v>
      </c>
      <c r="U584" s="3" t="str">
        <f>IF(T584&lt;0, "negative_discount", IF(AND(T584&gt;0.5, T584&lt;=1), "high_discount", ""))</f>
        <v/>
      </c>
      <c r="V584" s="11">
        <v>3356.2</v>
      </c>
      <c r="W584" s="12">
        <v>3356.2</v>
      </c>
      <c r="X584" s="11">
        <v>2205.7199999999998</v>
      </c>
      <c r="Y584" s="11">
        <v>1150.48</v>
      </c>
      <c r="Z584" s="11">
        <f>ROUND(W584-X584,2)</f>
        <v>1150.48</v>
      </c>
      <c r="AA584" s="4">
        <f>IF(W584=0,0,Z584/W584)</f>
        <v>0.34279244383528995</v>
      </c>
      <c r="AB584" t="s">
        <v>109</v>
      </c>
      <c r="AC584" t="s">
        <v>100</v>
      </c>
      <c r="AD584" t="str">
        <f>IF(AND(E584="", T584&gt;=0, T584&lt;=0.5, K584&lt;&gt;"Unknown", Q584&lt;&gt;"Unknown"), "CLEAN", _xlfn.CONCAT("WARNING: ", IF(E584&lt;&gt;"","invalid_date",""), IF(T584&lt;0,"negative_discount",""), IF(AND(T584&gt;0.5,T584&lt;=1),"high_discount",""), IF(K584="Unknown","missing_region",""), IF(Q584="Unknown","missing_ship_mode","")))</f>
        <v>CLEAN</v>
      </c>
      <c r="AE584" t="str">
        <f>IF(COUNTIF($AF$2:$AF$926,AF584)&gt;1,"DUPLICATE","UNIQUE")</f>
        <v>UNIQUE</v>
      </c>
      <c r="AF584" t="str">
        <f>A584&amp;"|"&amp;B584&amp;"|"&amp;H584&amp;"|"&amp;I584&amp;"|"&amp;R584&amp;"|"&amp;S584&amp;"|"&amp;V584</f>
        <v>ORD-2024-10583|2024-10-15|CUST-2088|Ananya Rao|5|671.24|3356.2</v>
      </c>
      <c r="AG584" t="str">
        <f>IF(COUNTIF($A$2:$A$913,A584)&gt;1,"TRUE","FALSE")</f>
        <v>FALSE</v>
      </c>
    </row>
    <row r="585" spans="1:33">
      <c r="A585" t="s">
        <v>1817</v>
      </c>
      <c r="B585" t="s">
        <v>2764</v>
      </c>
      <c r="C585" t="s">
        <v>2764</v>
      </c>
      <c r="D585">
        <f>IF(OR(B585="", C585=""), "", (C585 - B585))</f>
        <v>0</v>
      </c>
      <c r="E585" t="str">
        <f>IF(C585&lt;B585, "INVALID: Ship date before order date", "")</f>
        <v/>
      </c>
      <c r="F585" t="str">
        <f>IF(B585="", "", TEXT(B585, "mmmm"))</f>
        <v>February</v>
      </c>
      <c r="G585">
        <f>IF(B585="", "", YEAR(B585))</f>
        <v>2024</v>
      </c>
      <c r="H585" t="s">
        <v>1818</v>
      </c>
      <c r="I585" t="s">
        <v>139</v>
      </c>
      <c r="J585" t="s">
        <v>36</v>
      </c>
      <c r="K585" t="s">
        <v>37</v>
      </c>
      <c r="L585" t="s">
        <v>96</v>
      </c>
      <c r="M585" t="s">
        <v>97</v>
      </c>
      <c r="N585" t="s">
        <v>27</v>
      </c>
      <c r="O585" t="s">
        <v>122</v>
      </c>
      <c r="P585" t="s">
        <v>1819</v>
      </c>
      <c r="Q585" t="s">
        <v>49</v>
      </c>
      <c r="R585">
        <v>1</v>
      </c>
      <c r="S585" s="15">
        <v>2626.84</v>
      </c>
      <c r="T585" s="4">
        <v>0.2</v>
      </c>
      <c r="U585" s="3" t="str">
        <f>IF(T585&lt;0, "negative_discount", IF(AND(T585&gt;0.5, T585&lt;=1), "high_discount", ""))</f>
        <v/>
      </c>
      <c r="V585" s="11">
        <v>2101.4699999999998</v>
      </c>
      <c r="W585" s="12">
        <v>2101.4699999999998</v>
      </c>
      <c r="X585" s="11">
        <v>1217.83</v>
      </c>
      <c r="Y585" s="11">
        <v>883.64</v>
      </c>
      <c r="Z585" s="11">
        <f>ROUND(W585-X585,2)</f>
        <v>883.64</v>
      </c>
      <c r="AA585" s="4">
        <f>IF(W585=0,0,Z585/W585)</f>
        <v>0.4204866117527255</v>
      </c>
      <c r="AB585" t="s">
        <v>151</v>
      </c>
      <c r="AC585" t="s">
        <v>100</v>
      </c>
      <c r="AD585" t="str">
        <f>IF(AND(E585="", T585&gt;=0, T585&lt;=0.5, K585&lt;&gt;"Unknown", Q585&lt;&gt;"Unknown"), "CLEAN", _xlfn.CONCAT("WARNING: ", IF(E585&lt;&gt;"","invalid_date",""), IF(T585&lt;0,"negative_discount",""), IF(AND(T585&gt;0.5,T585&lt;=1),"high_discount",""), IF(K585="Unknown","missing_region",""), IF(Q585="Unknown","missing_ship_mode","")))</f>
        <v>CLEAN</v>
      </c>
      <c r="AE585" t="str">
        <f>IF(COUNTIF($AF$2:$AF$926,AF585)&gt;1,"DUPLICATE","UNIQUE")</f>
        <v>UNIQUE</v>
      </c>
      <c r="AF585" t="str">
        <f>A585&amp;"|"&amp;B585&amp;"|"&amp;H585&amp;"|"&amp;I585&amp;"|"&amp;R585&amp;"|"&amp;S585&amp;"|"&amp;V585</f>
        <v>ORD-2024-10584|2024-02-28|CUST-1686|Rohan Mehta|1|2626.84|2101.47</v>
      </c>
      <c r="AG585" t="str">
        <f>IF(COUNTIF($A$2:$A$913,A585)&gt;1,"TRUE","FALSE")</f>
        <v>FALSE</v>
      </c>
    </row>
    <row r="586" spans="1:33">
      <c r="A586" t="s">
        <v>1820</v>
      </c>
      <c r="B586" t="s">
        <v>2841</v>
      </c>
      <c r="C586" t="s">
        <v>2895</v>
      </c>
      <c r="D586">
        <f>IF(OR(B586="", C586=""), "", (C586 - B586))</f>
        <v>65</v>
      </c>
      <c r="E586" t="str">
        <f>IF(C586&lt;B586, "INVALID: Ship date before order date", "")</f>
        <v/>
      </c>
      <c r="F586" t="str">
        <f>IF(B586="", "", TEXT(B586, "mmmm"))</f>
        <v>August</v>
      </c>
      <c r="G586">
        <f>IF(B586="", "", YEAR(B586))</f>
        <v>2024</v>
      </c>
      <c r="H586" t="s">
        <v>1821</v>
      </c>
      <c r="I586" t="s">
        <v>71</v>
      </c>
      <c r="J586" t="s">
        <v>23</v>
      </c>
      <c r="K586" t="s">
        <v>37</v>
      </c>
      <c r="L586" t="s">
        <v>142</v>
      </c>
      <c r="M586" t="s">
        <v>143</v>
      </c>
      <c r="N586" t="s">
        <v>27</v>
      </c>
      <c r="O586" t="s">
        <v>47</v>
      </c>
      <c r="P586" t="s">
        <v>1822</v>
      </c>
      <c r="Q586" t="s">
        <v>43</v>
      </c>
      <c r="R586">
        <v>1</v>
      </c>
      <c r="S586" s="15">
        <v>984.93</v>
      </c>
      <c r="T586" s="4">
        <v>0.15</v>
      </c>
      <c r="U586" s="3" t="str">
        <f>IF(T586&lt;0, "negative_discount", IF(AND(T586&gt;0.5, T586&lt;=1), "high_discount", ""))</f>
        <v/>
      </c>
      <c r="V586" s="11">
        <v>837.19</v>
      </c>
      <c r="W586" s="12">
        <v>837.19</v>
      </c>
      <c r="X586" s="11">
        <v>583.79</v>
      </c>
      <c r="Y586" s="11">
        <v>253.4</v>
      </c>
      <c r="Z586" s="11">
        <f>ROUND(W586-X586,2)</f>
        <v>253.4</v>
      </c>
      <c r="AA586" s="4">
        <f>IF(W586=0,0,Z586/W586)</f>
        <v>0.3026792006593485</v>
      </c>
      <c r="AB586" t="s">
        <v>109</v>
      </c>
      <c r="AC586" t="s">
        <v>100</v>
      </c>
      <c r="AD586" t="str">
        <f>IF(AND(E586="", T586&gt;=0, T586&lt;=0.5, K586&lt;&gt;"Unknown", Q586&lt;&gt;"Unknown"), "CLEAN", _xlfn.CONCAT("WARNING: ", IF(E586&lt;&gt;"","invalid_date",""), IF(T586&lt;0,"negative_discount",""), IF(AND(T586&gt;0.5,T586&lt;=1),"high_discount",""), IF(K586="Unknown","missing_region",""), IF(Q586="Unknown","missing_ship_mode","")))</f>
        <v>CLEAN</v>
      </c>
      <c r="AE586" t="str">
        <f>IF(COUNTIF($AF$2:$AF$926,AF586)&gt;1,"DUPLICATE","UNIQUE")</f>
        <v>UNIQUE</v>
      </c>
      <c r="AF586" t="str">
        <f>A586&amp;"|"&amp;B586&amp;"|"&amp;H586&amp;"|"&amp;I586&amp;"|"&amp;R586&amp;"|"&amp;S586&amp;"|"&amp;V586</f>
        <v>ORD-2024-10585|2024-08-04|CUST-4894|Vikram Iyer|1|984.93|837.19</v>
      </c>
      <c r="AG586" t="str">
        <f>IF(COUNTIF($A$2:$A$913,A586)&gt;1,"TRUE","FALSE")</f>
        <v>FALSE</v>
      </c>
    </row>
    <row r="587" spans="1:33">
      <c r="A587" t="s">
        <v>3237</v>
      </c>
      <c r="B587" t="s">
        <v>2393</v>
      </c>
      <c r="C587" t="s">
        <v>1823</v>
      </c>
      <c r="D587">
        <f>IF(OR(B587="", C587=""), "", (C587 - B587))</f>
        <v>3</v>
      </c>
      <c r="E587" t="str">
        <f>IF(C587&lt;B587, "INVALID: Ship date before order date", "")</f>
        <v/>
      </c>
      <c r="F587" t="str">
        <f>IF(B587="", "", TEXT(B587, "mmmm"))</f>
        <v>June</v>
      </c>
      <c r="G587">
        <f>IF(B587="", "", YEAR(B587))</f>
        <v>2025</v>
      </c>
      <c r="H587" t="s">
        <v>1824</v>
      </c>
      <c r="I587" t="s">
        <v>158</v>
      </c>
      <c r="J587" t="s">
        <v>36</v>
      </c>
      <c r="K587" t="s">
        <v>62</v>
      </c>
      <c r="L587" t="s">
        <v>63</v>
      </c>
      <c r="M587" t="s">
        <v>64</v>
      </c>
      <c r="N587" t="s">
        <v>74</v>
      </c>
      <c r="O587" t="s">
        <v>168</v>
      </c>
      <c r="P587" t="s">
        <v>1825</v>
      </c>
      <c r="Q587" t="s">
        <v>49</v>
      </c>
      <c r="R587">
        <v>8</v>
      </c>
      <c r="S587" s="15">
        <v>3453.66</v>
      </c>
      <c r="T587" s="4">
        <v>0</v>
      </c>
      <c r="U587" s="3" t="str">
        <f>IF(T587&lt;0, "negative_discount", IF(AND(T587&gt;0.5, T587&lt;=1), "high_discount", ""))</f>
        <v/>
      </c>
      <c r="V587" s="11">
        <v>27629.279999999999</v>
      </c>
      <c r="W587" s="12">
        <v>27629.279999999999</v>
      </c>
      <c r="X587" s="11">
        <v>22026.48</v>
      </c>
      <c r="Y587" s="11">
        <v>5602.8</v>
      </c>
      <c r="Z587" s="11">
        <f>ROUND(W587-X587,2)</f>
        <v>5602.8</v>
      </c>
      <c r="AA587" s="4">
        <f>IF(W587=0,0,Z587/W587)</f>
        <v>0.20278487170132556</v>
      </c>
      <c r="AB587" t="s">
        <v>31</v>
      </c>
      <c r="AC587" t="s">
        <v>32</v>
      </c>
      <c r="AD587" t="str">
        <f>IF(AND(E587="", T587&gt;=0, T587&lt;=0.5, K587&lt;&gt;"Unknown", Q587&lt;&gt;"Unknown"), "CLEAN", _xlfn.CONCAT("WARNING: ", IF(E587&lt;&gt;"","invalid_date",""), IF(T587&lt;0,"negative_discount",""), IF(AND(T587&gt;0.5,T587&lt;=1),"high_discount",""), IF(K587="Unknown","missing_region",""), IF(Q587="Unknown","missing_ship_mode","")))</f>
        <v>CLEAN</v>
      </c>
      <c r="AE587" t="str">
        <f>IF(COUNTIF($AF$2:$AF$926,AF587)&gt;1,"DUPLICATE","UNIQUE")</f>
        <v>UNIQUE</v>
      </c>
      <c r="AF587" t="str">
        <f>A587&amp;"|"&amp;B587&amp;"|"&amp;H587&amp;"|"&amp;I587&amp;"|"&amp;R587&amp;"|"&amp;S587&amp;"|"&amp;V587</f>
        <v>ORD-2025-10586|2025-06-22|CUST-5201|Diya Patel|8|3453.66|27629.28</v>
      </c>
      <c r="AG587" t="str">
        <f>IF(COUNTIF($A$2:$A$913,A587)&gt;1,"TRUE","FALSE")</f>
        <v>FALSE</v>
      </c>
    </row>
    <row r="588" spans="1:33">
      <c r="A588" t="s">
        <v>3238</v>
      </c>
      <c r="B588" t="s">
        <v>2842</v>
      </c>
      <c r="C588" t="s">
        <v>1378</v>
      </c>
      <c r="D588">
        <f>IF(OR(B588="", C588=""), "", (C588 - B588))</f>
        <v>-236</v>
      </c>
      <c r="E588" t="str">
        <f>IF(C588&lt;B588, "INVALID: Ship date before order date", "")</f>
        <v>INVALID: Ship date before order date</v>
      </c>
      <c r="F588" t="str">
        <f>IF(B588="", "", TEXT(B588, "mmmm"))</f>
        <v>December</v>
      </c>
      <c r="G588">
        <f>IF(B588="", "", YEAR(B588))</f>
        <v>2025</v>
      </c>
      <c r="H588" t="s">
        <v>1826</v>
      </c>
      <c r="I588" t="s">
        <v>35</v>
      </c>
      <c r="J588" t="s">
        <v>93</v>
      </c>
      <c r="K588" t="s">
        <v>24</v>
      </c>
      <c r="L588" t="s">
        <v>120</v>
      </c>
      <c r="M588" t="s">
        <v>121</v>
      </c>
      <c r="N588" t="s">
        <v>27</v>
      </c>
      <c r="O588" t="s">
        <v>149</v>
      </c>
      <c r="P588" t="s">
        <v>1827</v>
      </c>
      <c r="Q588" t="s">
        <v>30</v>
      </c>
      <c r="R588">
        <v>7</v>
      </c>
      <c r="S588" s="15">
        <v>1334.2</v>
      </c>
      <c r="T588" s="4">
        <v>0.2</v>
      </c>
      <c r="U588" s="3" t="str">
        <f>IF(T588&lt;0, "negative_discount", IF(AND(T588&gt;0.5, T588&lt;=1), "high_discount", ""))</f>
        <v/>
      </c>
      <c r="V588" s="11">
        <v>7471.52</v>
      </c>
      <c r="W588" s="12">
        <v>7471.52</v>
      </c>
      <c r="X588" s="11">
        <v>6184.32</v>
      </c>
      <c r="Y588" s="11">
        <v>1287.2</v>
      </c>
      <c r="Z588" s="11">
        <f>ROUND(W588-X588,2)</f>
        <v>1287.2</v>
      </c>
      <c r="AA588" s="4">
        <f>IF(W588=0,0,Z588/W588)</f>
        <v>0.17228087457438379</v>
      </c>
      <c r="AB588" t="s">
        <v>31</v>
      </c>
      <c r="AC588" t="s">
        <v>32</v>
      </c>
      <c r="AD588" t="str">
        <f>IF(AND(E588="", T588&gt;=0, T588&lt;=0.5, K588&lt;&gt;"Unknown", Q588&lt;&gt;"Unknown"), "CLEAN", _xlfn.CONCAT("WARNING: ", IF(E588&lt;&gt;"","invalid_date",""), IF(T588&lt;0,"negative_discount",""), IF(AND(T588&gt;0.5,T588&lt;=1),"high_discount",""), IF(K588="Unknown","missing_region",""), IF(Q588="Unknown","missing_ship_mode","")))</f>
        <v>WARNING: invalid_date</v>
      </c>
      <c r="AE588" t="str">
        <f>IF(COUNTIF($AF$2:$AF$926,AF588)&gt;1,"DUPLICATE","UNIQUE")</f>
        <v>UNIQUE</v>
      </c>
      <c r="AF588" t="str">
        <f>A588&amp;"|"&amp;B588&amp;"|"&amp;H588&amp;"|"&amp;I588&amp;"|"&amp;R588&amp;"|"&amp;S588&amp;"|"&amp;V588</f>
        <v>ORD-2025-10587|2025-12-04|CUST-8626|Mira Das|7|1334.2|7471.52</v>
      </c>
      <c r="AG588" t="str">
        <f>IF(COUNTIF($A$2:$A$913,A588)&gt;1,"TRUE","FALSE")</f>
        <v>FALSE</v>
      </c>
    </row>
    <row r="589" spans="1:33">
      <c r="A589" t="s">
        <v>3239</v>
      </c>
      <c r="B589" t="s">
        <v>717</v>
      </c>
      <c r="C589" t="s">
        <v>1828</v>
      </c>
      <c r="D589">
        <f>IF(OR(B589="", C589=""), "", (C589 - B589))</f>
        <v>8</v>
      </c>
      <c r="E589" t="str">
        <f>IF(C589&lt;B589, "INVALID: Ship date before order date", "")</f>
        <v/>
      </c>
      <c r="F589" t="str">
        <f>IF(B589="", "", TEXT(B589, "mmmm"))</f>
        <v>July</v>
      </c>
      <c r="G589">
        <f>IF(B589="", "", YEAR(B589))</f>
        <v>2025</v>
      </c>
      <c r="H589" t="s">
        <v>1829</v>
      </c>
      <c r="I589" t="s">
        <v>263</v>
      </c>
      <c r="J589" t="s">
        <v>93</v>
      </c>
      <c r="K589" t="s">
        <v>62</v>
      </c>
      <c r="L589" t="s">
        <v>72</v>
      </c>
      <c r="M589" t="s">
        <v>73</v>
      </c>
      <c r="N589" t="s">
        <v>74</v>
      </c>
      <c r="O589" t="s">
        <v>75</v>
      </c>
      <c r="P589" t="s">
        <v>1830</v>
      </c>
      <c r="Q589" t="s">
        <v>49</v>
      </c>
      <c r="R589">
        <v>1</v>
      </c>
      <c r="S589" s="15">
        <v>4253.84</v>
      </c>
      <c r="T589" s="4">
        <v>0.15</v>
      </c>
      <c r="U589" s="3" t="str">
        <f>IF(T589&lt;0, "negative_discount", IF(AND(T589&gt;0.5, T589&lt;=1), "high_discount", ""))</f>
        <v/>
      </c>
      <c r="V589" s="11">
        <v>3615.76</v>
      </c>
      <c r="W589" s="12">
        <v>3615.76</v>
      </c>
      <c r="X589" s="11">
        <v>2951.52</v>
      </c>
      <c r="Y589" s="11">
        <v>664.24</v>
      </c>
      <c r="Z589" s="11">
        <f>ROUND(W589-X589,2)</f>
        <v>664.24</v>
      </c>
      <c r="AA589" s="4">
        <f>IF(W589=0,0,Z589/W589)</f>
        <v>0.18370688320021239</v>
      </c>
      <c r="AB589" t="s">
        <v>99</v>
      </c>
      <c r="AC589" t="s">
        <v>67</v>
      </c>
      <c r="AD589" t="str">
        <f>IF(AND(E589="", T589&gt;=0, T589&lt;=0.5, K589&lt;&gt;"Unknown", Q589&lt;&gt;"Unknown"), "CLEAN", _xlfn.CONCAT("WARNING: ", IF(E589&lt;&gt;"","invalid_date",""), IF(T589&lt;0,"negative_discount",""), IF(AND(T589&gt;0.5,T589&lt;=1),"high_discount",""), IF(K589="Unknown","missing_region",""), IF(Q589="Unknown","missing_ship_mode","")))</f>
        <v>CLEAN</v>
      </c>
      <c r="AE589" t="str">
        <f>IF(COUNTIF($AF$2:$AF$926,AF589)&gt;1,"DUPLICATE","UNIQUE")</f>
        <v>UNIQUE</v>
      </c>
      <c r="AF589" t="str">
        <f>A589&amp;"|"&amp;B589&amp;"|"&amp;H589&amp;"|"&amp;I589&amp;"|"&amp;R589&amp;"|"&amp;S589&amp;"|"&amp;V589</f>
        <v>ORD-2025-10588|2025-07-23|CUST-1013|Kabir Singh|1|4253.84|3615.76</v>
      </c>
      <c r="AG589" t="str">
        <f>IF(COUNTIF($A$2:$A$913,A589)&gt;1,"TRUE","FALSE")</f>
        <v>FALSE</v>
      </c>
    </row>
    <row r="590" spans="1:33">
      <c r="A590" t="s">
        <v>3240</v>
      </c>
      <c r="B590" t="s">
        <v>1831</v>
      </c>
      <c r="C590" t="s">
        <v>1358</v>
      </c>
      <c r="D590">
        <f>IF(OR(B590="", C590=""), "", (C590 - B590))</f>
        <v>4</v>
      </c>
      <c r="E590" t="str">
        <f>IF(C590&lt;B590, "INVALID: Ship date before order date", "")</f>
        <v/>
      </c>
      <c r="F590" t="str">
        <f>IF(B590="", "", TEXT(B590, "mmmm"))</f>
        <v>March</v>
      </c>
      <c r="G590">
        <f>IF(B590="", "", YEAR(B590))</f>
        <v>2025</v>
      </c>
      <c r="H590" t="s">
        <v>1832</v>
      </c>
      <c r="I590" t="s">
        <v>126</v>
      </c>
      <c r="J590" t="s">
        <v>93</v>
      </c>
      <c r="K590" t="s">
        <v>53</v>
      </c>
      <c r="L590" t="s">
        <v>171</v>
      </c>
      <c r="M590" t="s">
        <v>172</v>
      </c>
      <c r="N590" t="s">
        <v>74</v>
      </c>
      <c r="O590" t="s">
        <v>75</v>
      </c>
      <c r="P590" t="s">
        <v>1833</v>
      </c>
      <c r="Q590" t="s">
        <v>30</v>
      </c>
      <c r="R590">
        <v>8</v>
      </c>
      <c r="S590" s="15">
        <v>4446.3599999999997</v>
      </c>
      <c r="T590" s="4">
        <v>0.1</v>
      </c>
      <c r="U590" s="3" t="str">
        <f>IF(T590&lt;0, "negative_discount", IF(AND(T590&gt;0.5, T590&lt;=1), "high_discount", ""))</f>
        <v/>
      </c>
      <c r="V590" s="11">
        <v>32013.79</v>
      </c>
      <c r="W590" s="12">
        <v>32013.79</v>
      </c>
      <c r="X590" s="11">
        <v>20896.88</v>
      </c>
      <c r="Y590" s="11">
        <v>11116.91</v>
      </c>
      <c r="Z590" s="11">
        <f>ROUND(W590-X590,2)</f>
        <v>11116.91</v>
      </c>
      <c r="AA590" s="4">
        <f>IF(W590=0,0,Z590/W590)</f>
        <v>0.3472537928186572</v>
      </c>
      <c r="AB590" t="s">
        <v>99</v>
      </c>
      <c r="AC590" t="s">
        <v>67</v>
      </c>
      <c r="AD590" t="str">
        <f>IF(AND(E590="", T590&gt;=0, T590&lt;=0.5, K590&lt;&gt;"Unknown", Q590&lt;&gt;"Unknown"), "CLEAN", _xlfn.CONCAT("WARNING: ", IF(E590&lt;&gt;"","invalid_date",""), IF(T590&lt;0,"negative_discount",""), IF(AND(T590&gt;0.5,T590&lt;=1),"high_discount",""), IF(K590="Unknown","missing_region",""), IF(Q590="Unknown","missing_ship_mode","")))</f>
        <v>CLEAN</v>
      </c>
      <c r="AE590" t="str">
        <f>IF(COUNTIF($AF$2:$AF$926,AF590)&gt;1,"DUPLICATE","UNIQUE")</f>
        <v>UNIQUE</v>
      </c>
      <c r="AF590" t="str">
        <f>A590&amp;"|"&amp;B590&amp;"|"&amp;H590&amp;"|"&amp;I590&amp;"|"&amp;R590&amp;"|"&amp;S590&amp;"|"&amp;V590</f>
        <v>ORD-2025-10589|2025-03-11|CUST-3601|Aarav Sharma|8|4446.36|32013.79</v>
      </c>
      <c r="AG590" t="str">
        <f>IF(COUNTIF($A$2:$A$913,A590)&gt;1,"TRUE","FALSE")</f>
        <v>FALSE</v>
      </c>
    </row>
    <row r="591" spans="1:33">
      <c r="A591" t="s">
        <v>1834</v>
      </c>
      <c r="B591" t="s">
        <v>1085</v>
      </c>
      <c r="C591" t="s">
        <v>2884</v>
      </c>
      <c r="D591">
        <f>IF(OR(B591="", C591=""), "", (C591 - B591))</f>
        <v>6</v>
      </c>
      <c r="E591" t="str">
        <f>IF(C591&lt;B591, "INVALID: Ship date before order date", "")</f>
        <v/>
      </c>
      <c r="F591" t="str">
        <f>IF(B591="", "", TEXT(B591, "mmmm"))</f>
        <v>December</v>
      </c>
      <c r="G591">
        <f>IF(B591="", "", YEAR(B591))</f>
        <v>2024</v>
      </c>
      <c r="H591" t="s">
        <v>1835</v>
      </c>
      <c r="I591" t="s">
        <v>139</v>
      </c>
      <c r="J591" t="s">
        <v>89</v>
      </c>
      <c r="K591" t="s">
        <v>24</v>
      </c>
      <c r="L591" t="s">
        <v>134</v>
      </c>
      <c r="M591" t="s">
        <v>135</v>
      </c>
      <c r="N591" t="s">
        <v>74</v>
      </c>
      <c r="O591" t="s">
        <v>168</v>
      </c>
      <c r="P591" t="s">
        <v>1836</v>
      </c>
      <c r="Q591" t="s">
        <v>49</v>
      </c>
      <c r="R591">
        <v>3</v>
      </c>
      <c r="S591" s="15">
        <v>524.75</v>
      </c>
      <c r="T591" s="4">
        <v>0</v>
      </c>
      <c r="U591" s="3" t="str">
        <f>IF(T591&lt;0, "negative_discount", IF(AND(T591&gt;0.5, T591&lt;=1), "high_discount", ""))</f>
        <v/>
      </c>
      <c r="V591" s="11">
        <v>1574.25</v>
      </c>
      <c r="W591" s="12">
        <v>1574.25</v>
      </c>
      <c r="X591" s="11">
        <v>1326.12</v>
      </c>
      <c r="Y591" s="11">
        <v>248.13</v>
      </c>
      <c r="Z591" s="11">
        <f>ROUND(W591-X591,2)</f>
        <v>248.13</v>
      </c>
      <c r="AA591" s="4">
        <f>IF(W591=0,0,Z591/W591)</f>
        <v>0.15761791329204383</v>
      </c>
      <c r="AB591" t="s">
        <v>31</v>
      </c>
      <c r="AC591" t="s">
        <v>32</v>
      </c>
      <c r="AD591" t="str">
        <f>IF(AND(E591="", T591&gt;=0, T591&lt;=0.5, K591&lt;&gt;"Unknown", Q591&lt;&gt;"Unknown"), "CLEAN", _xlfn.CONCAT("WARNING: ", IF(E591&lt;&gt;"","invalid_date",""), IF(T591&lt;0,"negative_discount",""), IF(AND(T591&gt;0.5,T591&lt;=1),"high_discount",""), IF(K591="Unknown","missing_region",""), IF(Q591="Unknown","missing_ship_mode","")))</f>
        <v>CLEAN</v>
      </c>
      <c r="AE591" t="str">
        <f>IF(COUNTIF($AF$2:$AF$926,AF591)&gt;1,"DUPLICATE","UNIQUE")</f>
        <v>UNIQUE</v>
      </c>
      <c r="AF591" t="str">
        <f>A591&amp;"|"&amp;B591&amp;"|"&amp;H591&amp;"|"&amp;I591&amp;"|"&amp;R591&amp;"|"&amp;S591&amp;"|"&amp;V591</f>
        <v>ORD-2024-10590|2024-12-06|CUST-7846|Rohan Mehta|3|524.75|1574.25</v>
      </c>
      <c r="AG591" t="str">
        <f>IF(COUNTIF($A$2:$A$913,A591)&gt;1,"TRUE","FALSE")</f>
        <v>FALSE</v>
      </c>
    </row>
    <row r="592" spans="1:33">
      <c r="A592" t="s">
        <v>1837</v>
      </c>
      <c r="B592" t="s">
        <v>1838</v>
      </c>
      <c r="C592" t="s">
        <v>1838</v>
      </c>
      <c r="D592">
        <f>IF(OR(B592="", C592=""), "", (C592 - B592))</f>
        <v>0</v>
      </c>
      <c r="E592" t="str">
        <f>IF(C592&lt;B592, "INVALID: Ship date before order date", "")</f>
        <v/>
      </c>
      <c r="F592" t="str">
        <f>IF(B592="", "", TEXT(B592, "mmmm"))</f>
        <v>May</v>
      </c>
      <c r="G592">
        <f>IF(B592="", "", YEAR(B592))</f>
        <v>2024</v>
      </c>
      <c r="H592" t="s">
        <v>1839</v>
      </c>
      <c r="I592" t="s">
        <v>126</v>
      </c>
      <c r="J592" t="s">
        <v>93</v>
      </c>
      <c r="K592" t="s">
        <v>24</v>
      </c>
      <c r="L592" t="s">
        <v>353</v>
      </c>
      <c r="M592" t="s">
        <v>354</v>
      </c>
      <c r="N592" t="s">
        <v>40</v>
      </c>
      <c r="O592" t="s">
        <v>65</v>
      </c>
      <c r="P592" t="s">
        <v>1840</v>
      </c>
      <c r="Q592" t="s">
        <v>43</v>
      </c>
      <c r="R592">
        <v>6</v>
      </c>
      <c r="S592" s="15">
        <v>3430.35</v>
      </c>
      <c r="T592" s="4">
        <v>0</v>
      </c>
      <c r="U592" s="3" t="str">
        <f>IF(T592&lt;0, "negative_discount", IF(AND(T592&gt;0.5, T592&lt;=1), "high_discount", ""))</f>
        <v/>
      </c>
      <c r="V592" s="11">
        <v>20582.099999999999</v>
      </c>
      <c r="W592" s="12">
        <v>20582.099999999999</v>
      </c>
      <c r="X592" s="11">
        <v>15897.65</v>
      </c>
      <c r="Y592" s="11">
        <v>4684.45</v>
      </c>
      <c r="Z592" s="11">
        <f>ROUND(W592-X592,2)</f>
        <v>4684.45</v>
      </c>
      <c r="AA592" s="4">
        <f>IF(W592=0,0,Z592/W592)</f>
        <v>0.22759825285077812</v>
      </c>
      <c r="AB592" t="s">
        <v>109</v>
      </c>
      <c r="AC592" t="s">
        <v>67</v>
      </c>
      <c r="AD592" t="str">
        <f>IF(AND(E592="", T592&gt;=0, T592&lt;=0.5, K592&lt;&gt;"Unknown", Q592&lt;&gt;"Unknown"), "CLEAN", _xlfn.CONCAT("WARNING: ", IF(E592&lt;&gt;"","invalid_date",""), IF(T592&lt;0,"negative_discount",""), IF(AND(T592&gt;0.5,T592&lt;=1),"high_discount",""), IF(K592="Unknown","missing_region",""), IF(Q592="Unknown","missing_ship_mode","")))</f>
        <v>CLEAN</v>
      </c>
      <c r="AE592" t="str">
        <f>IF(COUNTIF($AF$2:$AF$926,AF592)&gt;1,"DUPLICATE","UNIQUE")</f>
        <v>UNIQUE</v>
      </c>
      <c r="AF592" t="str">
        <f>A592&amp;"|"&amp;B592&amp;"|"&amp;H592&amp;"|"&amp;I592&amp;"|"&amp;R592&amp;"|"&amp;S592&amp;"|"&amp;V592</f>
        <v>ORD-2024-10591|2024-05-29|CUST-3433|Aarav Sharma|6|3430.35|20582.1</v>
      </c>
      <c r="AG592" t="str">
        <f>IF(COUNTIF($A$2:$A$913,A592)&gt;1,"TRUE","FALSE")</f>
        <v>FALSE</v>
      </c>
    </row>
    <row r="593" spans="1:33">
      <c r="A593" t="s">
        <v>1841</v>
      </c>
      <c r="B593" t="s">
        <v>1842</v>
      </c>
      <c r="C593" t="s">
        <v>2945</v>
      </c>
      <c r="D593">
        <f>IF(OR(B593="", C593=""), "", (C593 - B593))</f>
        <v>2</v>
      </c>
      <c r="E593" t="str">
        <f>IF(C593&lt;B593, "INVALID: Ship date before order date", "")</f>
        <v/>
      </c>
      <c r="F593" t="str">
        <f>IF(B593="", "", TEXT(B593, "mmmm"))</f>
        <v>February</v>
      </c>
      <c r="G593">
        <f>IF(B593="", "", YEAR(B593))</f>
        <v>2024</v>
      </c>
      <c r="H593" t="s">
        <v>1843</v>
      </c>
      <c r="I593" t="s">
        <v>131</v>
      </c>
      <c r="J593" t="s">
        <v>23</v>
      </c>
      <c r="K593" t="s">
        <v>53</v>
      </c>
      <c r="L593" t="s">
        <v>171</v>
      </c>
      <c r="M593" t="s">
        <v>172</v>
      </c>
      <c r="N593" t="s">
        <v>74</v>
      </c>
      <c r="O593" t="s">
        <v>79</v>
      </c>
      <c r="P593" t="s">
        <v>1844</v>
      </c>
      <c r="Q593" t="s">
        <v>49</v>
      </c>
      <c r="R593">
        <v>3</v>
      </c>
      <c r="S593" s="15">
        <v>3545.08</v>
      </c>
      <c r="T593" s="4">
        <v>0</v>
      </c>
      <c r="U593" s="3" t="str">
        <f>IF(T593&lt;0, "negative_discount", IF(AND(T593&gt;0.5, T593&lt;=1), "high_discount", ""))</f>
        <v/>
      </c>
      <c r="V593" s="11">
        <v>10635.24</v>
      </c>
      <c r="W593" s="12">
        <v>10635.24</v>
      </c>
      <c r="X593" s="11">
        <v>6031.88</v>
      </c>
      <c r="Y593" s="11">
        <v>4603.3599999999997</v>
      </c>
      <c r="Z593" s="11">
        <f>ROUND(W593-X593,2)</f>
        <v>4603.3599999999997</v>
      </c>
      <c r="AA593" s="4">
        <f>IF(W593=0,0,Z593/W593)</f>
        <v>0.43284025560307055</v>
      </c>
      <c r="AB593" t="s">
        <v>151</v>
      </c>
      <c r="AC593" t="s">
        <v>100</v>
      </c>
      <c r="AD593" t="str">
        <f>IF(AND(E593="", T593&gt;=0, T593&lt;=0.5, K593&lt;&gt;"Unknown", Q593&lt;&gt;"Unknown"), "CLEAN", _xlfn.CONCAT("WARNING: ", IF(E593&lt;&gt;"","invalid_date",""), IF(T593&lt;0,"negative_discount",""), IF(AND(T593&gt;0.5,T593&lt;=1),"high_discount",""), IF(K593="Unknown","missing_region",""), IF(Q593="Unknown","missing_ship_mode","")))</f>
        <v>CLEAN</v>
      </c>
      <c r="AE593" t="str">
        <f>IF(COUNTIF($AF$2:$AF$926,AF593)&gt;1,"DUPLICATE","UNIQUE")</f>
        <v>UNIQUE</v>
      </c>
      <c r="AF593" t="str">
        <f>A593&amp;"|"&amp;B593&amp;"|"&amp;H593&amp;"|"&amp;I593&amp;"|"&amp;R593&amp;"|"&amp;S593&amp;"|"&amp;V593</f>
        <v>ORD-2024-10592|2024-02-22|CUST-2423|Sneha Kapoor|3|3545.08|10635.24</v>
      </c>
      <c r="AG593" t="str">
        <f>IF(COUNTIF($A$2:$A$913,A593)&gt;1,"TRUE","FALSE")</f>
        <v>FALSE</v>
      </c>
    </row>
    <row r="594" spans="1:33">
      <c r="A594" t="s">
        <v>1845</v>
      </c>
      <c r="B594" t="s">
        <v>1639</v>
      </c>
      <c r="C594" t="s">
        <v>599</v>
      </c>
      <c r="D594">
        <f>IF(OR(B594="", C594=""), "", (C594 - B594))</f>
        <v>-25</v>
      </c>
      <c r="E594" t="str">
        <f>IF(C594&lt;B594, "INVALID: Ship date before order date", "")</f>
        <v>INVALID: Ship date before order date</v>
      </c>
      <c r="F594" t="str">
        <f>IF(B594="", "", TEXT(B594, "mmmm"))</f>
        <v>April</v>
      </c>
      <c r="G594">
        <f>IF(B594="", "", YEAR(B594))</f>
        <v>2024</v>
      </c>
      <c r="H594" t="s">
        <v>1846</v>
      </c>
      <c r="I594" t="s">
        <v>35</v>
      </c>
      <c r="J594" t="s">
        <v>23</v>
      </c>
      <c r="K594" t="s">
        <v>37</v>
      </c>
      <c r="L594" t="s">
        <v>96</v>
      </c>
      <c r="M594" t="s">
        <v>97</v>
      </c>
      <c r="N594" t="s">
        <v>74</v>
      </c>
      <c r="O594" t="s">
        <v>75</v>
      </c>
      <c r="P594" t="s">
        <v>1847</v>
      </c>
      <c r="Q594" t="s">
        <v>43</v>
      </c>
      <c r="R594">
        <v>8</v>
      </c>
      <c r="S594" s="15">
        <v>4401.41</v>
      </c>
      <c r="T594" s="4">
        <v>0.15</v>
      </c>
      <c r="U594" s="3" t="str">
        <f>IF(T594&lt;0, "negative_discount", IF(AND(T594&gt;0.5, T594&lt;=1), "high_discount", ""))</f>
        <v/>
      </c>
      <c r="V594" s="11">
        <v>29929.59</v>
      </c>
      <c r="W594" s="12">
        <v>29929.59</v>
      </c>
      <c r="X594" s="11">
        <v>22436.03</v>
      </c>
      <c r="Y594" s="11">
        <v>7493.56</v>
      </c>
      <c r="Z594" s="11">
        <f>ROUND(W594-X594,2)</f>
        <v>7493.56</v>
      </c>
      <c r="AA594" s="4">
        <f>IF(W594=0,0,Z594/W594)</f>
        <v>0.25037295866732556</v>
      </c>
      <c r="AB594" t="s">
        <v>31</v>
      </c>
      <c r="AC594" t="s">
        <v>32</v>
      </c>
      <c r="AD594" t="str">
        <f>IF(AND(E594="", T594&gt;=0, T594&lt;=0.5, K594&lt;&gt;"Unknown", Q594&lt;&gt;"Unknown"), "CLEAN", _xlfn.CONCAT("WARNING: ", IF(E594&lt;&gt;"","invalid_date",""), IF(T594&lt;0,"negative_discount",""), IF(AND(T594&gt;0.5,T594&lt;=1),"high_discount",""), IF(K594="Unknown","missing_region",""), IF(Q594="Unknown","missing_ship_mode","")))</f>
        <v>WARNING: invalid_date</v>
      </c>
      <c r="AE594" t="str">
        <f>IF(COUNTIF($AF$2:$AF$926,AF594)&gt;1,"DUPLICATE","UNIQUE")</f>
        <v>UNIQUE</v>
      </c>
      <c r="AF594" t="str">
        <f>A594&amp;"|"&amp;B594&amp;"|"&amp;H594&amp;"|"&amp;I594&amp;"|"&amp;R594&amp;"|"&amp;S594&amp;"|"&amp;V594</f>
        <v>ORD-2024-10593|2024-04-03|CUST-3559|Mira Das|8|4401.41|29929.59</v>
      </c>
      <c r="AG594" t="str">
        <f>IF(COUNTIF($A$2:$A$913,A594)&gt;1,"TRUE","FALSE")</f>
        <v>FALSE</v>
      </c>
    </row>
    <row r="595" spans="1:33">
      <c r="A595" t="s">
        <v>3241</v>
      </c>
      <c r="B595" t="s">
        <v>345</v>
      </c>
      <c r="C595" t="s">
        <v>1848</v>
      </c>
      <c r="D595">
        <f>IF(OR(B595="", C595=""), "", (C595 - B595))</f>
        <v>2</v>
      </c>
      <c r="E595" t="str">
        <f>IF(C595&lt;B595, "INVALID: Ship date before order date", "")</f>
        <v/>
      </c>
      <c r="F595" t="str">
        <f>IF(B595="", "", TEXT(B595, "mmmm"))</f>
        <v>September</v>
      </c>
      <c r="G595">
        <f>IF(B595="", "", YEAR(B595))</f>
        <v>2025</v>
      </c>
      <c r="H595" t="s">
        <v>1636</v>
      </c>
      <c r="I595" t="s">
        <v>52</v>
      </c>
      <c r="J595" t="s">
        <v>93</v>
      </c>
      <c r="K595" t="s">
        <v>24</v>
      </c>
      <c r="L595" t="s">
        <v>134</v>
      </c>
      <c r="M595" t="s">
        <v>135</v>
      </c>
      <c r="N595" t="s">
        <v>40</v>
      </c>
      <c r="O595" t="s">
        <v>41</v>
      </c>
      <c r="P595" t="s">
        <v>1849</v>
      </c>
      <c r="Q595" t="s">
        <v>30</v>
      </c>
      <c r="R595">
        <v>9</v>
      </c>
      <c r="S595" s="15">
        <v>4100.1099999999997</v>
      </c>
      <c r="T595" s="4">
        <v>0.25</v>
      </c>
      <c r="U595" s="3" t="str">
        <f>IF(T595&lt;0, "negative_discount", IF(AND(T595&gt;0.5, T595&lt;=1), "high_discount", ""))</f>
        <v/>
      </c>
      <c r="V595" s="11">
        <v>27675.74</v>
      </c>
      <c r="W595" s="12">
        <v>27675.74</v>
      </c>
      <c r="X595" s="11">
        <v>15571.08</v>
      </c>
      <c r="Y595" s="11">
        <v>12104.66</v>
      </c>
      <c r="Z595" s="11">
        <f>ROUND(W595-X595,2)</f>
        <v>12104.66</v>
      </c>
      <c r="AA595" s="4">
        <f>IF(W595=0,0,Z595/W595)</f>
        <v>0.43737439360248359</v>
      </c>
      <c r="AB595" t="s">
        <v>31</v>
      </c>
      <c r="AC595" t="s">
        <v>32</v>
      </c>
      <c r="AD595" t="str">
        <f>IF(AND(E595="", T595&gt;=0, T595&lt;=0.5, K595&lt;&gt;"Unknown", Q595&lt;&gt;"Unknown"), "CLEAN", _xlfn.CONCAT("WARNING: ", IF(E595&lt;&gt;"","invalid_date",""), IF(T595&lt;0,"negative_discount",""), IF(AND(T595&gt;0.5,T595&lt;=1),"high_discount",""), IF(K595="Unknown","missing_region",""), IF(Q595="Unknown","missing_ship_mode","")))</f>
        <v>CLEAN</v>
      </c>
      <c r="AE595" t="str">
        <f>IF(COUNTIF($AF$2:$AF$926,AF595)&gt;1,"DUPLICATE","UNIQUE")</f>
        <v>UNIQUE</v>
      </c>
      <c r="AF595" t="str">
        <f>A595&amp;"|"&amp;B595&amp;"|"&amp;H595&amp;"|"&amp;I595&amp;"|"&amp;R595&amp;"|"&amp;S595&amp;"|"&amp;V595</f>
        <v>ORD-2025-10594|2025-09-27|CUST-2917|Arjun Bose|9|4100.11|27675.74</v>
      </c>
      <c r="AG595" t="str">
        <f>IF(COUNTIF($A$2:$A$913,A595)&gt;1,"TRUE","FALSE")</f>
        <v>FALSE</v>
      </c>
    </row>
    <row r="596" spans="1:33">
      <c r="A596" t="s">
        <v>1850</v>
      </c>
      <c r="B596" t="s">
        <v>1851</v>
      </c>
      <c r="C596" t="s">
        <v>739</v>
      </c>
      <c r="D596">
        <f>IF(OR(B596="", C596=""), "", (C596 - B596))</f>
        <v>2</v>
      </c>
      <c r="E596" t="str">
        <f>IF(C596&lt;B596, "INVALID: Ship date before order date", "")</f>
        <v/>
      </c>
      <c r="F596" t="str">
        <f>IF(B596="", "", TEXT(B596, "mmmm"))</f>
        <v>September</v>
      </c>
      <c r="G596">
        <f>IF(B596="", "", YEAR(B596))</f>
        <v>2024</v>
      </c>
      <c r="H596" t="s">
        <v>1852</v>
      </c>
      <c r="I596" t="s">
        <v>22</v>
      </c>
      <c r="J596" t="s">
        <v>36</v>
      </c>
      <c r="K596" t="s">
        <v>37</v>
      </c>
      <c r="L596" t="s">
        <v>96</v>
      </c>
      <c r="M596" t="s">
        <v>97</v>
      </c>
      <c r="N596" t="s">
        <v>40</v>
      </c>
      <c r="O596" t="s">
        <v>65</v>
      </c>
      <c r="P596" t="s">
        <v>1853</v>
      </c>
      <c r="Q596" t="s">
        <v>49</v>
      </c>
      <c r="R596">
        <v>3</v>
      </c>
      <c r="S596" s="15">
        <v>3981.76</v>
      </c>
      <c r="T596" s="4">
        <v>0</v>
      </c>
      <c r="U596" s="3" t="str">
        <f>IF(T596&lt;0, "negative_discount", IF(AND(T596&gt;0.5, T596&lt;=1), "high_discount", ""))</f>
        <v/>
      </c>
      <c r="V596" s="11">
        <v>11945.28</v>
      </c>
      <c r="W596" s="12">
        <v>11945.28</v>
      </c>
      <c r="X596" s="11">
        <v>9700.31</v>
      </c>
      <c r="Y596" s="11">
        <v>2244.9699999999998</v>
      </c>
      <c r="Z596" s="11">
        <f>ROUND(W596-X596,2)</f>
        <v>2244.9699999999998</v>
      </c>
      <c r="AA596" s="4">
        <f>IF(W596=0,0,Z596/W596)</f>
        <v>0.18793782983739182</v>
      </c>
      <c r="AB596" t="s">
        <v>31</v>
      </c>
      <c r="AC596" t="s">
        <v>32</v>
      </c>
      <c r="AD596" t="str">
        <f>IF(AND(E596="", T596&gt;=0, T596&lt;=0.5, K596&lt;&gt;"Unknown", Q596&lt;&gt;"Unknown"), "CLEAN", _xlfn.CONCAT("WARNING: ", IF(E596&lt;&gt;"","invalid_date",""), IF(T596&lt;0,"negative_discount",""), IF(AND(T596&gt;0.5,T596&lt;=1),"high_discount",""), IF(K596="Unknown","missing_region",""), IF(Q596="Unknown","missing_ship_mode","")))</f>
        <v>CLEAN</v>
      </c>
      <c r="AE596" t="str">
        <f>IF(COUNTIF($AF$2:$AF$926,AF596)&gt;1,"DUPLICATE","UNIQUE")</f>
        <v>UNIQUE</v>
      </c>
      <c r="AF596" t="str">
        <f>A596&amp;"|"&amp;B596&amp;"|"&amp;H596&amp;"|"&amp;I596&amp;"|"&amp;R596&amp;"|"&amp;S596&amp;"|"&amp;V596</f>
        <v>ORD-2024-10595|2024-09-19|CUST-6850|Karan Malhotra|3|3981.76|11945.28</v>
      </c>
      <c r="AG596" t="str">
        <f>IF(COUNTIF($A$2:$A$913,A596)&gt;1,"TRUE","FALSE")</f>
        <v>FALSE</v>
      </c>
    </row>
    <row r="597" spans="1:33">
      <c r="A597" t="s">
        <v>3242</v>
      </c>
      <c r="B597" t="s">
        <v>2843</v>
      </c>
      <c r="C597" t="s">
        <v>2418</v>
      </c>
      <c r="D597">
        <f>IF(OR(B597="", C597=""), "", (C597 - B597))</f>
        <v>5</v>
      </c>
      <c r="E597" t="str">
        <f>IF(C597&lt;B597, "INVALID: Ship date before order date", "")</f>
        <v/>
      </c>
      <c r="F597" t="str">
        <f>IF(B597="", "", TEXT(B597, "mmmm"))</f>
        <v>February</v>
      </c>
      <c r="G597">
        <f>IF(B597="", "", YEAR(B597))</f>
        <v>2025</v>
      </c>
      <c r="H597" t="s">
        <v>1854</v>
      </c>
      <c r="I597" t="s">
        <v>35</v>
      </c>
      <c r="J597" t="s">
        <v>89</v>
      </c>
      <c r="K597" t="s">
        <v>24</v>
      </c>
      <c r="L597" t="s">
        <v>134</v>
      </c>
      <c r="M597" t="s">
        <v>135</v>
      </c>
      <c r="N597" t="s">
        <v>74</v>
      </c>
      <c r="O597" t="s">
        <v>168</v>
      </c>
      <c r="P597" t="s">
        <v>1855</v>
      </c>
      <c r="Q597" t="s">
        <v>49</v>
      </c>
      <c r="R597">
        <v>8</v>
      </c>
      <c r="S597" s="15">
        <v>1825.56</v>
      </c>
      <c r="T597" s="4">
        <v>0.1</v>
      </c>
      <c r="U597" s="3" t="str">
        <f>IF(T597&lt;0, "negative_discount", IF(AND(T597&gt;0.5, T597&lt;=1), "high_discount", ""))</f>
        <v/>
      </c>
      <c r="V597" s="11">
        <v>13144.03</v>
      </c>
      <c r="W597" s="12">
        <v>13144.03</v>
      </c>
      <c r="X597" s="11">
        <v>9764</v>
      </c>
      <c r="Y597" s="11">
        <v>3380.03</v>
      </c>
      <c r="Z597" s="11">
        <f>ROUND(W597-X597,2)</f>
        <v>3380.03</v>
      </c>
      <c r="AA597" s="4">
        <f>IF(W597=0,0,Z597/W597)</f>
        <v>0.25715324751997676</v>
      </c>
      <c r="AB597" t="s">
        <v>31</v>
      </c>
      <c r="AC597" t="s">
        <v>32</v>
      </c>
      <c r="AD597" t="str">
        <f>IF(AND(E597="", T597&gt;=0, T597&lt;=0.5, K597&lt;&gt;"Unknown", Q597&lt;&gt;"Unknown"), "CLEAN", _xlfn.CONCAT("WARNING: ", IF(E597&lt;&gt;"","invalid_date",""), IF(T597&lt;0,"negative_discount",""), IF(AND(T597&gt;0.5,T597&lt;=1),"high_discount",""), IF(K597="Unknown","missing_region",""), IF(Q597="Unknown","missing_ship_mode","")))</f>
        <v>CLEAN</v>
      </c>
      <c r="AE597" t="str">
        <f>IF(COUNTIF($AF$2:$AF$926,AF597)&gt;1,"DUPLICATE","UNIQUE")</f>
        <v>UNIQUE</v>
      </c>
      <c r="AF597" t="str">
        <f>A597&amp;"|"&amp;B597&amp;"|"&amp;H597&amp;"|"&amp;I597&amp;"|"&amp;R597&amp;"|"&amp;S597&amp;"|"&amp;V597</f>
        <v>ORD-2025-10596|2025-02-11|CUST-5566|Mira Das|8|1825.56|13144.03</v>
      </c>
      <c r="AG597" t="str">
        <f>IF(COUNTIF($A$2:$A$913,A597)&gt;1,"TRUE","FALSE")</f>
        <v>FALSE</v>
      </c>
    </row>
    <row r="598" spans="1:33">
      <c r="A598" t="s">
        <v>1856</v>
      </c>
      <c r="B598" t="s">
        <v>967</v>
      </c>
      <c r="C598" t="s">
        <v>2695</v>
      </c>
      <c r="D598">
        <f>IF(OR(B598="", C598=""), "", (C598 - B598))</f>
        <v>6</v>
      </c>
      <c r="E598" t="str">
        <f>IF(C598&lt;B598, "INVALID: Ship date before order date", "")</f>
        <v/>
      </c>
      <c r="F598" t="str">
        <f>IF(B598="", "", TEXT(B598, "mmmm"))</f>
        <v>April</v>
      </c>
      <c r="G598">
        <f>IF(B598="", "", YEAR(B598))</f>
        <v>2024</v>
      </c>
      <c r="H598" t="s">
        <v>1857</v>
      </c>
      <c r="I598" t="s">
        <v>88</v>
      </c>
      <c r="J598" t="s">
        <v>23</v>
      </c>
      <c r="K598" t="s">
        <v>53</v>
      </c>
      <c r="L598" t="s">
        <v>180</v>
      </c>
      <c r="M598" t="s">
        <v>181</v>
      </c>
      <c r="N598" t="s">
        <v>40</v>
      </c>
      <c r="O598" t="s">
        <v>65</v>
      </c>
      <c r="P598" t="s">
        <v>1858</v>
      </c>
      <c r="Q598" t="s">
        <v>30</v>
      </c>
      <c r="R598">
        <v>9</v>
      </c>
      <c r="S598" s="15">
        <v>2723.26</v>
      </c>
      <c r="T598" s="4">
        <v>0.25</v>
      </c>
      <c r="U598" s="3" t="str">
        <f>IF(T598&lt;0, "negative_discount", IF(AND(T598&gt;0.5, T598&lt;=1), "high_discount", ""))</f>
        <v/>
      </c>
      <c r="V598" s="11">
        <v>18382.009999999998</v>
      </c>
      <c r="W598" s="12">
        <v>18382.009999999998</v>
      </c>
      <c r="X598" s="11">
        <v>13108.2</v>
      </c>
      <c r="Y598" s="11">
        <v>5273.81</v>
      </c>
      <c r="Z598" s="11">
        <f>ROUND(W598-X598,2)</f>
        <v>5273.81</v>
      </c>
      <c r="AA598" s="4">
        <f>IF(W598=0,0,Z598/W598)</f>
        <v>0.28690061641789993</v>
      </c>
      <c r="AB598" t="s">
        <v>31</v>
      </c>
      <c r="AC598" t="s">
        <v>32</v>
      </c>
      <c r="AD598" t="str">
        <f>IF(AND(E598="", T598&gt;=0, T598&lt;=0.5, K598&lt;&gt;"Unknown", Q598&lt;&gt;"Unknown"), "CLEAN", _xlfn.CONCAT("WARNING: ", IF(E598&lt;&gt;"","invalid_date",""), IF(T598&lt;0,"negative_discount",""), IF(AND(T598&gt;0.5,T598&lt;=1),"high_discount",""), IF(K598="Unknown","missing_region",""), IF(Q598="Unknown","missing_ship_mode","")))</f>
        <v>CLEAN</v>
      </c>
      <c r="AE598" t="str">
        <f>IF(COUNTIF($AF$2:$AF$926,AF598)&gt;1,"DUPLICATE","UNIQUE")</f>
        <v>UNIQUE</v>
      </c>
      <c r="AF598" t="str">
        <f>A598&amp;"|"&amp;B598&amp;"|"&amp;H598&amp;"|"&amp;I598&amp;"|"&amp;R598&amp;"|"&amp;S598&amp;"|"&amp;V598</f>
        <v>ORD-2024-10597|2024-04-10|CUST-2593|Aditi Sen|9|2723.26|18382.01</v>
      </c>
      <c r="AG598" t="str">
        <f>IF(COUNTIF($A$2:$A$913,A598)&gt;1,"TRUE","FALSE")</f>
        <v>FALSE</v>
      </c>
    </row>
    <row r="599" spans="1:33">
      <c r="A599" t="s">
        <v>3243</v>
      </c>
      <c r="B599" t="s">
        <v>2700</v>
      </c>
      <c r="C599" t="s">
        <v>2700</v>
      </c>
      <c r="D599">
        <f>IF(OR(B599="", C599=""), "", (C599 - B599))</f>
        <v>0</v>
      </c>
      <c r="E599" t="str">
        <f>IF(C599&lt;B599, "INVALID: Ship date before order date", "")</f>
        <v/>
      </c>
      <c r="F599" t="str">
        <f>IF(B599="", "", TEXT(B599, "mmmm"))</f>
        <v>July</v>
      </c>
      <c r="G599">
        <f>IF(B599="", "", YEAR(B599))</f>
        <v>2025</v>
      </c>
      <c r="H599" t="s">
        <v>1859</v>
      </c>
      <c r="I599" t="s">
        <v>88</v>
      </c>
      <c r="J599" t="s">
        <v>23</v>
      </c>
      <c r="K599" t="s">
        <v>53</v>
      </c>
      <c r="L599" t="s">
        <v>54</v>
      </c>
      <c r="M599" t="s">
        <v>55</v>
      </c>
      <c r="N599" t="s">
        <v>74</v>
      </c>
      <c r="O599" t="s">
        <v>79</v>
      </c>
      <c r="P599" t="s">
        <v>1860</v>
      </c>
      <c r="Q599" t="s">
        <v>43</v>
      </c>
      <c r="R599">
        <v>9</v>
      </c>
      <c r="S599" s="15">
        <v>274.88</v>
      </c>
      <c r="T599" s="4">
        <v>0.25</v>
      </c>
      <c r="U599" s="3" t="str">
        <f>IF(T599&lt;0, "negative_discount", IF(AND(T599&gt;0.5, T599&lt;=1), "high_discount", ""))</f>
        <v/>
      </c>
      <c r="V599" s="11">
        <v>1855.44</v>
      </c>
      <c r="W599" s="12">
        <v>1855.44</v>
      </c>
      <c r="X599" s="11">
        <v>1262.74</v>
      </c>
      <c r="Y599" s="11">
        <v>592.70000000000005</v>
      </c>
      <c r="Z599" s="11">
        <f>ROUND(W599-X599,2)</f>
        <v>592.70000000000005</v>
      </c>
      <c r="AA599" s="4">
        <f>IF(W599=0,0,Z599/W599)</f>
        <v>0.3194390548872505</v>
      </c>
      <c r="AB599" t="s">
        <v>31</v>
      </c>
      <c r="AC599" t="s">
        <v>32</v>
      </c>
      <c r="AD599" t="str">
        <f>IF(AND(E599="", T599&gt;=0, T599&lt;=0.5, K599&lt;&gt;"Unknown", Q599&lt;&gt;"Unknown"), "CLEAN", _xlfn.CONCAT("WARNING: ", IF(E599&lt;&gt;"","invalid_date",""), IF(T599&lt;0,"negative_discount",""), IF(AND(T599&gt;0.5,T599&lt;=1),"high_discount",""), IF(K599="Unknown","missing_region",""), IF(Q599="Unknown","missing_ship_mode","")))</f>
        <v>CLEAN</v>
      </c>
      <c r="AE599" t="str">
        <f>IF(COUNTIF($AF$2:$AF$926,AF599)&gt;1,"DUPLICATE","UNIQUE")</f>
        <v>UNIQUE</v>
      </c>
      <c r="AF599" t="str">
        <f>A599&amp;"|"&amp;B599&amp;"|"&amp;H599&amp;"|"&amp;I599&amp;"|"&amp;R599&amp;"|"&amp;S599&amp;"|"&amp;V599</f>
        <v>ORD-2025-10598|2025-07-08|CUST-6957|Aditi Sen|9|274.88|1855.44</v>
      </c>
      <c r="AG599" t="str">
        <f>IF(COUNTIF($A$2:$A$913,A599)&gt;1,"TRUE","FALSE")</f>
        <v>FALSE</v>
      </c>
    </row>
    <row r="600" spans="1:33">
      <c r="A600" t="s">
        <v>1861</v>
      </c>
      <c r="B600" t="s">
        <v>2844</v>
      </c>
      <c r="C600" t="s">
        <v>832</v>
      </c>
      <c r="D600">
        <f>IF(OR(B600="", C600=""), "", (C600 - B600))</f>
        <v>7</v>
      </c>
      <c r="E600" t="str">
        <f>IF(C600&lt;B600, "INVALID: Ship date before order date", "")</f>
        <v/>
      </c>
      <c r="F600" t="str">
        <f>IF(B600="", "", TEXT(B600, "mmmm"))</f>
        <v>August</v>
      </c>
      <c r="G600">
        <f>IF(B600="", "", YEAR(B600))</f>
        <v>2024</v>
      </c>
      <c r="H600" t="s">
        <v>1862</v>
      </c>
      <c r="I600" t="s">
        <v>61</v>
      </c>
      <c r="J600" t="s">
        <v>89</v>
      </c>
      <c r="K600" t="s">
        <v>37</v>
      </c>
      <c r="L600" t="s">
        <v>96</v>
      </c>
      <c r="M600" t="s">
        <v>97</v>
      </c>
      <c r="N600" t="s">
        <v>74</v>
      </c>
      <c r="O600" t="s">
        <v>79</v>
      </c>
      <c r="P600" t="s">
        <v>1863</v>
      </c>
      <c r="Q600" t="s">
        <v>43</v>
      </c>
      <c r="R600">
        <v>3</v>
      </c>
      <c r="S600" s="15">
        <v>1490.69</v>
      </c>
      <c r="T600" s="4">
        <v>0.25</v>
      </c>
      <c r="U600" s="3" t="str">
        <f>IF(T600&lt;0, "negative_discount", IF(AND(T600&gt;0.5, T600&lt;=1), "high_discount", ""))</f>
        <v/>
      </c>
      <c r="V600" s="11">
        <v>3354.05</v>
      </c>
      <c r="W600" s="12">
        <v>3354.05</v>
      </c>
      <c r="X600" s="11">
        <v>2672.67</v>
      </c>
      <c r="Y600" s="11">
        <v>681.38</v>
      </c>
      <c r="Z600" s="11">
        <f>ROUND(W600-X600,2)</f>
        <v>681.38</v>
      </c>
      <c r="AA600" s="4">
        <f>IF(W600=0,0,Z600/W600)</f>
        <v>0.20315141396222475</v>
      </c>
      <c r="AB600" t="s">
        <v>31</v>
      </c>
      <c r="AC600" t="s">
        <v>32</v>
      </c>
      <c r="AD600" t="str">
        <f>IF(AND(E600="", T600&gt;=0, T600&lt;=0.5, K600&lt;&gt;"Unknown", Q600&lt;&gt;"Unknown"), "CLEAN", _xlfn.CONCAT("WARNING: ", IF(E600&lt;&gt;"","invalid_date",""), IF(T600&lt;0,"negative_discount",""), IF(AND(T600&gt;0.5,T600&lt;=1),"high_discount",""), IF(K600="Unknown","missing_region",""), IF(Q600="Unknown","missing_ship_mode","")))</f>
        <v>CLEAN</v>
      </c>
      <c r="AE600" t="str">
        <f>IF(COUNTIF($AF$2:$AF$926,AF600)&gt;1,"DUPLICATE","UNIQUE")</f>
        <v>UNIQUE</v>
      </c>
      <c r="AF600" t="str">
        <f>A600&amp;"|"&amp;B600&amp;"|"&amp;H600&amp;"|"&amp;I600&amp;"|"&amp;R600&amp;"|"&amp;S600&amp;"|"&amp;V600</f>
        <v>ORD-2024-10599|2024-08-17|CUST-8498|Ananya Rao|3|1490.69|3354.05</v>
      </c>
      <c r="AG600" t="str">
        <f>IF(COUNTIF($A$2:$A$913,A600)&gt;1,"TRUE","FALSE")</f>
        <v>FALSE</v>
      </c>
    </row>
    <row r="601" spans="1:33">
      <c r="A601" t="s">
        <v>1864</v>
      </c>
      <c r="B601" t="s">
        <v>1772</v>
      </c>
      <c r="C601" t="s">
        <v>2773</v>
      </c>
      <c r="D601">
        <f>IF(OR(B601="", C601=""), "", (C601 - B601))</f>
        <v>2</v>
      </c>
      <c r="E601" t="str">
        <f>IF(C601&lt;B601, "INVALID: Ship date before order date", "")</f>
        <v/>
      </c>
      <c r="F601" t="str">
        <f>IF(B601="", "", TEXT(B601, "mmmm"))</f>
        <v>August</v>
      </c>
      <c r="G601">
        <f>IF(B601="", "", YEAR(B601))</f>
        <v>2024</v>
      </c>
      <c r="H601" t="s">
        <v>1865</v>
      </c>
      <c r="I601" t="s">
        <v>52</v>
      </c>
      <c r="J601" t="s">
        <v>23</v>
      </c>
      <c r="K601" t="s">
        <v>24</v>
      </c>
      <c r="L601" t="s">
        <v>120</v>
      </c>
      <c r="M601" t="s">
        <v>121</v>
      </c>
      <c r="N601" t="s">
        <v>74</v>
      </c>
      <c r="O601" t="s">
        <v>168</v>
      </c>
      <c r="P601" t="s">
        <v>1866</v>
      </c>
      <c r="Q601" t="s">
        <v>49</v>
      </c>
      <c r="R601">
        <v>3</v>
      </c>
      <c r="S601" s="15">
        <v>1103.54</v>
      </c>
      <c r="T601" s="4">
        <v>0.25</v>
      </c>
      <c r="U601" s="3" t="str">
        <f>IF(T601&lt;0, "negative_discount", IF(AND(T601&gt;0.5, T601&lt;=1), "high_discount", ""))</f>
        <v/>
      </c>
      <c r="V601" s="11">
        <v>2482.9699999999998</v>
      </c>
      <c r="W601" s="12">
        <v>2482.9699999999998</v>
      </c>
      <c r="X601" s="11">
        <v>1621.72</v>
      </c>
      <c r="Y601" s="11">
        <v>861.25</v>
      </c>
      <c r="Z601" s="11">
        <f>ROUND(W601-X601,2)</f>
        <v>861.25</v>
      </c>
      <c r="AA601" s="4">
        <f>IF(W601=0,0,Z601/W601)</f>
        <v>0.34686282959520254</v>
      </c>
      <c r="AB601" t="s">
        <v>31</v>
      </c>
      <c r="AC601" t="s">
        <v>32</v>
      </c>
      <c r="AD601" t="str">
        <f>IF(AND(E601="", T601&gt;=0, T601&lt;=0.5, K601&lt;&gt;"Unknown", Q601&lt;&gt;"Unknown"), "CLEAN", _xlfn.CONCAT("WARNING: ", IF(E601&lt;&gt;"","invalid_date",""), IF(T601&lt;0,"negative_discount",""), IF(AND(T601&gt;0.5,T601&lt;=1),"high_discount",""), IF(K601="Unknown","missing_region",""), IF(Q601="Unknown","missing_ship_mode","")))</f>
        <v>CLEAN</v>
      </c>
      <c r="AE601" t="str">
        <f>IF(COUNTIF($AF$2:$AF$926,AF601)&gt;1,"DUPLICATE","UNIQUE")</f>
        <v>UNIQUE</v>
      </c>
      <c r="AF601" t="str">
        <f>A601&amp;"|"&amp;B601&amp;"|"&amp;H601&amp;"|"&amp;I601&amp;"|"&amp;R601&amp;"|"&amp;S601&amp;"|"&amp;V601</f>
        <v>ORD-2024-10600|2024-08-19|CUST-2612|Arjun Bose|3|1103.54|2482.97</v>
      </c>
      <c r="AG601" t="str">
        <f>IF(COUNTIF($A$2:$A$913,A601)&gt;1,"TRUE","FALSE")</f>
        <v>FALSE</v>
      </c>
    </row>
    <row r="602" spans="1:33">
      <c r="A602" t="s">
        <v>3244</v>
      </c>
      <c r="B602" t="s">
        <v>896</v>
      </c>
      <c r="C602" t="s">
        <v>1867</v>
      </c>
      <c r="D602">
        <f>IF(OR(B602="", C602=""), "", (C602 - B602))</f>
        <v>-52</v>
      </c>
      <c r="E602" t="str">
        <f>IF(C602&lt;B602, "INVALID: Ship date before order date", "")</f>
        <v>INVALID: Ship date before order date</v>
      </c>
      <c r="F602" t="str">
        <f>IF(B602="", "", TEXT(B602, "mmmm"))</f>
        <v>May</v>
      </c>
      <c r="G602">
        <f>IF(B602="", "", YEAR(B602))</f>
        <v>2025</v>
      </c>
      <c r="H602" t="s">
        <v>1868</v>
      </c>
      <c r="I602" t="s">
        <v>61</v>
      </c>
      <c r="J602" t="s">
        <v>89</v>
      </c>
      <c r="K602" t="s">
        <v>62</v>
      </c>
      <c r="L602" t="s">
        <v>72</v>
      </c>
      <c r="M602" t="s">
        <v>73</v>
      </c>
      <c r="N602" t="s">
        <v>27</v>
      </c>
      <c r="O602" t="s">
        <v>122</v>
      </c>
      <c r="P602" t="s">
        <v>1869</v>
      </c>
      <c r="Q602" t="s">
        <v>43</v>
      </c>
      <c r="R602">
        <v>3</v>
      </c>
      <c r="S602" s="15">
        <v>3682.75</v>
      </c>
      <c r="T602" s="4">
        <v>0</v>
      </c>
      <c r="U602" s="3" t="str">
        <f>IF(T602&lt;0, "negative_discount", IF(AND(T602&gt;0.5, T602&lt;=1), "high_discount", ""))</f>
        <v/>
      </c>
      <c r="V602" s="11">
        <v>11048.25</v>
      </c>
      <c r="W602" s="12">
        <v>11048.25</v>
      </c>
      <c r="X602" s="11">
        <v>9062.7199999999993</v>
      </c>
      <c r="Y602" s="11">
        <v>1985.53</v>
      </c>
      <c r="Z602" s="11">
        <f>ROUND(W602-X602,2)</f>
        <v>1985.53</v>
      </c>
      <c r="AA602" s="4">
        <f>IF(W602=0,0,Z602/W602)</f>
        <v>0.17971443441268978</v>
      </c>
      <c r="AB602" t="s">
        <v>31</v>
      </c>
      <c r="AC602" t="s">
        <v>32</v>
      </c>
      <c r="AD602" t="str">
        <f>IF(AND(E602="", T602&gt;=0, T602&lt;=0.5, K602&lt;&gt;"Unknown", Q602&lt;&gt;"Unknown"), "CLEAN", _xlfn.CONCAT("WARNING: ", IF(E602&lt;&gt;"","invalid_date",""), IF(T602&lt;0,"negative_discount",""), IF(AND(T602&gt;0.5,T602&lt;=1),"high_discount",""), IF(K602="Unknown","missing_region",""), IF(Q602="Unknown","missing_ship_mode","")))</f>
        <v>WARNING: invalid_date</v>
      </c>
      <c r="AE602" t="str">
        <f>IF(COUNTIF($AF$2:$AF$926,AF602)&gt;1,"DUPLICATE","UNIQUE")</f>
        <v>UNIQUE</v>
      </c>
      <c r="AF602" t="str">
        <f>A602&amp;"|"&amp;B602&amp;"|"&amp;H602&amp;"|"&amp;I602&amp;"|"&amp;R602&amp;"|"&amp;S602&amp;"|"&amp;V602</f>
        <v>ORD-2025-10601|2025-05-03|CUST-6013|Ananya Rao|3|3682.75|11048.25</v>
      </c>
      <c r="AG602" t="str">
        <f>IF(COUNTIF($A$2:$A$913,A602)&gt;1,"TRUE","FALSE")</f>
        <v>FALSE</v>
      </c>
    </row>
    <row r="603" spans="1:33">
      <c r="A603" t="s">
        <v>1870</v>
      </c>
      <c r="B603" t="s">
        <v>407</v>
      </c>
      <c r="C603" t="s">
        <v>2946</v>
      </c>
      <c r="D603">
        <f>IF(OR(B603="", C603=""), "", (C603 - B603))</f>
        <v>5</v>
      </c>
      <c r="E603" t="str">
        <f>IF(C603&lt;B603, "INVALID: Ship date before order date", "")</f>
        <v/>
      </c>
      <c r="F603" t="str">
        <f>IF(B603="", "", TEXT(B603, "mmmm"))</f>
        <v>January</v>
      </c>
      <c r="G603">
        <f>IF(B603="", "", YEAR(B603))</f>
        <v>2024</v>
      </c>
      <c r="H603" t="s">
        <v>1871</v>
      </c>
      <c r="I603" t="s">
        <v>61</v>
      </c>
      <c r="J603" t="s">
        <v>93</v>
      </c>
      <c r="K603" t="s">
        <v>37</v>
      </c>
      <c r="L603" t="s">
        <v>96</v>
      </c>
      <c r="M603" t="s">
        <v>97</v>
      </c>
      <c r="N603" t="s">
        <v>27</v>
      </c>
      <c r="O603" t="s">
        <v>28</v>
      </c>
      <c r="P603" t="s">
        <v>1872</v>
      </c>
      <c r="Q603" t="s">
        <v>30</v>
      </c>
      <c r="R603">
        <v>5</v>
      </c>
      <c r="S603" s="15">
        <v>1615.03</v>
      </c>
      <c r="T603" s="4">
        <v>0.2</v>
      </c>
      <c r="U603" s="3" t="str">
        <f>IF(T603&lt;0, "negative_discount", IF(AND(T603&gt;0.5, T603&lt;=1), "high_discount", ""))</f>
        <v/>
      </c>
      <c r="V603" s="11">
        <v>6460.12</v>
      </c>
      <c r="W603" s="12">
        <v>6460.12</v>
      </c>
      <c r="X603" s="11">
        <v>3604.03</v>
      </c>
      <c r="Y603" s="11">
        <v>2856.09</v>
      </c>
      <c r="Z603" s="11">
        <f>ROUND(W603-X603,2)</f>
        <v>2856.09</v>
      </c>
      <c r="AA603" s="4">
        <f>IF(W603=0,0,Z603/W603)</f>
        <v>0.4421109824585302</v>
      </c>
      <c r="AB603" t="s">
        <v>31</v>
      </c>
      <c r="AC603" t="s">
        <v>32</v>
      </c>
      <c r="AD603" t="str">
        <f>IF(AND(E603="", T603&gt;=0, T603&lt;=0.5, K603&lt;&gt;"Unknown", Q603&lt;&gt;"Unknown"), "CLEAN", _xlfn.CONCAT("WARNING: ", IF(E603&lt;&gt;"","invalid_date",""), IF(T603&lt;0,"negative_discount",""), IF(AND(T603&gt;0.5,T603&lt;=1),"high_discount",""), IF(K603="Unknown","missing_region",""), IF(Q603="Unknown","missing_ship_mode","")))</f>
        <v>CLEAN</v>
      </c>
      <c r="AE603" t="str">
        <f>IF(COUNTIF($AF$2:$AF$926,AF603)&gt;1,"DUPLICATE","UNIQUE")</f>
        <v>UNIQUE</v>
      </c>
      <c r="AF603" t="str">
        <f>A603&amp;"|"&amp;B603&amp;"|"&amp;H603&amp;"|"&amp;I603&amp;"|"&amp;R603&amp;"|"&amp;S603&amp;"|"&amp;V603</f>
        <v>ORD-2024-10602|2024-01-26|CUST-8289|Ananya Rao|5|1615.03|6460.12</v>
      </c>
      <c r="AG603" t="str">
        <f>IF(COUNTIF($A$2:$A$913,A603)&gt;1,"TRUE","FALSE")</f>
        <v>FALSE</v>
      </c>
    </row>
    <row r="604" spans="1:33">
      <c r="A604" t="s">
        <v>1873</v>
      </c>
      <c r="B604" t="s">
        <v>2822</v>
      </c>
      <c r="C604" t="s">
        <v>1874</v>
      </c>
      <c r="D604">
        <f>IF(OR(B604="", C604=""), "", (C604 - B604))</f>
        <v>7</v>
      </c>
      <c r="E604" t="str">
        <f>IF(C604&lt;B604, "INVALID: Ship date before order date", "")</f>
        <v/>
      </c>
      <c r="F604" t="str">
        <f>IF(B604="", "", TEXT(B604, "mmmm"))</f>
        <v>October</v>
      </c>
      <c r="G604">
        <f>IF(B604="", "", YEAR(B604))</f>
        <v>2024</v>
      </c>
      <c r="H604" t="s">
        <v>1875</v>
      </c>
      <c r="I604" t="s">
        <v>126</v>
      </c>
      <c r="J604" t="s">
        <v>23</v>
      </c>
      <c r="K604" t="s">
        <v>37</v>
      </c>
      <c r="L604" t="s">
        <v>226</v>
      </c>
      <c r="M604" t="s">
        <v>227</v>
      </c>
      <c r="N604" t="s">
        <v>74</v>
      </c>
      <c r="O604" t="s">
        <v>79</v>
      </c>
      <c r="P604" t="s">
        <v>1876</v>
      </c>
      <c r="Q604" t="s">
        <v>30</v>
      </c>
      <c r="R604">
        <v>9</v>
      </c>
      <c r="S604" s="15">
        <v>3423.82</v>
      </c>
      <c r="T604" s="4">
        <v>0.15</v>
      </c>
      <c r="U604" s="3" t="str">
        <f>IF(T604&lt;0, "negative_discount", IF(AND(T604&gt;0.5, T604&lt;=1), "high_discount", ""))</f>
        <v/>
      </c>
      <c r="V604" s="11">
        <v>26192.22</v>
      </c>
      <c r="W604" s="12">
        <v>26192.22</v>
      </c>
      <c r="X604" s="11">
        <v>20795.55</v>
      </c>
      <c r="Y604" s="11">
        <v>5396.67</v>
      </c>
      <c r="Z604" s="11">
        <f>ROUND(W604-X604,2)</f>
        <v>5396.67</v>
      </c>
      <c r="AA604" s="4">
        <f>IF(W604=0,0,Z604/W604)</f>
        <v>0.20604095414592577</v>
      </c>
      <c r="AB604" t="s">
        <v>31</v>
      </c>
      <c r="AC604" t="s">
        <v>32</v>
      </c>
      <c r="AD604" t="str">
        <f>IF(AND(E604="", T604&gt;=0, T604&lt;=0.5, K604&lt;&gt;"Unknown", Q604&lt;&gt;"Unknown"), "CLEAN", _xlfn.CONCAT("WARNING: ", IF(E604&lt;&gt;"","invalid_date",""), IF(T604&lt;0,"negative_discount",""), IF(AND(T604&gt;0.5,T604&lt;=1),"high_discount",""), IF(K604="Unknown","missing_region",""), IF(Q604="Unknown","missing_ship_mode","")))</f>
        <v>CLEAN</v>
      </c>
      <c r="AE604" t="str">
        <f>IF(COUNTIF($AF$2:$AF$926,AF604)&gt;1,"DUPLICATE","UNIQUE")</f>
        <v>UNIQUE</v>
      </c>
      <c r="AF604" t="str">
        <f>A604&amp;"|"&amp;B604&amp;"|"&amp;H604&amp;"|"&amp;I604&amp;"|"&amp;R604&amp;"|"&amp;S604&amp;"|"&amp;V604</f>
        <v>ORD-2024-10603|2024-10-23|CUST-5668|Aarav Sharma|9|3423.82|26192.22</v>
      </c>
      <c r="AG604" t="str">
        <f>IF(COUNTIF($A$2:$A$913,A604)&gt;1,"TRUE","FALSE")</f>
        <v>FALSE</v>
      </c>
    </row>
    <row r="605" spans="1:33">
      <c r="A605" t="s">
        <v>3245</v>
      </c>
      <c r="B605" t="s">
        <v>2845</v>
      </c>
      <c r="C605" t="s">
        <v>2706</v>
      </c>
      <c r="D605">
        <f>IF(OR(B605="", C605=""), "", (C605 - B605))</f>
        <v>302</v>
      </c>
      <c r="E605" t="str">
        <f>IF(C605&lt;B605, "INVALID: Ship date before order date", "")</f>
        <v/>
      </c>
      <c r="F605" t="str">
        <f>IF(B605="", "", TEXT(B605, "mmmm"))</f>
        <v>January</v>
      </c>
      <c r="G605">
        <f>IF(B605="", "", YEAR(B605))</f>
        <v>2025</v>
      </c>
      <c r="H605" t="s">
        <v>336</v>
      </c>
      <c r="I605" t="s">
        <v>71</v>
      </c>
      <c r="J605" t="s">
        <v>89</v>
      </c>
      <c r="K605" t="s">
        <v>37</v>
      </c>
      <c r="L605" t="s">
        <v>142</v>
      </c>
      <c r="M605" t="s">
        <v>143</v>
      </c>
      <c r="N605" t="s">
        <v>74</v>
      </c>
      <c r="O605" t="s">
        <v>75</v>
      </c>
      <c r="P605" t="s">
        <v>1877</v>
      </c>
      <c r="Q605" t="s">
        <v>49</v>
      </c>
      <c r="R605">
        <v>8</v>
      </c>
      <c r="S605" s="15">
        <v>2574.29</v>
      </c>
      <c r="T605" s="4">
        <v>0.05</v>
      </c>
      <c r="U605" s="3" t="str">
        <f>IF(T605&lt;0, "negative_discount", IF(AND(T605&gt;0.5, T605&lt;=1), "high_discount", ""))</f>
        <v/>
      </c>
      <c r="V605" s="11">
        <v>19564.599999999999</v>
      </c>
      <c r="W605" s="12">
        <v>19564.599999999999</v>
      </c>
      <c r="X605" s="11">
        <v>11154.59</v>
      </c>
      <c r="Y605" s="11">
        <v>8410.01</v>
      </c>
      <c r="Z605" s="11">
        <f>ROUND(W605-X605,2)</f>
        <v>8410.01</v>
      </c>
      <c r="AA605" s="4">
        <f>IF(W605=0,0,Z605/W605)</f>
        <v>0.42985851997996388</v>
      </c>
      <c r="AB605" t="s">
        <v>109</v>
      </c>
      <c r="AC605" t="s">
        <v>67</v>
      </c>
      <c r="AD605" t="str">
        <f>IF(AND(E605="", T605&gt;=0, T605&lt;=0.5, K605&lt;&gt;"Unknown", Q605&lt;&gt;"Unknown"), "CLEAN", _xlfn.CONCAT("WARNING: ", IF(E605&lt;&gt;"","invalid_date",""), IF(T605&lt;0,"negative_discount",""), IF(AND(T605&gt;0.5,T605&lt;=1),"high_discount",""), IF(K605="Unknown","missing_region",""), IF(Q605="Unknown","missing_ship_mode","")))</f>
        <v>CLEAN</v>
      </c>
      <c r="AE605" t="str">
        <f>IF(COUNTIF($AF$2:$AF$926,AF605)&gt;1,"DUPLICATE","UNIQUE")</f>
        <v>UNIQUE</v>
      </c>
      <c r="AF605" t="str">
        <f>A605&amp;"|"&amp;B605&amp;"|"&amp;H605&amp;"|"&amp;I605&amp;"|"&amp;R605&amp;"|"&amp;S605&amp;"|"&amp;V605</f>
        <v>ORD-2025-10604|2025-01-03|CUST-5808|Vikram Iyer|8|2574.29|19564.6</v>
      </c>
      <c r="AG605" t="str">
        <f>IF(COUNTIF($A$2:$A$913,A605)&gt;1,"TRUE","FALSE")</f>
        <v>FALSE</v>
      </c>
    </row>
    <row r="606" spans="1:33">
      <c r="A606" t="s">
        <v>3246</v>
      </c>
      <c r="B606" t="s">
        <v>2708</v>
      </c>
      <c r="C606" t="s">
        <v>2519</v>
      </c>
      <c r="D606">
        <f>IF(OR(B606="", C606=""), "", (C606 - B606))</f>
        <v>-85</v>
      </c>
      <c r="E606" t="str">
        <f>IF(C606&lt;B606, "INVALID: Ship date before order date", "")</f>
        <v>INVALID: Ship date before order date</v>
      </c>
      <c r="F606" t="str">
        <f>IF(B606="", "", TEXT(B606, "mmmm"))</f>
        <v>May</v>
      </c>
      <c r="G606">
        <f>IF(B606="", "", YEAR(B606))</f>
        <v>2025</v>
      </c>
      <c r="H606" t="s">
        <v>1878</v>
      </c>
      <c r="I606" t="s">
        <v>61</v>
      </c>
      <c r="J606" t="s">
        <v>23</v>
      </c>
      <c r="K606" t="s">
        <v>62</v>
      </c>
      <c r="L606" t="s">
        <v>72</v>
      </c>
      <c r="M606" t="s">
        <v>73</v>
      </c>
      <c r="N606" t="s">
        <v>27</v>
      </c>
      <c r="O606" t="s">
        <v>149</v>
      </c>
      <c r="P606" t="s">
        <v>1879</v>
      </c>
      <c r="Q606" t="s">
        <v>43</v>
      </c>
      <c r="R606">
        <v>3</v>
      </c>
      <c r="S606" s="15">
        <v>1076.3</v>
      </c>
      <c r="T606" s="4">
        <v>0</v>
      </c>
      <c r="U606" s="3" t="str">
        <f>IF(T606&lt;0, "negative_discount", IF(AND(T606&gt;0.5, T606&lt;=1), "high_discount", ""))</f>
        <v/>
      </c>
      <c r="V606" s="11">
        <v>3228.9</v>
      </c>
      <c r="W606" s="12">
        <v>3228.9</v>
      </c>
      <c r="X606" s="11">
        <v>1853.23</v>
      </c>
      <c r="Y606" s="11">
        <v>1375.67</v>
      </c>
      <c r="Z606" s="11">
        <f>ROUND(W606-X606,2)</f>
        <v>1375.67</v>
      </c>
      <c r="AA606" s="4">
        <f>IF(W606=0,0,Z606/W606)</f>
        <v>0.42604911889497971</v>
      </c>
      <c r="AB606" t="s">
        <v>31</v>
      </c>
      <c r="AC606" t="s">
        <v>32</v>
      </c>
      <c r="AD606" t="str">
        <f>IF(AND(E606="", T606&gt;=0, T606&lt;=0.5, K606&lt;&gt;"Unknown", Q606&lt;&gt;"Unknown"), "CLEAN", _xlfn.CONCAT("WARNING: ", IF(E606&lt;&gt;"","invalid_date",""), IF(T606&lt;0,"negative_discount",""), IF(AND(T606&gt;0.5,T606&lt;=1),"high_discount",""), IF(K606="Unknown","missing_region",""), IF(Q606="Unknown","missing_ship_mode","")))</f>
        <v>WARNING: invalid_date</v>
      </c>
      <c r="AE606" t="str">
        <f>IF(COUNTIF($AF$2:$AF$926,AF606)&gt;1,"DUPLICATE","UNIQUE")</f>
        <v>UNIQUE</v>
      </c>
      <c r="AF606" t="str">
        <f>A606&amp;"|"&amp;B606&amp;"|"&amp;H606&amp;"|"&amp;I606&amp;"|"&amp;R606&amp;"|"&amp;S606&amp;"|"&amp;V606</f>
        <v>ORD-2025-10605|2025-05-02|CUST-4526|Ananya Rao|3|1076.3|3228.9</v>
      </c>
      <c r="AG606" t="str">
        <f>IF(COUNTIF($A$2:$A$913,A606)&gt;1,"TRUE","FALSE")</f>
        <v>FALSE</v>
      </c>
    </row>
    <row r="607" spans="1:33">
      <c r="A607" t="s">
        <v>3247</v>
      </c>
      <c r="B607" t="s">
        <v>1695</v>
      </c>
      <c r="C607" t="s">
        <v>2947</v>
      </c>
      <c r="D607">
        <f>IF(OR(B607="", C607=""), "", (C607 - B607))</f>
        <v>4</v>
      </c>
      <c r="E607" t="str">
        <f>IF(C607&lt;B607, "INVALID: Ship date before order date", "")</f>
        <v/>
      </c>
      <c r="F607" t="str">
        <f>IF(B607="", "", TEXT(B607, "mmmm"))</f>
        <v>July</v>
      </c>
      <c r="G607">
        <f>IF(B607="", "", YEAR(B607))</f>
        <v>2025</v>
      </c>
      <c r="H607" t="s">
        <v>1880</v>
      </c>
      <c r="I607" t="s">
        <v>263</v>
      </c>
      <c r="J607" t="s">
        <v>89</v>
      </c>
      <c r="K607" t="s">
        <v>62</v>
      </c>
      <c r="L607" t="s">
        <v>185</v>
      </c>
      <c r="M607" t="s">
        <v>186</v>
      </c>
      <c r="N607" t="s">
        <v>40</v>
      </c>
      <c r="O607" t="s">
        <v>56</v>
      </c>
      <c r="P607" t="s">
        <v>1881</v>
      </c>
      <c r="Q607" t="s">
        <v>30</v>
      </c>
      <c r="R607">
        <v>5</v>
      </c>
      <c r="S607" s="15">
        <v>1680.01</v>
      </c>
      <c r="T607" s="4">
        <v>0.85</v>
      </c>
      <c r="U607" s="3" t="str">
        <f>IF(T607&lt;0, "negative_discount", IF(AND(T607&gt;0.5, T607&lt;=1), "high_discount", ""))</f>
        <v>high_discount</v>
      </c>
      <c r="V607" s="11">
        <v>7560.04</v>
      </c>
      <c r="W607" s="12">
        <v>1260.01</v>
      </c>
      <c r="X607" s="11">
        <v>6448.05</v>
      </c>
      <c r="Y607" s="11">
        <v>1111.99</v>
      </c>
      <c r="Z607" s="11">
        <f>ROUND(W607-X607,2)</f>
        <v>-5188.04</v>
      </c>
      <c r="AA607" s="4">
        <f>IF(W607=0,0,Z607/W607)</f>
        <v>-4.1174593852429746</v>
      </c>
      <c r="AB607" t="s">
        <v>31</v>
      </c>
      <c r="AC607" t="s">
        <v>67</v>
      </c>
      <c r="AD607" t="str">
        <f>IF(AND(E607="", T607&gt;=0, T607&lt;=0.5, K607&lt;&gt;"Unknown", Q607&lt;&gt;"Unknown"), "CLEAN", _xlfn.CONCAT("WARNING: ", IF(E607&lt;&gt;"","invalid_date",""), IF(T607&lt;0,"negative_discount",""), IF(AND(T607&gt;0.5,T607&lt;=1),"high_discount",""), IF(K607="Unknown","missing_region",""), IF(Q607="Unknown","missing_ship_mode","")))</f>
        <v>WARNING: high_discount</v>
      </c>
      <c r="AE607" t="str">
        <f>IF(COUNTIF($AF$2:$AF$926,AF607)&gt;1,"DUPLICATE","UNIQUE")</f>
        <v>UNIQUE</v>
      </c>
      <c r="AF607" t="str">
        <f>A607&amp;"|"&amp;B607&amp;"|"&amp;H607&amp;"|"&amp;I607&amp;"|"&amp;R607&amp;"|"&amp;S607&amp;"|"&amp;V607</f>
        <v>ORD-2025-10606|2025-07-09|CUST-4447|Kabir Singh|5|1680.01|7560.04</v>
      </c>
      <c r="AG607" t="str">
        <f>IF(COUNTIF($A$2:$A$913,A607)&gt;1,"TRUE","FALSE")</f>
        <v>FALSE</v>
      </c>
    </row>
    <row r="608" spans="1:33">
      <c r="A608" t="s">
        <v>3248</v>
      </c>
      <c r="B608" t="s">
        <v>2846</v>
      </c>
      <c r="C608" t="s">
        <v>2766</v>
      </c>
      <c r="D608">
        <f>IF(OR(B608="", C608=""), "", (C608 - B608))</f>
        <v>6</v>
      </c>
      <c r="E608" t="str">
        <f>IF(C608&lt;B608, "INVALID: Ship date before order date", "")</f>
        <v/>
      </c>
      <c r="F608" t="str">
        <f>IF(B608="", "", TEXT(B608, "mmmm"))</f>
        <v>February</v>
      </c>
      <c r="G608">
        <f>IF(B608="", "", YEAR(B608))</f>
        <v>2025</v>
      </c>
      <c r="H608" t="s">
        <v>1882</v>
      </c>
      <c r="I608" t="s">
        <v>116</v>
      </c>
      <c r="J608" t="s">
        <v>93</v>
      </c>
      <c r="K608" t="s">
        <v>62</v>
      </c>
      <c r="L608" t="s">
        <v>72</v>
      </c>
      <c r="M608" t="s">
        <v>73</v>
      </c>
      <c r="N608" t="s">
        <v>74</v>
      </c>
      <c r="O608" t="s">
        <v>79</v>
      </c>
      <c r="P608" t="s">
        <v>1883</v>
      </c>
      <c r="Q608" t="s">
        <v>43</v>
      </c>
      <c r="R608">
        <v>3</v>
      </c>
      <c r="S608" s="15">
        <v>3890.81</v>
      </c>
      <c r="T608" s="4">
        <v>0.25</v>
      </c>
      <c r="U608" s="3" t="str">
        <f>IF(T608&lt;0, "negative_discount", IF(AND(T608&gt;0.5, T608&lt;=1), "high_discount", ""))</f>
        <v/>
      </c>
      <c r="V608" s="11">
        <v>8754.32</v>
      </c>
      <c r="W608" s="12">
        <v>8754.32</v>
      </c>
      <c r="X608" s="11">
        <v>6238.9</v>
      </c>
      <c r="Y608" s="11">
        <v>2515.42</v>
      </c>
      <c r="Z608" s="11">
        <f>ROUND(W608-X608,2)</f>
        <v>2515.42</v>
      </c>
      <c r="AA608" s="4">
        <f>IF(W608=0,0,Z608/W608)</f>
        <v>0.28733471017737533</v>
      </c>
      <c r="AB608" t="s">
        <v>31</v>
      </c>
      <c r="AC608" t="s">
        <v>32</v>
      </c>
      <c r="AD608" t="str">
        <f>IF(AND(E608="", T608&gt;=0, T608&lt;=0.5, K608&lt;&gt;"Unknown", Q608&lt;&gt;"Unknown"), "CLEAN", _xlfn.CONCAT("WARNING: ", IF(E608&lt;&gt;"","invalid_date",""), IF(T608&lt;0,"negative_discount",""), IF(AND(T608&gt;0.5,T608&lt;=1),"high_discount",""), IF(K608="Unknown","missing_region",""), IF(Q608="Unknown","missing_ship_mode","")))</f>
        <v>CLEAN</v>
      </c>
      <c r="AE608" t="str">
        <f>IF(COUNTIF($AF$2:$AF$926,AF608)&gt;1,"DUPLICATE","UNIQUE")</f>
        <v>UNIQUE</v>
      </c>
      <c r="AF608" t="str">
        <f>A608&amp;"|"&amp;B608&amp;"|"&amp;H608&amp;"|"&amp;I608&amp;"|"&amp;R608&amp;"|"&amp;S608&amp;"|"&amp;V608</f>
        <v>ORD-2025-10607|2025-02-22|CUST-2698|Rahul Verma|3|3890.81|8754.32</v>
      </c>
      <c r="AG608" t="str">
        <f>IF(COUNTIF($A$2:$A$913,A608)&gt;1,"TRUE","FALSE")</f>
        <v>FALSE</v>
      </c>
    </row>
    <row r="609" spans="1:33">
      <c r="A609" t="s">
        <v>3249</v>
      </c>
      <c r="B609" t="s">
        <v>2418</v>
      </c>
      <c r="C609" t="s">
        <v>2846</v>
      </c>
      <c r="D609">
        <f>IF(OR(B609="", C609=""), "", (C609 - B609))</f>
        <v>6</v>
      </c>
      <c r="E609" t="str">
        <f>IF(C609&lt;B609, "INVALID: Ship date before order date", "")</f>
        <v/>
      </c>
      <c r="F609" t="str">
        <f>IF(B609="", "", TEXT(B609, "mmmm"))</f>
        <v>February</v>
      </c>
      <c r="G609">
        <f>IF(B609="", "", YEAR(B609))</f>
        <v>2025</v>
      </c>
      <c r="H609" t="s">
        <v>1884</v>
      </c>
      <c r="I609" t="s">
        <v>131</v>
      </c>
      <c r="J609" t="s">
        <v>93</v>
      </c>
      <c r="K609" t="s">
        <v>37</v>
      </c>
      <c r="L609" t="s">
        <v>142</v>
      </c>
      <c r="M609" t="s">
        <v>143</v>
      </c>
      <c r="N609" t="s">
        <v>27</v>
      </c>
      <c r="O609" t="s">
        <v>122</v>
      </c>
      <c r="P609" t="s">
        <v>1885</v>
      </c>
      <c r="Q609" t="s">
        <v>43</v>
      </c>
      <c r="R609">
        <v>5</v>
      </c>
      <c r="S609" s="15">
        <v>954.67</v>
      </c>
      <c r="T609" s="4">
        <v>0.15</v>
      </c>
      <c r="U609" s="3" t="str">
        <f>IF(T609&lt;0, "negative_discount", IF(AND(T609&gt;0.5, T609&lt;=1), "high_discount", ""))</f>
        <v/>
      </c>
      <c r="V609" s="11">
        <v>4057.35</v>
      </c>
      <c r="W609" s="12">
        <v>4057.35</v>
      </c>
      <c r="X609" s="11">
        <v>2862.03</v>
      </c>
      <c r="Y609" s="11">
        <v>1195.32</v>
      </c>
      <c r="Z609" s="11">
        <f>ROUND(W609-X609,2)</f>
        <v>1195.32</v>
      </c>
      <c r="AA609" s="4">
        <f>IF(W609=0,0,Z609/W609)</f>
        <v>0.29460608525268955</v>
      </c>
      <c r="AB609" t="s">
        <v>31</v>
      </c>
      <c r="AC609" t="s">
        <v>32</v>
      </c>
      <c r="AD609" t="str">
        <f>IF(AND(E609="", T609&gt;=0, T609&lt;=0.5, K609&lt;&gt;"Unknown", Q609&lt;&gt;"Unknown"), "CLEAN", _xlfn.CONCAT("WARNING: ", IF(E609&lt;&gt;"","invalid_date",""), IF(T609&lt;0,"negative_discount",""), IF(AND(T609&gt;0.5,T609&lt;=1),"high_discount",""), IF(K609="Unknown","missing_region",""), IF(Q609="Unknown","missing_ship_mode","")))</f>
        <v>CLEAN</v>
      </c>
      <c r="AE609" t="str">
        <f>IF(COUNTIF($AF$2:$AF$926,AF609)&gt;1,"DUPLICATE","UNIQUE")</f>
        <v>UNIQUE</v>
      </c>
      <c r="AF609" t="str">
        <f>A609&amp;"|"&amp;B609&amp;"|"&amp;H609&amp;"|"&amp;I609&amp;"|"&amp;R609&amp;"|"&amp;S609&amp;"|"&amp;V609</f>
        <v>ORD-2025-10608|2025-02-16|CUST-6297|Sneha Kapoor|5|954.67|4057.35</v>
      </c>
      <c r="AG609" t="str">
        <f>IF(COUNTIF($A$2:$A$913,A609)&gt;1,"TRUE","FALSE")</f>
        <v>FALSE</v>
      </c>
    </row>
    <row r="610" spans="1:33">
      <c r="A610" t="s">
        <v>1886</v>
      </c>
      <c r="B610" t="s">
        <v>2756</v>
      </c>
      <c r="C610" t="s">
        <v>688</v>
      </c>
      <c r="D610">
        <f>IF(OR(B610="", C610=""), "", (C610 - B610))</f>
        <v>2</v>
      </c>
      <c r="E610" t="str">
        <f>IF(C610&lt;B610, "INVALID: Ship date before order date", "")</f>
        <v/>
      </c>
      <c r="F610" t="str">
        <f>IF(B610="", "", TEXT(B610, "mmmm"))</f>
        <v>June</v>
      </c>
      <c r="G610">
        <f>IF(B610="", "", YEAR(B610))</f>
        <v>2024</v>
      </c>
      <c r="H610" t="s">
        <v>1668</v>
      </c>
      <c r="I610" t="s">
        <v>22</v>
      </c>
      <c r="J610" t="s">
        <v>93</v>
      </c>
      <c r="K610" t="s">
        <v>62</v>
      </c>
      <c r="L610" t="s">
        <v>185</v>
      </c>
      <c r="M610" t="s">
        <v>186</v>
      </c>
      <c r="N610" t="s">
        <v>40</v>
      </c>
      <c r="O610" t="s">
        <v>56</v>
      </c>
      <c r="P610" t="s">
        <v>1887</v>
      </c>
      <c r="Q610" t="s">
        <v>30</v>
      </c>
      <c r="R610">
        <v>9</v>
      </c>
      <c r="S610" s="15">
        <v>2153.75</v>
      </c>
      <c r="T610" s="4">
        <v>0</v>
      </c>
      <c r="U610" s="3" t="str">
        <f>IF(T610&lt;0, "negative_discount", IF(AND(T610&gt;0.5, T610&lt;=1), "high_discount", ""))</f>
        <v/>
      </c>
      <c r="V610" s="11">
        <v>19383.75</v>
      </c>
      <c r="W610" s="12">
        <v>19383.75</v>
      </c>
      <c r="X610" s="11">
        <v>11667.43</v>
      </c>
      <c r="Y610" s="11">
        <v>7716.32</v>
      </c>
      <c r="Z610" s="11">
        <f>ROUND(W610-X610,2)</f>
        <v>7716.32</v>
      </c>
      <c r="AA610" s="4">
        <f>IF(W610=0,0,Z610/W610)</f>
        <v>0.39808189849745274</v>
      </c>
      <c r="AB610" t="s">
        <v>31</v>
      </c>
      <c r="AC610" t="s">
        <v>32</v>
      </c>
      <c r="AD610" t="str">
        <f>IF(AND(E610="", T610&gt;=0, T610&lt;=0.5, K610&lt;&gt;"Unknown", Q610&lt;&gt;"Unknown"), "CLEAN", _xlfn.CONCAT("WARNING: ", IF(E610&lt;&gt;"","invalid_date",""), IF(T610&lt;0,"negative_discount",""), IF(AND(T610&gt;0.5,T610&lt;=1),"high_discount",""), IF(K610="Unknown","missing_region",""), IF(Q610="Unknown","missing_ship_mode","")))</f>
        <v>CLEAN</v>
      </c>
      <c r="AE610" t="str">
        <f>IF(COUNTIF($AF$2:$AF$926,AF610)&gt;1,"DUPLICATE","UNIQUE")</f>
        <v>UNIQUE</v>
      </c>
      <c r="AF610" t="str">
        <f>A610&amp;"|"&amp;B610&amp;"|"&amp;H610&amp;"|"&amp;I610&amp;"|"&amp;R610&amp;"|"&amp;S610&amp;"|"&amp;V610</f>
        <v>ORD-2024-10609|2024-06-21|CUST-7690|Karan Malhotra|9|2153.75|19383.75</v>
      </c>
      <c r="AG610" t="str">
        <f>IF(COUNTIF($A$2:$A$913,A610)&gt;1,"TRUE","FALSE")</f>
        <v>FALSE</v>
      </c>
    </row>
    <row r="611" spans="1:33">
      <c r="A611" t="s">
        <v>3250</v>
      </c>
      <c r="B611" t="s">
        <v>1324</v>
      </c>
      <c r="C611" t="s">
        <v>2744</v>
      </c>
      <c r="D611">
        <f>IF(OR(B611="", C611=""), "", (C611 - B611))</f>
        <v>327</v>
      </c>
      <c r="E611" t="str">
        <f>IF(C611&lt;B611, "INVALID: Ship date before order date", "")</f>
        <v/>
      </c>
      <c r="F611" t="str">
        <f>IF(B611="", "", TEXT(B611, "mmmm"))</f>
        <v>January</v>
      </c>
      <c r="G611">
        <f>IF(B611="", "", YEAR(B611))</f>
        <v>2025</v>
      </c>
      <c r="H611" t="s">
        <v>1888</v>
      </c>
      <c r="I611" t="s">
        <v>131</v>
      </c>
      <c r="J611" t="s">
        <v>93</v>
      </c>
      <c r="K611" t="s">
        <v>53</v>
      </c>
      <c r="L611" t="s">
        <v>171</v>
      </c>
      <c r="M611" t="s">
        <v>172</v>
      </c>
      <c r="N611" t="s">
        <v>40</v>
      </c>
      <c r="O611" t="s">
        <v>65</v>
      </c>
      <c r="P611" t="s">
        <v>1889</v>
      </c>
      <c r="Q611" t="s">
        <v>58</v>
      </c>
      <c r="R611">
        <v>7</v>
      </c>
      <c r="S611" s="15">
        <v>4337.4799999999996</v>
      </c>
      <c r="T611" s="4">
        <v>0</v>
      </c>
      <c r="U611" s="3" t="str">
        <f>IF(T611&lt;0, "negative_discount", IF(AND(T611&gt;0.5, T611&lt;=1), "high_discount", ""))</f>
        <v/>
      </c>
      <c r="V611" s="11">
        <v>30362.36</v>
      </c>
      <c r="W611" s="12">
        <v>30362.36</v>
      </c>
      <c r="X611" s="11">
        <v>25065.4</v>
      </c>
      <c r="Y611" s="11">
        <v>5296.96</v>
      </c>
      <c r="Z611" s="11">
        <f>ROUND(W611-X611,2)</f>
        <v>5296.96</v>
      </c>
      <c r="AA611" s="4">
        <f>IF(W611=0,0,Z611/W611)</f>
        <v>0.17445811195177185</v>
      </c>
      <c r="AB611" t="s">
        <v>31</v>
      </c>
      <c r="AC611" t="s">
        <v>32</v>
      </c>
      <c r="AD611" t="str">
        <f>IF(AND(E611="", T611&gt;=0, T611&lt;=0.5, K611&lt;&gt;"Unknown", Q611&lt;&gt;"Unknown"), "CLEAN", _xlfn.CONCAT("WARNING: ", IF(E611&lt;&gt;"","invalid_date",""), IF(T611&lt;0,"negative_discount",""), IF(AND(T611&gt;0.5,T611&lt;=1),"high_discount",""), IF(K611="Unknown","missing_region",""), IF(Q611="Unknown","missing_ship_mode","")))</f>
        <v>CLEAN</v>
      </c>
      <c r="AE611" t="str">
        <f>IF(COUNTIF($AF$2:$AF$926,AF611)&gt;1,"DUPLICATE","UNIQUE")</f>
        <v>UNIQUE</v>
      </c>
      <c r="AF611" t="str">
        <f>A611&amp;"|"&amp;B611&amp;"|"&amp;H611&amp;"|"&amp;I611&amp;"|"&amp;R611&amp;"|"&amp;S611&amp;"|"&amp;V611</f>
        <v>ORD-2025-10610|2025-01-08|CUST-4380|Sneha Kapoor|7|4337.48|30362.36</v>
      </c>
      <c r="AG611" t="str">
        <f>IF(COUNTIF($A$2:$A$913,A611)&gt;1,"TRUE","FALSE")</f>
        <v>FALSE</v>
      </c>
    </row>
    <row r="612" spans="1:33">
      <c r="A612" t="s">
        <v>1890</v>
      </c>
      <c r="B612" t="s">
        <v>2847</v>
      </c>
      <c r="C612" t="s">
        <v>2847</v>
      </c>
      <c r="D612">
        <f>IF(OR(B612="", C612=""), "", (C612 - B612))</f>
        <v>0</v>
      </c>
      <c r="E612" t="str">
        <f>IF(C612&lt;B612, "INVALID: Ship date before order date", "")</f>
        <v/>
      </c>
      <c r="F612" t="str">
        <f>IF(B612="", "", TEXT(B612, "mmmm"))</f>
        <v>May</v>
      </c>
      <c r="G612">
        <f>IF(B612="", "", YEAR(B612))</f>
        <v>2024</v>
      </c>
      <c r="H612" t="s">
        <v>1337</v>
      </c>
      <c r="I612" t="s">
        <v>22</v>
      </c>
      <c r="J612" t="s">
        <v>93</v>
      </c>
      <c r="K612" t="s">
        <v>62</v>
      </c>
      <c r="L612" t="s">
        <v>72</v>
      </c>
      <c r="M612" t="s">
        <v>73</v>
      </c>
      <c r="N612" t="s">
        <v>40</v>
      </c>
      <c r="O612" t="s">
        <v>65</v>
      </c>
      <c r="P612" t="s">
        <v>1891</v>
      </c>
      <c r="Q612" t="s">
        <v>58</v>
      </c>
      <c r="R612">
        <v>1</v>
      </c>
      <c r="S612" s="15">
        <v>3032.95</v>
      </c>
      <c r="T612" s="4">
        <v>0.1</v>
      </c>
      <c r="U612" s="3" t="str">
        <f>IF(T612&lt;0, "negative_discount", IF(AND(T612&gt;0.5, T612&lt;=1), "high_discount", ""))</f>
        <v/>
      </c>
      <c r="V612" s="11">
        <v>2729.65</v>
      </c>
      <c r="W612" s="12">
        <v>2729.66</v>
      </c>
      <c r="X612" s="11">
        <v>1715.36</v>
      </c>
      <c r="Y612" s="11">
        <v>1014.29</v>
      </c>
      <c r="Z612" s="11">
        <f>ROUND(W612-X612,2)</f>
        <v>1014.3</v>
      </c>
      <c r="AA612" s="4">
        <f>IF(W612=0,0,Z612/W612)</f>
        <v>0.37158473949136522</v>
      </c>
      <c r="AB612" t="s">
        <v>31</v>
      </c>
      <c r="AC612" t="s">
        <v>32</v>
      </c>
      <c r="AD612" t="str">
        <f>IF(AND(E612="", T612&gt;=0, T612&lt;=0.5, K612&lt;&gt;"Unknown", Q612&lt;&gt;"Unknown"), "CLEAN", _xlfn.CONCAT("WARNING: ", IF(E612&lt;&gt;"","invalid_date",""), IF(T612&lt;0,"negative_discount",""), IF(AND(T612&gt;0.5,T612&lt;=1),"high_discount",""), IF(K612="Unknown","missing_region",""), IF(Q612="Unknown","missing_ship_mode","")))</f>
        <v>CLEAN</v>
      </c>
      <c r="AE612" t="str">
        <f>IF(COUNTIF($AF$2:$AF$926,AF612)&gt;1,"DUPLICATE","UNIQUE")</f>
        <v>UNIQUE</v>
      </c>
      <c r="AF612" t="str">
        <f>A612&amp;"|"&amp;B612&amp;"|"&amp;H612&amp;"|"&amp;I612&amp;"|"&amp;R612&amp;"|"&amp;S612&amp;"|"&amp;V612</f>
        <v>ORD-2024-10611|2024-05-20|CUST-2779|Karan Malhotra|1|3032.95|2729.65</v>
      </c>
      <c r="AG612" t="str">
        <f>IF(COUNTIF($A$2:$A$913,A612)&gt;1,"TRUE","FALSE")</f>
        <v>FALSE</v>
      </c>
    </row>
    <row r="613" spans="1:33">
      <c r="A613" t="s">
        <v>3251</v>
      </c>
      <c r="B613" t="s">
        <v>1158</v>
      </c>
      <c r="C613" t="s">
        <v>2678</v>
      </c>
      <c r="D613">
        <f>IF(OR(B613="", C613=""), "", (C613 - B613))</f>
        <v>-23</v>
      </c>
      <c r="E613" t="str">
        <f>IF(C613&lt;B613, "INVALID: Ship date before order date", "")</f>
        <v>INVALID: Ship date before order date</v>
      </c>
      <c r="F613" t="str">
        <f>IF(B613="", "", TEXT(B613, "mmmm"))</f>
        <v>August</v>
      </c>
      <c r="G613">
        <f>IF(B613="", "", YEAR(B613))</f>
        <v>2025</v>
      </c>
      <c r="H613" t="s">
        <v>1892</v>
      </c>
      <c r="I613" t="s">
        <v>61</v>
      </c>
      <c r="J613" t="s">
        <v>36</v>
      </c>
      <c r="K613" t="s">
        <v>24</v>
      </c>
      <c r="L613" t="s">
        <v>25</v>
      </c>
      <c r="M613" t="s">
        <v>26</v>
      </c>
      <c r="N613" t="s">
        <v>27</v>
      </c>
      <c r="O613" t="s">
        <v>149</v>
      </c>
      <c r="P613" t="s">
        <v>1893</v>
      </c>
      <c r="Q613" t="s">
        <v>43</v>
      </c>
      <c r="R613">
        <v>8</v>
      </c>
      <c r="S613" s="15">
        <v>655.28</v>
      </c>
      <c r="T613" s="4">
        <v>0.1</v>
      </c>
      <c r="U613" s="3" t="str">
        <f>IF(T613&lt;0, "negative_discount", IF(AND(T613&gt;0.5, T613&lt;=1), "high_discount", ""))</f>
        <v/>
      </c>
      <c r="V613" s="11">
        <v>4718.0200000000004</v>
      </c>
      <c r="W613" s="12">
        <v>4718.0200000000004</v>
      </c>
      <c r="X613" s="11">
        <v>3908.23</v>
      </c>
      <c r="Y613" s="11">
        <v>809.79</v>
      </c>
      <c r="Z613" s="11">
        <f>ROUND(W613-X613,2)</f>
        <v>809.79</v>
      </c>
      <c r="AA613" s="4">
        <f>IF(W613=0,0,Z613/W613)</f>
        <v>0.17163767851768325</v>
      </c>
      <c r="AB613" t="s">
        <v>31</v>
      </c>
      <c r="AC613" t="s">
        <v>32</v>
      </c>
      <c r="AD613" t="str">
        <f>IF(AND(E613="", T613&gt;=0, T613&lt;=0.5, K613&lt;&gt;"Unknown", Q613&lt;&gt;"Unknown"), "CLEAN", _xlfn.CONCAT("WARNING: ", IF(E613&lt;&gt;"","invalid_date",""), IF(T613&lt;0,"negative_discount",""), IF(AND(T613&gt;0.5,T613&lt;=1),"high_discount",""), IF(K613="Unknown","missing_region",""), IF(Q613="Unknown","missing_ship_mode","")))</f>
        <v>WARNING: invalid_date</v>
      </c>
      <c r="AE613" t="str">
        <f>IF(COUNTIF($AF$2:$AF$926,AF613)&gt;1,"DUPLICATE","UNIQUE")</f>
        <v>UNIQUE</v>
      </c>
      <c r="AF613" t="str">
        <f>A613&amp;"|"&amp;B613&amp;"|"&amp;H613&amp;"|"&amp;I613&amp;"|"&amp;R613&amp;"|"&amp;S613&amp;"|"&amp;V613</f>
        <v>ORD-2025-10612|2025-08-07|CUST-6108|Ananya Rao|8|655.28|4718.02</v>
      </c>
      <c r="AG613" t="str">
        <f>IF(COUNTIF($A$2:$A$913,A613)&gt;1,"TRUE","FALSE")</f>
        <v>FALSE</v>
      </c>
    </row>
    <row r="614" spans="1:33">
      <c r="A614" t="s">
        <v>3252</v>
      </c>
      <c r="B614" t="s">
        <v>852</v>
      </c>
      <c r="C614" t="s">
        <v>1202</v>
      </c>
      <c r="D614">
        <f>IF(OR(B614="", C614=""), "", (C614 - B614))</f>
        <v>7</v>
      </c>
      <c r="E614" t="str">
        <f>IF(C614&lt;B614, "INVALID: Ship date before order date", "")</f>
        <v/>
      </c>
      <c r="F614" t="str">
        <f>IF(B614="", "", TEXT(B614, "mmmm"))</f>
        <v>April</v>
      </c>
      <c r="G614">
        <f>IF(B614="", "", YEAR(B614))</f>
        <v>2025</v>
      </c>
      <c r="H614" t="s">
        <v>1894</v>
      </c>
      <c r="I614" t="s">
        <v>88</v>
      </c>
      <c r="J614" t="s">
        <v>23</v>
      </c>
      <c r="K614" t="s">
        <v>2970</v>
      </c>
      <c r="L614" t="s">
        <v>38</v>
      </c>
      <c r="M614" t="s">
        <v>39</v>
      </c>
      <c r="N614" t="s">
        <v>74</v>
      </c>
      <c r="O614" t="s">
        <v>168</v>
      </c>
      <c r="P614" t="s">
        <v>1895</v>
      </c>
      <c r="Q614" t="s">
        <v>58</v>
      </c>
      <c r="R614">
        <v>1</v>
      </c>
      <c r="S614" s="15">
        <v>3844.01</v>
      </c>
      <c r="T614" s="4">
        <v>0</v>
      </c>
      <c r="U614" s="3" t="str">
        <f>IF(T614&lt;0, "negative_discount", IF(AND(T614&gt;0.5, T614&lt;=1), "high_discount", ""))</f>
        <v/>
      </c>
      <c r="V614" s="11">
        <v>3844.01</v>
      </c>
      <c r="W614" s="12">
        <v>3844.01</v>
      </c>
      <c r="X614" s="11">
        <v>2195.79</v>
      </c>
      <c r="Y614" s="11">
        <v>1648.22</v>
      </c>
      <c r="Z614" s="11">
        <f>ROUND(W614-X614,2)</f>
        <v>1648.22</v>
      </c>
      <c r="AA614" s="4">
        <f>IF(W614=0,0,Z614/W614)</f>
        <v>0.4287761998537985</v>
      </c>
      <c r="AB614" t="s">
        <v>31</v>
      </c>
      <c r="AC614" t="s">
        <v>32</v>
      </c>
      <c r="AD614" t="str">
        <f>IF(AND(E614="", T614&gt;=0, T614&lt;=0.5, K614&lt;&gt;"Unknown", Q614&lt;&gt;"Unknown"), "CLEAN", _xlfn.CONCAT("WARNING: ", IF(E614&lt;&gt;"","invalid_date",""), IF(T614&lt;0,"negative_discount",""), IF(AND(T614&gt;0.5,T614&lt;=1),"high_discount",""), IF(K614="Unknown","missing_region",""), IF(Q614="Unknown","missing_ship_mode","")))</f>
        <v>WARNING: missing_region</v>
      </c>
      <c r="AE614" t="str">
        <f>IF(COUNTIF($AF$2:$AF$926,AF614)&gt;1,"DUPLICATE","UNIQUE")</f>
        <v>UNIQUE</v>
      </c>
      <c r="AF614" t="str">
        <f>A614&amp;"|"&amp;B614&amp;"|"&amp;H614&amp;"|"&amp;I614&amp;"|"&amp;R614&amp;"|"&amp;S614&amp;"|"&amp;V614</f>
        <v>ORD-2025-10613|2025-04-06|CUST-5663|Aditi Sen|1|3844.01|3844.01</v>
      </c>
      <c r="AG614" t="str">
        <f>IF(COUNTIF($A$2:$A$913,A614)&gt;1,"TRUE","FALSE")</f>
        <v>FALSE</v>
      </c>
    </row>
    <row r="615" spans="1:33">
      <c r="A615" t="s">
        <v>1896</v>
      </c>
      <c r="B615" t="s">
        <v>1579</v>
      </c>
      <c r="C615" t="s">
        <v>2687</v>
      </c>
      <c r="D615">
        <f>IF(OR(B615="", C615=""), "", (C615 - B615))</f>
        <v>5</v>
      </c>
      <c r="E615" t="str">
        <f>IF(C615&lt;B615, "INVALID: Ship date before order date", "")</f>
        <v/>
      </c>
      <c r="F615" t="str">
        <f>IF(B615="", "", TEXT(B615, "mmmm"))</f>
        <v>October</v>
      </c>
      <c r="G615">
        <f>IF(B615="", "", YEAR(B615))</f>
        <v>2024</v>
      </c>
      <c r="H615" t="s">
        <v>1897</v>
      </c>
      <c r="I615" t="s">
        <v>158</v>
      </c>
      <c r="J615" t="s">
        <v>93</v>
      </c>
      <c r="K615" t="s">
        <v>62</v>
      </c>
      <c r="L615" t="s">
        <v>176</v>
      </c>
      <c r="M615" t="s">
        <v>177</v>
      </c>
      <c r="N615" t="s">
        <v>74</v>
      </c>
      <c r="O615" t="s">
        <v>272</v>
      </c>
      <c r="P615" t="s">
        <v>1898</v>
      </c>
      <c r="Q615" t="s">
        <v>43</v>
      </c>
      <c r="R615">
        <v>9</v>
      </c>
      <c r="S615" s="15">
        <v>3361.3</v>
      </c>
      <c r="T615" s="4">
        <v>0.25</v>
      </c>
      <c r="U615" s="3" t="str">
        <f>IF(T615&lt;0, "negative_discount", IF(AND(T615&gt;0.5, T615&lt;=1), "high_discount", ""))</f>
        <v/>
      </c>
      <c r="V615" s="11">
        <v>22688.78</v>
      </c>
      <c r="W615" s="12">
        <v>22688.78</v>
      </c>
      <c r="X615" s="11">
        <v>14672.41</v>
      </c>
      <c r="Y615" s="11">
        <v>8016.37</v>
      </c>
      <c r="Z615" s="11">
        <f>ROUND(W615-X615,2)</f>
        <v>8016.37</v>
      </c>
      <c r="AA615" s="4">
        <f>IF(W615=0,0,Z615/W615)</f>
        <v>0.35331868879684147</v>
      </c>
      <c r="AB615" t="s">
        <v>31</v>
      </c>
      <c r="AC615" t="s">
        <v>32</v>
      </c>
      <c r="AD615" t="str">
        <f>IF(AND(E615="", T615&gt;=0, T615&lt;=0.5, K615&lt;&gt;"Unknown", Q615&lt;&gt;"Unknown"), "CLEAN", _xlfn.CONCAT("WARNING: ", IF(E615&lt;&gt;"","invalid_date",""), IF(T615&lt;0,"negative_discount",""), IF(AND(T615&gt;0.5,T615&lt;=1),"high_discount",""), IF(K615="Unknown","missing_region",""), IF(Q615="Unknown","missing_ship_mode","")))</f>
        <v>CLEAN</v>
      </c>
      <c r="AE615" t="str">
        <f>IF(COUNTIF($AF$2:$AF$926,AF615)&gt;1,"DUPLICATE","UNIQUE")</f>
        <v>UNIQUE</v>
      </c>
      <c r="AF615" t="str">
        <f>A615&amp;"|"&amp;B615&amp;"|"&amp;H615&amp;"|"&amp;I615&amp;"|"&amp;R615&amp;"|"&amp;S615&amp;"|"&amp;V615</f>
        <v>ORD-2024-10614|2024-10-05|CUST-9311|Diya Patel|9|3361.3|22688.78</v>
      </c>
      <c r="AG615" t="str">
        <f>IF(COUNTIF($A$2:$A$913,A615)&gt;1,"TRUE","FALSE")</f>
        <v>FALSE</v>
      </c>
    </row>
    <row r="616" spans="1:33">
      <c r="A616" t="s">
        <v>1899</v>
      </c>
      <c r="B616" t="s">
        <v>2750</v>
      </c>
      <c r="C616" t="s">
        <v>2788</v>
      </c>
      <c r="D616">
        <f>IF(OR(B616="", C616=""), "", (C616 - B616))</f>
        <v>-257</v>
      </c>
      <c r="E616" t="str">
        <f>IF(C616&lt;B616, "INVALID: Ship date before order date", "")</f>
        <v>INVALID: Ship date before order date</v>
      </c>
      <c r="F616" t="str">
        <f>IF(B616="", "", TEXT(B616, "mmmm"))</f>
        <v>November</v>
      </c>
      <c r="G616">
        <f>IF(B616="", "", YEAR(B616))</f>
        <v>2024</v>
      </c>
      <c r="H616" t="s">
        <v>1900</v>
      </c>
      <c r="I616" t="s">
        <v>61</v>
      </c>
      <c r="J616" t="s">
        <v>93</v>
      </c>
      <c r="K616" t="s">
        <v>53</v>
      </c>
      <c r="L616" t="s">
        <v>54</v>
      </c>
      <c r="M616" t="s">
        <v>55</v>
      </c>
      <c r="N616" t="s">
        <v>40</v>
      </c>
      <c r="O616" t="s">
        <v>65</v>
      </c>
      <c r="P616" t="s">
        <v>1901</v>
      </c>
      <c r="Q616" t="s">
        <v>58</v>
      </c>
      <c r="R616">
        <v>8</v>
      </c>
      <c r="S616" s="15">
        <v>3398.32</v>
      </c>
      <c r="T616" s="4">
        <v>0.25</v>
      </c>
      <c r="U616" s="3" t="str">
        <f>IF(T616&lt;0, "negative_discount", IF(AND(T616&gt;0.5, T616&lt;=1), "high_discount", ""))</f>
        <v/>
      </c>
      <c r="V616" s="11">
        <v>20389.919999999998</v>
      </c>
      <c r="W616" s="12">
        <v>20389.919999999998</v>
      </c>
      <c r="X616" s="11">
        <v>16661.080000000002</v>
      </c>
      <c r="Y616" s="11">
        <v>3728.84</v>
      </c>
      <c r="Z616" s="11">
        <f>ROUND(W616-X616,2)</f>
        <v>3728.84</v>
      </c>
      <c r="AA616" s="4">
        <f>IF(W616=0,0,Z616/W616)</f>
        <v>0.18287663708342164</v>
      </c>
      <c r="AB616" t="s">
        <v>99</v>
      </c>
      <c r="AC616" t="s">
        <v>67</v>
      </c>
      <c r="AD616" t="str">
        <f>IF(AND(E616="", T616&gt;=0, T616&lt;=0.5, K616&lt;&gt;"Unknown", Q616&lt;&gt;"Unknown"), "CLEAN", _xlfn.CONCAT("WARNING: ", IF(E616&lt;&gt;"","invalid_date",""), IF(T616&lt;0,"negative_discount",""), IF(AND(T616&gt;0.5,T616&lt;=1),"high_discount",""), IF(K616="Unknown","missing_region",""), IF(Q616="Unknown","missing_ship_mode","")))</f>
        <v>WARNING: invalid_date</v>
      </c>
      <c r="AE616" t="str">
        <f>IF(COUNTIF($AF$2:$AF$926,AF616)&gt;1,"DUPLICATE","UNIQUE")</f>
        <v>UNIQUE</v>
      </c>
      <c r="AF616" t="str">
        <f>A616&amp;"|"&amp;B616&amp;"|"&amp;H616&amp;"|"&amp;I616&amp;"|"&amp;R616&amp;"|"&amp;S616&amp;"|"&amp;V616</f>
        <v>ORD-2024-10615|2024-11-02|CUST-8154|Ananya Rao|8|3398.32|20389.92</v>
      </c>
      <c r="AG616" t="str">
        <f>IF(COUNTIF($A$2:$A$913,A616)&gt;1,"TRUE","FALSE")</f>
        <v>FALSE</v>
      </c>
    </row>
    <row r="617" spans="1:33">
      <c r="A617" t="s">
        <v>1902</v>
      </c>
      <c r="B617" t="s">
        <v>1903</v>
      </c>
      <c r="C617" t="s">
        <v>1656</v>
      </c>
      <c r="D617">
        <f>IF(OR(B617="", C617=""), "", (C617 - B617))</f>
        <v>3</v>
      </c>
      <c r="E617" t="str">
        <f>IF(C617&lt;B617, "INVALID: Ship date before order date", "")</f>
        <v/>
      </c>
      <c r="F617" t="str">
        <f>IF(B617="", "", TEXT(B617, "mmmm"))</f>
        <v>October</v>
      </c>
      <c r="G617">
        <f>IF(B617="", "", YEAR(B617))</f>
        <v>2024</v>
      </c>
      <c r="H617" t="s">
        <v>1904</v>
      </c>
      <c r="I617" t="s">
        <v>116</v>
      </c>
      <c r="J617" t="s">
        <v>89</v>
      </c>
      <c r="K617" t="s">
        <v>53</v>
      </c>
      <c r="L617" t="s">
        <v>180</v>
      </c>
      <c r="M617" t="s">
        <v>181</v>
      </c>
      <c r="N617" t="s">
        <v>27</v>
      </c>
      <c r="O617" t="s">
        <v>47</v>
      </c>
      <c r="P617" t="s">
        <v>1905</v>
      </c>
      <c r="Q617" t="s">
        <v>30</v>
      </c>
      <c r="R617">
        <v>2</v>
      </c>
      <c r="S617" s="15">
        <v>3144.38</v>
      </c>
      <c r="T617" s="4">
        <v>0.1</v>
      </c>
      <c r="U617" s="3" t="str">
        <f>IF(T617&lt;0, "negative_discount", IF(AND(T617&gt;0.5, T617&lt;=1), "high_discount", ""))</f>
        <v/>
      </c>
      <c r="V617" s="11">
        <v>5904.57</v>
      </c>
      <c r="W617" s="12">
        <v>5659.88</v>
      </c>
      <c r="X617" s="11">
        <v>4337.79</v>
      </c>
      <c r="Y617" s="11">
        <v>1322.09</v>
      </c>
      <c r="Z617" s="11">
        <f>ROUND(W617-X617,2)</f>
        <v>1322.09</v>
      </c>
      <c r="AA617" s="4">
        <f>IF(W617=0,0,Z617/W617)</f>
        <v>0.23358975808674387</v>
      </c>
      <c r="AB617" t="s">
        <v>31</v>
      </c>
      <c r="AC617" t="s">
        <v>32</v>
      </c>
      <c r="AD617" t="str">
        <f>IF(AND(E617="", T617&gt;=0, T617&lt;=0.5, K617&lt;&gt;"Unknown", Q617&lt;&gt;"Unknown"), "CLEAN", _xlfn.CONCAT("WARNING: ", IF(E617&lt;&gt;"","invalid_date",""), IF(T617&lt;0,"negative_discount",""), IF(AND(T617&gt;0.5,T617&lt;=1),"high_discount",""), IF(K617="Unknown","missing_region",""), IF(Q617="Unknown","missing_ship_mode","")))</f>
        <v>CLEAN</v>
      </c>
      <c r="AE617" t="str">
        <f>IF(COUNTIF($AF$2:$AF$926,AF617)&gt;1,"DUPLICATE","UNIQUE")</f>
        <v>UNIQUE</v>
      </c>
      <c r="AF617" t="str">
        <f>A617&amp;"|"&amp;B617&amp;"|"&amp;H617&amp;"|"&amp;I617&amp;"|"&amp;R617&amp;"|"&amp;S617&amp;"|"&amp;V617</f>
        <v>ORD-2024-10616|2024-10-04|CUST-4462|Rahul Verma|2|3144.38|5904.57</v>
      </c>
      <c r="AG617" t="str">
        <f>IF(COUNTIF($A$2:$A$913,A617)&gt;1,"TRUE","FALSE")</f>
        <v>FALSE</v>
      </c>
    </row>
    <row r="618" spans="1:33">
      <c r="A618" t="s">
        <v>1906</v>
      </c>
      <c r="B618" t="s">
        <v>2848</v>
      </c>
      <c r="C618" t="s">
        <v>1772</v>
      </c>
      <c r="D618">
        <f>IF(OR(B618="", C618=""), "", (C618 - B618))</f>
        <v>3</v>
      </c>
      <c r="E618" t="str">
        <f>IF(C618&lt;B618, "INVALID: Ship date before order date", "")</f>
        <v/>
      </c>
      <c r="F618" t="str">
        <f>IF(B618="", "", TEXT(B618, "mmmm"))</f>
        <v>August</v>
      </c>
      <c r="G618">
        <f>IF(B618="", "", YEAR(B618))</f>
        <v>2024</v>
      </c>
      <c r="H618" t="s">
        <v>1907</v>
      </c>
      <c r="I618" t="s">
        <v>263</v>
      </c>
      <c r="J618" t="s">
        <v>23</v>
      </c>
      <c r="K618" t="s">
        <v>53</v>
      </c>
      <c r="L618" t="s">
        <v>54</v>
      </c>
      <c r="M618" t="s">
        <v>55</v>
      </c>
      <c r="N618" t="s">
        <v>27</v>
      </c>
      <c r="O618" t="s">
        <v>28</v>
      </c>
      <c r="P618" t="s">
        <v>1908</v>
      </c>
      <c r="Q618" t="s">
        <v>58</v>
      </c>
      <c r="R618">
        <v>6</v>
      </c>
      <c r="S618" s="15">
        <v>3925.55</v>
      </c>
      <c r="T618" s="4">
        <v>0.2</v>
      </c>
      <c r="U618" s="3" t="str">
        <f>IF(T618&lt;0, "negative_discount", IF(AND(T618&gt;0.5, T618&lt;=1), "high_discount", ""))</f>
        <v/>
      </c>
      <c r="V618" s="11">
        <v>18842.64</v>
      </c>
      <c r="W618" s="12">
        <v>18842.64</v>
      </c>
      <c r="X618" s="11">
        <v>11840.58</v>
      </c>
      <c r="Y618" s="11">
        <v>7002.06</v>
      </c>
      <c r="Z618" s="11">
        <f>ROUND(W618-X618,2)</f>
        <v>7002.06</v>
      </c>
      <c r="AA618" s="4">
        <f>IF(W618=0,0,Z618/W618)</f>
        <v>0.37160716332743188</v>
      </c>
      <c r="AB618" t="s">
        <v>31</v>
      </c>
      <c r="AC618" t="s">
        <v>32</v>
      </c>
      <c r="AD618" t="str">
        <f>IF(AND(E618="", T618&gt;=0, T618&lt;=0.5, K618&lt;&gt;"Unknown", Q618&lt;&gt;"Unknown"), "CLEAN", _xlfn.CONCAT("WARNING: ", IF(E618&lt;&gt;"","invalid_date",""), IF(T618&lt;0,"negative_discount",""), IF(AND(T618&gt;0.5,T618&lt;=1),"high_discount",""), IF(K618="Unknown","missing_region",""), IF(Q618="Unknown","missing_ship_mode","")))</f>
        <v>CLEAN</v>
      </c>
      <c r="AE618" t="str">
        <f>IF(COUNTIF($AF$2:$AF$926,AF618)&gt;1,"DUPLICATE","UNIQUE")</f>
        <v>UNIQUE</v>
      </c>
      <c r="AF618" t="str">
        <f>A618&amp;"|"&amp;B618&amp;"|"&amp;H618&amp;"|"&amp;I618&amp;"|"&amp;R618&amp;"|"&amp;S618&amp;"|"&amp;V618</f>
        <v>ORD-2024-10617|2024-08-16|CUST-4660|Kabir Singh|6|3925.55|18842.64</v>
      </c>
      <c r="AG618" t="str">
        <f>IF(COUNTIF($A$2:$A$913,A618)&gt;1,"TRUE","FALSE")</f>
        <v>FALSE</v>
      </c>
    </row>
    <row r="619" spans="1:33">
      <c r="A619" t="s">
        <v>1909</v>
      </c>
      <c r="B619" t="s">
        <v>2849</v>
      </c>
      <c r="C619" t="s">
        <v>640</v>
      </c>
      <c r="D619">
        <f>IF(OR(B619="", C619=""), "", (C619 - B619))</f>
        <v>1</v>
      </c>
      <c r="E619" t="str">
        <f>IF(C619&lt;B619, "INVALID: Ship date before order date", "")</f>
        <v/>
      </c>
      <c r="F619" t="str">
        <f>IF(B619="", "", TEXT(B619, "mmmm"))</f>
        <v>September</v>
      </c>
      <c r="G619">
        <f>IF(B619="", "", YEAR(B619))</f>
        <v>2024</v>
      </c>
      <c r="H619" t="s">
        <v>1910</v>
      </c>
      <c r="I619" t="s">
        <v>35</v>
      </c>
      <c r="J619" t="s">
        <v>93</v>
      </c>
      <c r="K619" t="s">
        <v>53</v>
      </c>
      <c r="L619" t="s">
        <v>54</v>
      </c>
      <c r="M619" t="s">
        <v>55</v>
      </c>
      <c r="N619" t="s">
        <v>74</v>
      </c>
      <c r="O619" t="s">
        <v>168</v>
      </c>
      <c r="P619" t="s">
        <v>1911</v>
      </c>
      <c r="Q619" t="s">
        <v>58</v>
      </c>
      <c r="R619">
        <v>9</v>
      </c>
      <c r="S619" s="15">
        <v>2741.91</v>
      </c>
      <c r="T619" s="4">
        <v>0</v>
      </c>
      <c r="U619" s="3" t="str">
        <f>IF(T619&lt;0, "negative_discount", IF(AND(T619&gt;0.5, T619&lt;=1), "high_discount", ""))</f>
        <v/>
      </c>
      <c r="V619" s="11">
        <v>24677.19</v>
      </c>
      <c r="W619" s="12">
        <v>24677.19</v>
      </c>
      <c r="X619" s="11">
        <v>20350.849999999999</v>
      </c>
      <c r="Y619" s="11">
        <v>4326.34</v>
      </c>
      <c r="Z619" s="11">
        <f>ROUND(W619-X619,2)</f>
        <v>4326.34</v>
      </c>
      <c r="AA619" s="4">
        <f>IF(W619=0,0,Z619/W619)</f>
        <v>0.17531736798233513</v>
      </c>
      <c r="AB619" t="s">
        <v>31</v>
      </c>
      <c r="AC619" t="s">
        <v>32</v>
      </c>
      <c r="AD619" t="str">
        <f>IF(AND(E619="", T619&gt;=0, T619&lt;=0.5, K619&lt;&gt;"Unknown", Q619&lt;&gt;"Unknown"), "CLEAN", _xlfn.CONCAT("WARNING: ", IF(E619&lt;&gt;"","invalid_date",""), IF(T619&lt;0,"negative_discount",""), IF(AND(T619&gt;0.5,T619&lt;=1),"high_discount",""), IF(K619="Unknown","missing_region",""), IF(Q619="Unknown","missing_ship_mode","")))</f>
        <v>CLEAN</v>
      </c>
      <c r="AE619" t="str">
        <f>IF(COUNTIF($AF$2:$AF$926,AF619)&gt;1,"DUPLICATE","UNIQUE")</f>
        <v>UNIQUE</v>
      </c>
      <c r="AF619" t="str">
        <f>A619&amp;"|"&amp;B619&amp;"|"&amp;H619&amp;"|"&amp;I619&amp;"|"&amp;R619&amp;"|"&amp;S619&amp;"|"&amp;V619</f>
        <v>ORD-2024-10618|2024-09-29|CUST-9002|Mira Das|9|2741.91|24677.19</v>
      </c>
      <c r="AG619" t="str">
        <f>IF(COUNTIF($A$2:$A$913,A619)&gt;1,"TRUE","FALSE")</f>
        <v>FALSE</v>
      </c>
    </row>
    <row r="620" spans="1:33">
      <c r="A620" t="s">
        <v>1912</v>
      </c>
      <c r="B620" t="s">
        <v>1913</v>
      </c>
      <c r="C620" t="s">
        <v>371</v>
      </c>
      <c r="D620">
        <f>IF(OR(B620="", C620=""), "", (C620 - B620))</f>
        <v>7</v>
      </c>
      <c r="E620" t="str">
        <f>IF(C620&lt;B620, "INVALID: Ship date before order date", "")</f>
        <v/>
      </c>
      <c r="F620" t="str">
        <f>IF(B620="", "", TEXT(B620, "mmmm"))</f>
        <v>July</v>
      </c>
      <c r="G620">
        <f>IF(B620="", "", YEAR(B620))</f>
        <v>2024</v>
      </c>
      <c r="H620" t="s">
        <v>1914</v>
      </c>
      <c r="I620" t="s">
        <v>263</v>
      </c>
      <c r="J620" t="s">
        <v>89</v>
      </c>
      <c r="K620" t="s">
        <v>24</v>
      </c>
      <c r="L620" t="s">
        <v>25</v>
      </c>
      <c r="M620" t="s">
        <v>26</v>
      </c>
      <c r="N620" t="s">
        <v>40</v>
      </c>
      <c r="O620" t="s">
        <v>41</v>
      </c>
      <c r="P620" t="s">
        <v>1915</v>
      </c>
      <c r="Q620" t="s">
        <v>43</v>
      </c>
      <c r="R620">
        <v>9</v>
      </c>
      <c r="S620" s="15">
        <v>1870.11</v>
      </c>
      <c r="T620" s="4">
        <v>0.25</v>
      </c>
      <c r="U620" s="3" t="str">
        <f>IF(T620&lt;0, "negative_discount", IF(AND(T620&gt;0.5, T620&lt;=1), "high_discount", ""))</f>
        <v/>
      </c>
      <c r="V620" s="11">
        <v>12623.24</v>
      </c>
      <c r="W620" s="12">
        <v>12623.24</v>
      </c>
      <c r="X620" s="11">
        <v>10540.8</v>
      </c>
      <c r="Y620" s="11">
        <v>2082.44</v>
      </c>
      <c r="Z620" s="11">
        <f>ROUND(W620-X620,2)</f>
        <v>2082.44</v>
      </c>
      <c r="AA620" s="4">
        <f>IF(W620=0,0,Z620/W620)</f>
        <v>0.16496874019665317</v>
      </c>
      <c r="AB620" t="s">
        <v>151</v>
      </c>
      <c r="AC620" t="s">
        <v>67</v>
      </c>
      <c r="AD620" t="str">
        <f>IF(AND(E620="", T620&gt;=0, T620&lt;=0.5, K620&lt;&gt;"Unknown", Q620&lt;&gt;"Unknown"), "CLEAN", _xlfn.CONCAT("WARNING: ", IF(E620&lt;&gt;"","invalid_date",""), IF(T620&lt;0,"negative_discount",""), IF(AND(T620&gt;0.5,T620&lt;=1),"high_discount",""), IF(K620="Unknown","missing_region",""), IF(Q620="Unknown","missing_ship_mode","")))</f>
        <v>CLEAN</v>
      </c>
      <c r="AE620" t="str">
        <f>IF(COUNTIF($AF$2:$AF$926,AF620)&gt;1,"DUPLICATE","UNIQUE")</f>
        <v>UNIQUE</v>
      </c>
      <c r="AF620" t="str">
        <f>A620&amp;"|"&amp;B620&amp;"|"&amp;H620&amp;"|"&amp;I620&amp;"|"&amp;R620&amp;"|"&amp;S620&amp;"|"&amp;V620</f>
        <v>ORD-2024-10619|2024-07-23|CUST-1057|Kabir Singh|9|1870.11|12623.24</v>
      </c>
      <c r="AG620" t="str">
        <f>IF(COUNTIF($A$2:$A$913,A620)&gt;1,"TRUE","FALSE")</f>
        <v>FALSE</v>
      </c>
    </row>
    <row r="621" spans="1:33">
      <c r="A621" t="s">
        <v>1916</v>
      </c>
      <c r="B621" t="s">
        <v>1548</v>
      </c>
      <c r="C621" t="s">
        <v>2885</v>
      </c>
      <c r="D621">
        <f>IF(OR(B621="", C621=""), "", (C621 - B621))</f>
        <v>5</v>
      </c>
      <c r="E621" t="str">
        <f>IF(C621&lt;B621, "INVALID: Ship date before order date", "")</f>
        <v/>
      </c>
      <c r="F621" t="str">
        <f>IF(B621="", "", TEXT(B621, "mmmm"))</f>
        <v>November</v>
      </c>
      <c r="G621">
        <f>IF(B621="", "", YEAR(B621))</f>
        <v>2024</v>
      </c>
      <c r="H621" t="s">
        <v>1917</v>
      </c>
      <c r="I621" t="s">
        <v>112</v>
      </c>
      <c r="J621" t="s">
        <v>89</v>
      </c>
      <c r="K621" t="s">
        <v>53</v>
      </c>
      <c r="L621" t="s">
        <v>246</v>
      </c>
      <c r="M621" t="s">
        <v>247</v>
      </c>
      <c r="N621" t="s">
        <v>27</v>
      </c>
      <c r="O621" t="s">
        <v>149</v>
      </c>
      <c r="P621" t="s">
        <v>1918</v>
      </c>
      <c r="Q621" t="s">
        <v>49</v>
      </c>
      <c r="R621">
        <v>1</v>
      </c>
      <c r="S621" s="15">
        <v>4251.26</v>
      </c>
      <c r="T621" s="4">
        <v>0.2</v>
      </c>
      <c r="U621" s="3" t="str">
        <f>IF(T621&lt;0, "negative_discount", IF(AND(T621&gt;0.5, T621&lt;=1), "high_discount", ""))</f>
        <v/>
      </c>
      <c r="V621" s="11">
        <v>3401.01</v>
      </c>
      <c r="W621" s="12">
        <v>3401.01</v>
      </c>
      <c r="X621" s="11">
        <v>2917.54</v>
      </c>
      <c r="Y621" s="11">
        <v>483.47</v>
      </c>
      <c r="Z621" s="11">
        <f>ROUND(W621-X621,2)</f>
        <v>483.47</v>
      </c>
      <c r="AA621" s="4">
        <f>IF(W621=0,0,Z621/W621)</f>
        <v>0.14215483047682895</v>
      </c>
      <c r="AB621" t="s">
        <v>99</v>
      </c>
      <c r="AC621" t="s">
        <v>100</v>
      </c>
      <c r="AD621" t="str">
        <f>IF(AND(E621="", T621&gt;=0, T621&lt;=0.5, K621&lt;&gt;"Unknown", Q621&lt;&gt;"Unknown"), "CLEAN", _xlfn.CONCAT("WARNING: ", IF(E621&lt;&gt;"","invalid_date",""), IF(T621&lt;0,"negative_discount",""), IF(AND(T621&gt;0.5,T621&lt;=1),"high_discount",""), IF(K621="Unknown","missing_region",""), IF(Q621="Unknown","missing_ship_mode","")))</f>
        <v>CLEAN</v>
      </c>
      <c r="AE621" t="str">
        <f>IF(COUNTIF($AF$2:$AF$926,AF621)&gt;1,"DUPLICATE","UNIQUE")</f>
        <v>UNIQUE</v>
      </c>
      <c r="AF621" t="str">
        <f>A621&amp;"|"&amp;B621&amp;"|"&amp;H621&amp;"|"&amp;I621&amp;"|"&amp;R621&amp;"|"&amp;S621&amp;"|"&amp;V621</f>
        <v>ORD-2024-10620|2024-11-22|CUST-9596|Priya Menon|1|4251.26|3401.01</v>
      </c>
      <c r="AG621" t="str">
        <f>IF(COUNTIF($A$2:$A$913,A621)&gt;1,"TRUE","FALSE")</f>
        <v>FALSE</v>
      </c>
    </row>
    <row r="622" spans="1:33">
      <c r="A622" t="s">
        <v>1919</v>
      </c>
      <c r="B622" t="s">
        <v>475</v>
      </c>
      <c r="C622" t="s">
        <v>2773</v>
      </c>
      <c r="D622">
        <f>IF(OR(B622="", C622=""), "", (C622 - B622))</f>
        <v>3</v>
      </c>
      <c r="E622" t="str">
        <f>IF(C622&lt;B622, "INVALID: Ship date before order date", "")</f>
        <v/>
      </c>
      <c r="F622" t="str">
        <f>IF(B622="", "", TEXT(B622, "mmmm"))</f>
        <v>August</v>
      </c>
      <c r="G622">
        <f>IF(B622="", "", YEAR(B622))</f>
        <v>2024</v>
      </c>
      <c r="H622" t="s">
        <v>1920</v>
      </c>
      <c r="I622" t="s">
        <v>71</v>
      </c>
      <c r="J622" t="s">
        <v>23</v>
      </c>
      <c r="K622" t="s">
        <v>24</v>
      </c>
      <c r="L622" t="s">
        <v>134</v>
      </c>
      <c r="M622" t="s">
        <v>135</v>
      </c>
      <c r="N622" t="s">
        <v>74</v>
      </c>
      <c r="O622" t="s">
        <v>272</v>
      </c>
      <c r="P622" t="s">
        <v>1921</v>
      </c>
      <c r="Q622" t="s">
        <v>58</v>
      </c>
      <c r="R622">
        <v>9</v>
      </c>
      <c r="S622" s="15">
        <v>734.34</v>
      </c>
      <c r="T622" s="4">
        <v>0</v>
      </c>
      <c r="U622" s="3" t="str">
        <f>IF(T622&lt;0, "negative_discount", IF(AND(T622&gt;0.5, T622&lt;=1), "high_discount", ""))</f>
        <v/>
      </c>
      <c r="V622" s="11">
        <v>6609.06</v>
      </c>
      <c r="W622" s="12">
        <v>6609.06</v>
      </c>
      <c r="X622" s="11">
        <v>4946.78</v>
      </c>
      <c r="Y622" s="11">
        <v>1662.28</v>
      </c>
      <c r="Z622" s="11">
        <f>ROUND(W622-X622,2)</f>
        <v>1662.28</v>
      </c>
      <c r="AA622" s="4">
        <f>IF(W622=0,0,Z622/W622)</f>
        <v>0.2515153440882667</v>
      </c>
      <c r="AB622" t="s">
        <v>31</v>
      </c>
      <c r="AC622" t="s">
        <v>32</v>
      </c>
      <c r="AD622" t="str">
        <f>IF(AND(E622="", T622&gt;=0, T622&lt;=0.5, K622&lt;&gt;"Unknown", Q622&lt;&gt;"Unknown"), "CLEAN", _xlfn.CONCAT("WARNING: ", IF(E622&lt;&gt;"","invalid_date",""), IF(T622&lt;0,"negative_discount",""), IF(AND(T622&gt;0.5,T622&lt;=1),"high_discount",""), IF(K622="Unknown","missing_region",""), IF(Q622="Unknown","missing_ship_mode","")))</f>
        <v>CLEAN</v>
      </c>
      <c r="AE622" t="str">
        <f>IF(COUNTIF($AF$2:$AF$926,AF622)&gt;1,"DUPLICATE","UNIQUE")</f>
        <v>UNIQUE</v>
      </c>
      <c r="AF622" t="str">
        <f>A622&amp;"|"&amp;B622&amp;"|"&amp;H622&amp;"|"&amp;I622&amp;"|"&amp;R622&amp;"|"&amp;S622&amp;"|"&amp;V622</f>
        <v>ORD-2024-10621|2024-08-18|CUST-6947|Vikram Iyer|9|734.34|6609.06</v>
      </c>
      <c r="AG622" t="str">
        <f>IF(COUNTIF($A$2:$A$913,A622)&gt;1,"TRUE","FALSE")</f>
        <v>FALSE</v>
      </c>
    </row>
    <row r="623" spans="1:33">
      <c r="A623" t="s">
        <v>1922</v>
      </c>
      <c r="B623" t="s">
        <v>2219</v>
      </c>
      <c r="C623" t="s">
        <v>2562</v>
      </c>
      <c r="D623">
        <f>IF(OR(B623="", C623=""), "", (C623 - B623))</f>
        <v>-169</v>
      </c>
      <c r="E623" t="str">
        <f>IF(C623&lt;B623, "INVALID: Ship date before order date", "")</f>
        <v>INVALID: Ship date before order date</v>
      </c>
      <c r="F623" t="str">
        <f>IF(B623="", "", TEXT(B623, "mmmm"))</f>
        <v>November</v>
      </c>
      <c r="G623">
        <f>IF(B623="", "", YEAR(B623))</f>
        <v>2024</v>
      </c>
      <c r="H623" t="s">
        <v>1923</v>
      </c>
      <c r="I623" t="s">
        <v>88</v>
      </c>
      <c r="J623" t="s">
        <v>23</v>
      </c>
      <c r="K623" t="s">
        <v>62</v>
      </c>
      <c r="L623" t="s">
        <v>63</v>
      </c>
      <c r="M623" t="s">
        <v>64</v>
      </c>
      <c r="N623" t="s">
        <v>40</v>
      </c>
      <c r="O623" t="s">
        <v>65</v>
      </c>
      <c r="P623" t="s">
        <v>1924</v>
      </c>
      <c r="Q623" t="s">
        <v>43</v>
      </c>
      <c r="R623">
        <v>5</v>
      </c>
      <c r="S623" s="15">
        <v>1092.8399999999999</v>
      </c>
      <c r="T623" s="4">
        <v>0</v>
      </c>
      <c r="U623" s="3" t="str">
        <f>IF(T623&lt;0, "negative_discount", IF(AND(T623&gt;0.5, T623&lt;=1), "high_discount", ""))</f>
        <v/>
      </c>
      <c r="V623" s="11">
        <v>5464.2</v>
      </c>
      <c r="W623" s="12">
        <v>5464.2</v>
      </c>
      <c r="X623" s="11">
        <v>3318.09</v>
      </c>
      <c r="Y623" s="11">
        <v>2146.11</v>
      </c>
      <c r="Z623" s="11">
        <f>ROUND(W623-X623,2)</f>
        <v>2146.11</v>
      </c>
      <c r="AA623" s="4">
        <f>IF(W623=0,0,Z623/W623)</f>
        <v>0.39275831777753378</v>
      </c>
      <c r="AB623" t="s">
        <v>31</v>
      </c>
      <c r="AC623" t="s">
        <v>32</v>
      </c>
      <c r="AD623" t="str">
        <f>IF(AND(E623="", T623&gt;=0, T623&lt;=0.5, K623&lt;&gt;"Unknown", Q623&lt;&gt;"Unknown"), "CLEAN", _xlfn.CONCAT("WARNING: ", IF(E623&lt;&gt;"","invalid_date",""), IF(T623&lt;0,"negative_discount",""), IF(AND(T623&gt;0.5,T623&lt;=1),"high_discount",""), IF(K623="Unknown","missing_region",""), IF(Q623="Unknown","missing_ship_mode","")))</f>
        <v>WARNING: invalid_date</v>
      </c>
      <c r="AE623" t="str">
        <f>IF(COUNTIF($AF$2:$AF$926,AF623)&gt;1,"DUPLICATE","UNIQUE")</f>
        <v>UNIQUE</v>
      </c>
      <c r="AF623" t="str">
        <f>A623&amp;"|"&amp;B623&amp;"|"&amp;H623&amp;"|"&amp;I623&amp;"|"&amp;R623&amp;"|"&amp;S623&amp;"|"&amp;V623</f>
        <v>ORD-2024-10622|2024-11-28|CUST-7236|Aditi Sen|5|1092.84|5464.2</v>
      </c>
      <c r="AG623" t="str">
        <f>IF(COUNTIF($A$2:$A$913,A623)&gt;1,"TRUE","FALSE")</f>
        <v>FALSE</v>
      </c>
    </row>
    <row r="624" spans="1:33">
      <c r="A624" t="s">
        <v>3253</v>
      </c>
      <c r="B624" t="s">
        <v>1706</v>
      </c>
      <c r="C624" t="s">
        <v>2519</v>
      </c>
      <c r="D624">
        <f>IF(OR(B624="", C624=""), "", (C624 - B624))</f>
        <v>8</v>
      </c>
      <c r="E624" t="str">
        <f>IF(C624&lt;B624, "INVALID: Ship date before order date", "")</f>
        <v/>
      </c>
      <c r="F624" t="str">
        <f>IF(B624="", "", TEXT(B624, "mmmm"))</f>
        <v>January</v>
      </c>
      <c r="G624">
        <f>IF(B624="", "", YEAR(B624))</f>
        <v>2025</v>
      </c>
      <c r="H624" t="s">
        <v>1925</v>
      </c>
      <c r="I624" t="s">
        <v>71</v>
      </c>
      <c r="J624" t="s">
        <v>23</v>
      </c>
      <c r="K624" t="s">
        <v>37</v>
      </c>
      <c r="L624" t="s">
        <v>142</v>
      </c>
      <c r="M624" t="s">
        <v>143</v>
      </c>
      <c r="N624" t="s">
        <v>27</v>
      </c>
      <c r="O624" t="s">
        <v>122</v>
      </c>
      <c r="P624" t="s">
        <v>1926</v>
      </c>
      <c r="Q624" t="s">
        <v>58</v>
      </c>
      <c r="R624">
        <v>4</v>
      </c>
      <c r="S624" s="15">
        <v>2759.01</v>
      </c>
      <c r="T624" s="4">
        <v>0.05</v>
      </c>
      <c r="U624" s="3" t="str">
        <f>IF(T624&lt;0, "negative_discount", IF(AND(T624&gt;0.5, T624&lt;=1), "high_discount", ""))</f>
        <v/>
      </c>
      <c r="V624" s="11">
        <v>10484.24</v>
      </c>
      <c r="W624" s="12">
        <v>10484.24</v>
      </c>
      <c r="X624" s="11">
        <v>6680.15</v>
      </c>
      <c r="Y624" s="11">
        <v>3804.09</v>
      </c>
      <c r="Z624" s="11">
        <f>ROUND(W624-X624,2)</f>
        <v>3804.09</v>
      </c>
      <c r="AA624" s="4">
        <f>IF(W624=0,0,Z624/W624)</f>
        <v>0.3628388896095473</v>
      </c>
      <c r="AB624" t="s">
        <v>31</v>
      </c>
      <c r="AC624" t="s">
        <v>32</v>
      </c>
      <c r="AD624" t="str">
        <f>IF(AND(E624="", T624&gt;=0, T624&lt;=0.5, K624&lt;&gt;"Unknown", Q624&lt;&gt;"Unknown"), "CLEAN", _xlfn.CONCAT("WARNING: ", IF(E624&lt;&gt;"","invalid_date",""), IF(T624&lt;0,"negative_discount",""), IF(AND(T624&gt;0.5,T624&lt;=1),"high_discount",""), IF(K624="Unknown","missing_region",""), IF(Q624="Unknown","missing_ship_mode","")))</f>
        <v>CLEAN</v>
      </c>
      <c r="AE624" t="str">
        <f>IF(COUNTIF($AF$2:$AF$926,AF624)&gt;1,"DUPLICATE","UNIQUE")</f>
        <v>UNIQUE</v>
      </c>
      <c r="AF624" t="str">
        <f>A624&amp;"|"&amp;B624&amp;"|"&amp;H624&amp;"|"&amp;I624&amp;"|"&amp;R624&amp;"|"&amp;S624&amp;"|"&amp;V624</f>
        <v>ORD-2025-10623|2025-01-29|CUST-1127|Vikram Iyer|4|2759.01|10484.24</v>
      </c>
      <c r="AG624" t="str">
        <f>IF(COUNTIF($A$2:$A$913,A624)&gt;1,"TRUE","FALSE")</f>
        <v>FALSE</v>
      </c>
    </row>
    <row r="625" spans="1:33">
      <c r="A625" t="s">
        <v>1927</v>
      </c>
      <c r="B625" t="s">
        <v>2850</v>
      </c>
      <c r="C625" t="s">
        <v>351</v>
      </c>
      <c r="D625">
        <f>IF(OR(B625="", C625=""), "", (C625 - B625))</f>
        <v>6</v>
      </c>
      <c r="E625" t="str">
        <f>IF(C625&lt;B625, "INVALID: Ship date before order date", "")</f>
        <v/>
      </c>
      <c r="F625" t="str">
        <f>IF(B625="", "", TEXT(B625, "mmmm"))</f>
        <v>August</v>
      </c>
      <c r="G625">
        <f>IF(B625="", "", YEAR(B625))</f>
        <v>2024</v>
      </c>
      <c r="H625" t="s">
        <v>1928</v>
      </c>
      <c r="I625" t="s">
        <v>71</v>
      </c>
      <c r="J625" t="s">
        <v>93</v>
      </c>
      <c r="K625" t="s">
        <v>24</v>
      </c>
      <c r="L625" t="s">
        <v>120</v>
      </c>
      <c r="M625" t="s">
        <v>121</v>
      </c>
      <c r="N625" t="s">
        <v>27</v>
      </c>
      <c r="O625" t="s">
        <v>122</v>
      </c>
      <c r="P625" t="s">
        <v>1929</v>
      </c>
      <c r="Q625" t="s">
        <v>30</v>
      </c>
      <c r="R625">
        <v>8</v>
      </c>
      <c r="S625" s="15">
        <v>1359.19</v>
      </c>
      <c r="T625" s="4">
        <v>0.05</v>
      </c>
      <c r="U625" s="3" t="str">
        <f>IF(T625&lt;0, "negative_discount", IF(AND(T625&gt;0.5, T625&lt;=1), "high_discount", ""))</f>
        <v/>
      </c>
      <c r="V625" s="11">
        <v>10329.84</v>
      </c>
      <c r="W625" s="12">
        <v>10329.84</v>
      </c>
      <c r="X625" s="11">
        <v>7512.22</v>
      </c>
      <c r="Y625" s="11">
        <v>2817.62</v>
      </c>
      <c r="Z625" s="11">
        <f>ROUND(W625-X625,2)</f>
        <v>2817.62</v>
      </c>
      <c r="AA625" s="4">
        <f>IF(W625=0,0,Z625/W625)</f>
        <v>0.27276511543257204</v>
      </c>
      <c r="AB625" t="s">
        <v>31</v>
      </c>
      <c r="AC625" t="s">
        <v>32</v>
      </c>
      <c r="AD625" t="str">
        <f>IF(AND(E625="", T625&gt;=0, T625&lt;=0.5, K625&lt;&gt;"Unknown", Q625&lt;&gt;"Unknown"), "CLEAN", _xlfn.CONCAT("WARNING: ", IF(E625&lt;&gt;"","invalid_date",""), IF(T625&lt;0,"negative_discount",""), IF(AND(T625&gt;0.5,T625&lt;=1),"high_discount",""), IF(K625="Unknown","missing_region",""), IF(Q625="Unknown","missing_ship_mode","")))</f>
        <v>CLEAN</v>
      </c>
      <c r="AE625" t="str">
        <f>IF(COUNTIF($AF$2:$AF$926,AF625)&gt;1,"DUPLICATE","UNIQUE")</f>
        <v>UNIQUE</v>
      </c>
      <c r="AF625" t="str">
        <f>A625&amp;"|"&amp;B625&amp;"|"&amp;H625&amp;"|"&amp;I625&amp;"|"&amp;R625&amp;"|"&amp;S625&amp;"|"&amp;V625</f>
        <v>ORD-2024-10624|2024-08-08|CUST-6262|Vikram Iyer|8|1359.19|10329.84</v>
      </c>
      <c r="AG625" t="str">
        <f>IF(COUNTIF($A$2:$A$913,A625)&gt;1,"TRUE","FALSE")</f>
        <v>FALSE</v>
      </c>
    </row>
    <row r="626" spans="1:33">
      <c r="A626" t="s">
        <v>1930</v>
      </c>
      <c r="B626" t="s">
        <v>1684</v>
      </c>
      <c r="C626" t="s">
        <v>1931</v>
      </c>
      <c r="D626">
        <f>IF(OR(B626="", C626=""), "", (C626 - B626))</f>
        <v>2</v>
      </c>
      <c r="E626" t="str">
        <f>IF(C626&lt;B626, "INVALID: Ship date before order date", "")</f>
        <v/>
      </c>
      <c r="F626" t="str">
        <f>IF(B626="", "", TEXT(B626, "mmmm"))</f>
        <v>January</v>
      </c>
      <c r="G626">
        <f>IF(B626="", "", YEAR(B626))</f>
        <v>2024</v>
      </c>
      <c r="H626" t="s">
        <v>1932</v>
      </c>
      <c r="I626" t="s">
        <v>78</v>
      </c>
      <c r="J626" t="s">
        <v>93</v>
      </c>
      <c r="K626" t="s">
        <v>37</v>
      </c>
      <c r="L626" t="s">
        <v>163</v>
      </c>
      <c r="M626" t="s">
        <v>164</v>
      </c>
      <c r="N626" t="s">
        <v>40</v>
      </c>
      <c r="O626" t="s">
        <v>65</v>
      </c>
      <c r="P626" t="s">
        <v>1933</v>
      </c>
      <c r="Q626" t="s">
        <v>49</v>
      </c>
      <c r="R626">
        <v>2</v>
      </c>
      <c r="S626" s="15">
        <v>4451.03</v>
      </c>
      <c r="T626" s="4">
        <v>0.05</v>
      </c>
      <c r="U626" s="3" t="str">
        <f>IF(T626&lt;0, "negative_discount", IF(AND(T626&gt;0.5, T626&lt;=1), "high_discount", ""))</f>
        <v/>
      </c>
      <c r="V626" s="11">
        <v>8456.9599999999991</v>
      </c>
      <c r="W626" s="12">
        <v>8456.9599999999991</v>
      </c>
      <c r="X626" s="11">
        <v>5462.85</v>
      </c>
      <c r="Y626" s="11">
        <v>2994.11</v>
      </c>
      <c r="Z626" s="11">
        <f>ROUND(W626-X626,2)</f>
        <v>2994.11</v>
      </c>
      <c r="AA626" s="4">
        <f>IF(W626=0,0,Z626/W626)</f>
        <v>0.35404093196609659</v>
      </c>
      <c r="AB626" t="s">
        <v>31</v>
      </c>
      <c r="AC626" t="s">
        <v>32</v>
      </c>
      <c r="AD626" t="str">
        <f>IF(AND(E626="", T626&gt;=0, T626&lt;=0.5, K626&lt;&gt;"Unknown", Q626&lt;&gt;"Unknown"), "CLEAN", _xlfn.CONCAT("WARNING: ", IF(E626&lt;&gt;"","invalid_date",""), IF(T626&lt;0,"negative_discount",""), IF(AND(T626&gt;0.5,T626&lt;=1),"high_discount",""), IF(K626="Unknown","missing_region",""), IF(Q626="Unknown","missing_ship_mode","")))</f>
        <v>CLEAN</v>
      </c>
      <c r="AE626" t="str">
        <f>IF(COUNTIF($AF$2:$AF$926,AF626)&gt;1,"DUPLICATE","UNIQUE")</f>
        <v>UNIQUE</v>
      </c>
      <c r="AF626" t="str">
        <f>A626&amp;"|"&amp;B626&amp;"|"&amp;H626&amp;"|"&amp;I626&amp;"|"&amp;R626&amp;"|"&amp;S626&amp;"|"&amp;V626</f>
        <v>ORD-2024-10625|2024-01-30|CUST-5070|Neha Gupta|2|4451.03|8456.96</v>
      </c>
      <c r="AG626" t="str">
        <f>IF(COUNTIF($A$2:$A$913,A626)&gt;1,"TRUE","FALSE")</f>
        <v>FALSE</v>
      </c>
    </row>
    <row r="627" spans="1:33">
      <c r="A627" t="s">
        <v>1934</v>
      </c>
      <c r="B627" t="s">
        <v>1591</v>
      </c>
      <c r="C627" t="s">
        <v>2760</v>
      </c>
      <c r="D627">
        <f>IF(OR(B627="", C627=""), "", (C627 - B627))</f>
        <v>6</v>
      </c>
      <c r="E627" t="str">
        <f>IF(C627&lt;B627, "INVALID: Ship date before order date", "")</f>
        <v/>
      </c>
      <c r="F627" t="str">
        <f>IF(B627="", "", TEXT(B627, "mmmm"))</f>
        <v>December</v>
      </c>
      <c r="G627">
        <f>IF(B627="", "", YEAR(B627))</f>
        <v>2024</v>
      </c>
      <c r="H627" t="s">
        <v>1935</v>
      </c>
      <c r="I627" t="s">
        <v>158</v>
      </c>
      <c r="J627" t="s">
        <v>89</v>
      </c>
      <c r="K627" t="s">
        <v>62</v>
      </c>
      <c r="L627" t="s">
        <v>25</v>
      </c>
      <c r="M627" t="s">
        <v>107</v>
      </c>
      <c r="N627" t="s">
        <v>40</v>
      </c>
      <c r="O627" t="s">
        <v>65</v>
      </c>
      <c r="P627" t="s">
        <v>1936</v>
      </c>
      <c r="Q627" t="s">
        <v>43</v>
      </c>
      <c r="R627">
        <v>3</v>
      </c>
      <c r="S627" s="15">
        <v>527.66999999999996</v>
      </c>
      <c r="T627" s="4">
        <v>0.2</v>
      </c>
      <c r="U627" s="3" t="str">
        <f>IF(T627&lt;0, "negative_discount", IF(AND(T627&gt;0.5, T627&lt;=1), "high_discount", ""))</f>
        <v/>
      </c>
      <c r="V627" s="11">
        <v>1266.4100000000001</v>
      </c>
      <c r="W627" s="12">
        <v>1266.4100000000001</v>
      </c>
      <c r="X627" s="11">
        <v>983.92</v>
      </c>
      <c r="Y627" s="11">
        <v>282.49</v>
      </c>
      <c r="Z627" s="11">
        <f>ROUND(W627-X627,2)</f>
        <v>282.49</v>
      </c>
      <c r="AA627" s="4">
        <f>IF(W627=0,0,Z627/W627)</f>
        <v>0.22306362078631722</v>
      </c>
      <c r="AB627" t="s">
        <v>31</v>
      </c>
      <c r="AC627" t="s">
        <v>32</v>
      </c>
      <c r="AD627" t="str">
        <f>IF(AND(E627="", T627&gt;=0, T627&lt;=0.5, K627&lt;&gt;"Unknown", Q627&lt;&gt;"Unknown"), "CLEAN", _xlfn.CONCAT("WARNING: ", IF(E627&lt;&gt;"","invalid_date",""), IF(T627&lt;0,"negative_discount",""), IF(AND(T627&gt;0.5,T627&lt;=1),"high_discount",""), IF(K627="Unknown","missing_region",""), IF(Q627="Unknown","missing_ship_mode","")))</f>
        <v>CLEAN</v>
      </c>
      <c r="AE627" t="str">
        <f>IF(COUNTIF($AF$2:$AF$926,AF627)&gt;1,"DUPLICATE","UNIQUE")</f>
        <v>UNIQUE</v>
      </c>
      <c r="AF627" t="str">
        <f>A627&amp;"|"&amp;B627&amp;"|"&amp;H627&amp;"|"&amp;I627&amp;"|"&amp;R627&amp;"|"&amp;S627&amp;"|"&amp;V627</f>
        <v>ORD-2024-10626|2024-12-15|CUST-7946|Diya Patel|3|527.67|1266.41</v>
      </c>
      <c r="AG627" t="str">
        <f>IF(COUNTIF($A$2:$A$913,A627)&gt;1,"TRUE","FALSE")</f>
        <v>FALSE</v>
      </c>
    </row>
    <row r="628" spans="1:33">
      <c r="A628" t="s">
        <v>3254</v>
      </c>
      <c r="B628" t="s">
        <v>852</v>
      </c>
      <c r="C628" t="s">
        <v>2783</v>
      </c>
      <c r="D628">
        <f>IF(OR(B628="", C628=""), "", (C628 - B628))</f>
        <v>62</v>
      </c>
      <c r="E628" t="str">
        <f>IF(C628&lt;B628, "INVALID: Ship date before order date", "")</f>
        <v/>
      </c>
      <c r="F628" t="str">
        <f>IF(B628="", "", TEXT(B628, "mmmm"))</f>
        <v>April</v>
      </c>
      <c r="G628">
        <f>IF(B628="", "", YEAR(B628))</f>
        <v>2025</v>
      </c>
      <c r="H628" t="s">
        <v>1937</v>
      </c>
      <c r="I628" t="s">
        <v>131</v>
      </c>
      <c r="J628" t="s">
        <v>93</v>
      </c>
      <c r="K628" t="s">
        <v>37</v>
      </c>
      <c r="L628" t="s">
        <v>163</v>
      </c>
      <c r="M628" t="s">
        <v>164</v>
      </c>
      <c r="N628" t="s">
        <v>74</v>
      </c>
      <c r="O628" t="s">
        <v>272</v>
      </c>
      <c r="P628" t="s">
        <v>1938</v>
      </c>
      <c r="Q628" t="s">
        <v>58</v>
      </c>
      <c r="R628">
        <v>8</v>
      </c>
      <c r="S628" s="15">
        <v>1434.13</v>
      </c>
      <c r="T628" s="4">
        <v>0</v>
      </c>
      <c r="U628" s="3" t="str">
        <f>IF(T628&lt;0, "negative_discount", IF(AND(T628&gt;0.5, T628&lt;=1), "high_discount", ""))</f>
        <v/>
      </c>
      <c r="V628" s="11">
        <v>11473.04</v>
      </c>
      <c r="W628" s="12">
        <v>11473.04</v>
      </c>
      <c r="X628" s="11">
        <v>8931.33</v>
      </c>
      <c r="Y628" s="11">
        <v>2541.71</v>
      </c>
      <c r="Z628" s="11">
        <f>ROUND(W628-X628,2)</f>
        <v>2541.71</v>
      </c>
      <c r="AA628" s="4">
        <f>IF(W628=0,0,Z628/W628)</f>
        <v>0.22153762211236078</v>
      </c>
      <c r="AB628" t="s">
        <v>109</v>
      </c>
      <c r="AC628" t="s">
        <v>100</v>
      </c>
      <c r="AD628" t="str">
        <f>IF(AND(E628="", T628&gt;=0, T628&lt;=0.5, K628&lt;&gt;"Unknown", Q628&lt;&gt;"Unknown"), "CLEAN", _xlfn.CONCAT("WARNING: ", IF(E628&lt;&gt;"","invalid_date",""), IF(T628&lt;0,"negative_discount",""), IF(AND(T628&gt;0.5,T628&lt;=1),"high_discount",""), IF(K628="Unknown","missing_region",""), IF(Q628="Unknown","missing_ship_mode","")))</f>
        <v>CLEAN</v>
      </c>
      <c r="AE628" t="str">
        <f>IF(COUNTIF($AF$2:$AF$926,AF628)&gt;1,"DUPLICATE","UNIQUE")</f>
        <v>UNIQUE</v>
      </c>
      <c r="AF628" t="str">
        <f>A628&amp;"|"&amp;B628&amp;"|"&amp;H628&amp;"|"&amp;I628&amp;"|"&amp;R628&amp;"|"&amp;S628&amp;"|"&amp;V628</f>
        <v>ORD-2025-10627|2025-04-06|CUST-1793|Sneha Kapoor|8|1434.13|11473.04</v>
      </c>
      <c r="AG628" t="str">
        <f>IF(COUNTIF($A$2:$A$913,A628)&gt;1,"TRUE","FALSE")</f>
        <v>FALSE</v>
      </c>
    </row>
    <row r="629" spans="1:33">
      <c r="A629" t="s">
        <v>3255</v>
      </c>
      <c r="B629" t="s">
        <v>1543</v>
      </c>
      <c r="C629" t="s">
        <v>2332</v>
      </c>
      <c r="D629">
        <f>IF(OR(B629="", C629=""), "", (C629 - B629))</f>
        <v>8</v>
      </c>
      <c r="E629" t="str">
        <f>IF(C629&lt;B629, "INVALID: Ship date before order date", "")</f>
        <v/>
      </c>
      <c r="F629" t="str">
        <f>IF(B629="", "", TEXT(B629, "mmmm"))</f>
        <v>February</v>
      </c>
      <c r="G629">
        <f>IF(B629="", "", YEAR(B629))</f>
        <v>2025</v>
      </c>
      <c r="H629" t="s">
        <v>1939</v>
      </c>
      <c r="I629" t="s">
        <v>22</v>
      </c>
      <c r="J629" t="s">
        <v>36</v>
      </c>
      <c r="K629" t="s">
        <v>53</v>
      </c>
      <c r="L629" t="s">
        <v>180</v>
      </c>
      <c r="M629" t="s">
        <v>181</v>
      </c>
      <c r="N629" t="s">
        <v>74</v>
      </c>
      <c r="O629" t="s">
        <v>168</v>
      </c>
      <c r="P629" t="s">
        <v>1940</v>
      </c>
      <c r="Q629" t="s">
        <v>30</v>
      </c>
      <c r="R629">
        <v>2</v>
      </c>
      <c r="S629" s="15">
        <v>2360.02</v>
      </c>
      <c r="T629" s="4">
        <v>0.15</v>
      </c>
      <c r="U629" s="3" t="str">
        <f>IF(T629&lt;0, "negative_discount", IF(AND(T629&gt;0.5, T629&lt;=1), "high_discount", ""))</f>
        <v/>
      </c>
      <c r="V629" s="11">
        <v>4012.03</v>
      </c>
      <c r="W629" s="12">
        <v>4012.03</v>
      </c>
      <c r="X629" s="11">
        <v>3142.92</v>
      </c>
      <c r="Y629" s="11">
        <v>869.11</v>
      </c>
      <c r="Z629" s="11">
        <f>ROUND(W629-X629,2)</f>
        <v>869.11</v>
      </c>
      <c r="AA629" s="4">
        <f>IF(W629=0,0,Z629/W629)</f>
        <v>0.21662599731308091</v>
      </c>
      <c r="AB629" t="s">
        <v>109</v>
      </c>
      <c r="AC629" t="s">
        <v>67</v>
      </c>
      <c r="AD629" t="str">
        <f>IF(AND(E629="", T629&gt;=0, T629&lt;=0.5, K629&lt;&gt;"Unknown", Q629&lt;&gt;"Unknown"), "CLEAN", _xlfn.CONCAT("WARNING: ", IF(E629&lt;&gt;"","invalid_date",""), IF(T629&lt;0,"negative_discount",""), IF(AND(T629&gt;0.5,T629&lt;=1),"high_discount",""), IF(K629="Unknown","missing_region",""), IF(Q629="Unknown","missing_ship_mode","")))</f>
        <v>CLEAN</v>
      </c>
      <c r="AE629" t="str">
        <f>IF(COUNTIF($AF$2:$AF$926,AF629)&gt;1,"DUPLICATE","UNIQUE")</f>
        <v>UNIQUE</v>
      </c>
      <c r="AF629" t="str">
        <f>A629&amp;"|"&amp;B629&amp;"|"&amp;H629&amp;"|"&amp;I629&amp;"|"&amp;R629&amp;"|"&amp;S629&amp;"|"&amp;V629</f>
        <v>ORD-2025-10628|2025-02-13|CUST-8839|Karan Malhotra|2|2360.02|4012.03</v>
      </c>
      <c r="AG629" t="str">
        <f>IF(COUNTIF($A$2:$A$913,A629)&gt;1,"TRUE","FALSE")</f>
        <v>FALSE</v>
      </c>
    </row>
    <row r="630" spans="1:33">
      <c r="A630" t="s">
        <v>3256</v>
      </c>
      <c r="B630" t="s">
        <v>1652</v>
      </c>
      <c r="C630" t="s">
        <v>110</v>
      </c>
      <c r="D630">
        <f>IF(OR(B630="", C630=""), "", (C630 - B630))</f>
        <v>7</v>
      </c>
      <c r="E630" t="str">
        <f>IF(C630&lt;B630, "INVALID: Ship date before order date", "")</f>
        <v/>
      </c>
      <c r="F630" t="str">
        <f>IF(B630="", "", TEXT(B630, "mmmm"))</f>
        <v>October</v>
      </c>
      <c r="G630">
        <f>IF(B630="", "", YEAR(B630))</f>
        <v>2025</v>
      </c>
      <c r="H630" t="s">
        <v>1941</v>
      </c>
      <c r="I630" t="s">
        <v>61</v>
      </c>
      <c r="J630" t="s">
        <v>93</v>
      </c>
      <c r="K630" t="s">
        <v>37</v>
      </c>
      <c r="L630" t="s">
        <v>226</v>
      </c>
      <c r="M630" t="s">
        <v>227</v>
      </c>
      <c r="N630" t="s">
        <v>74</v>
      </c>
      <c r="O630" t="s">
        <v>75</v>
      </c>
      <c r="P630" t="s">
        <v>1942</v>
      </c>
      <c r="Q630" t="s">
        <v>43</v>
      </c>
      <c r="R630">
        <v>7</v>
      </c>
      <c r="S630" s="15">
        <v>806.67</v>
      </c>
      <c r="T630" s="4">
        <v>0.05</v>
      </c>
      <c r="U630" s="3" t="str">
        <f>IF(T630&lt;0, "negative_discount", IF(AND(T630&gt;0.5, T630&lt;=1), "high_discount", ""))</f>
        <v/>
      </c>
      <c r="V630" s="11">
        <v>5364.36</v>
      </c>
      <c r="W630" s="12">
        <v>5364.36</v>
      </c>
      <c r="X630" s="11">
        <v>4391.29</v>
      </c>
      <c r="Y630" s="11">
        <v>973.07</v>
      </c>
      <c r="Z630" s="11">
        <f>ROUND(W630-X630,2)</f>
        <v>973.07</v>
      </c>
      <c r="AA630" s="4">
        <f>IF(W630=0,0,Z630/W630)</f>
        <v>0.18139535750769897</v>
      </c>
      <c r="AB630" t="s">
        <v>31</v>
      </c>
      <c r="AC630" t="s">
        <v>32</v>
      </c>
      <c r="AD630" t="str">
        <f>IF(AND(E630="", T630&gt;=0, T630&lt;=0.5, K630&lt;&gt;"Unknown", Q630&lt;&gt;"Unknown"), "CLEAN", _xlfn.CONCAT("WARNING: ", IF(E630&lt;&gt;"","invalid_date",""), IF(T630&lt;0,"negative_discount",""), IF(AND(T630&gt;0.5,T630&lt;=1),"high_discount",""), IF(K630="Unknown","missing_region",""), IF(Q630="Unknown","missing_ship_mode","")))</f>
        <v>CLEAN</v>
      </c>
      <c r="AE630" t="str">
        <f>IF(COUNTIF($AF$2:$AF$926,AF630)&gt;1,"DUPLICATE","UNIQUE")</f>
        <v>UNIQUE</v>
      </c>
      <c r="AF630" t="str">
        <f>A630&amp;"|"&amp;B630&amp;"|"&amp;H630&amp;"|"&amp;I630&amp;"|"&amp;R630&amp;"|"&amp;S630&amp;"|"&amp;V630</f>
        <v>ORD-2025-10629|2025-10-05|CUST-6725|Ananya Rao|7|806.67|5364.36</v>
      </c>
      <c r="AG630" t="str">
        <f>IF(COUNTIF($A$2:$A$913,A630)&gt;1,"TRUE","FALSE")</f>
        <v>FALSE</v>
      </c>
    </row>
    <row r="631" spans="1:33">
      <c r="A631" t="s">
        <v>3257</v>
      </c>
      <c r="B631" t="s">
        <v>1780</v>
      </c>
      <c r="C631" t="s">
        <v>2911</v>
      </c>
      <c r="D631">
        <f>IF(OR(B631="", C631=""), "", (C631 - B631))</f>
        <v>4</v>
      </c>
      <c r="E631" t="str">
        <f>IF(C631&lt;B631, "INVALID: Ship date before order date", "")</f>
        <v/>
      </c>
      <c r="F631" t="str">
        <f>IF(B631="", "", TEXT(B631, "mmmm"))</f>
        <v>September</v>
      </c>
      <c r="G631">
        <f>IF(B631="", "", YEAR(B631))</f>
        <v>2025</v>
      </c>
      <c r="H631" t="s">
        <v>1943</v>
      </c>
      <c r="I631" t="s">
        <v>52</v>
      </c>
      <c r="J631" t="s">
        <v>93</v>
      </c>
      <c r="K631" t="s">
        <v>62</v>
      </c>
      <c r="L631" t="s">
        <v>176</v>
      </c>
      <c r="M631" t="s">
        <v>177</v>
      </c>
      <c r="N631" t="s">
        <v>40</v>
      </c>
      <c r="O631" t="s">
        <v>41</v>
      </c>
      <c r="P631" t="s">
        <v>1944</v>
      </c>
      <c r="Q631" t="s">
        <v>43</v>
      </c>
      <c r="R631">
        <v>3</v>
      </c>
      <c r="S631" s="15">
        <v>4198.46</v>
      </c>
      <c r="T631" s="4">
        <v>0.15</v>
      </c>
      <c r="U631" s="3" t="str">
        <f>IF(T631&lt;0, "negative_discount", IF(AND(T631&gt;0.5, T631&lt;=1), "high_discount", ""))</f>
        <v/>
      </c>
      <c r="V631" s="11">
        <v>10706.07</v>
      </c>
      <c r="W631" s="12">
        <v>10706.07</v>
      </c>
      <c r="X631" s="11">
        <v>5927.1</v>
      </c>
      <c r="Y631" s="11">
        <v>4778.97</v>
      </c>
      <c r="Z631" s="11">
        <f>ROUND(W631-X631,2)</f>
        <v>4778.97</v>
      </c>
      <c r="AA631" s="4">
        <f>IF(W631=0,0,Z631/W631)</f>
        <v>0.44637948378816883</v>
      </c>
      <c r="AB631" t="s">
        <v>31</v>
      </c>
      <c r="AC631" t="s">
        <v>32</v>
      </c>
      <c r="AD631" t="str">
        <f>IF(AND(E631="", T631&gt;=0, T631&lt;=0.5, K631&lt;&gt;"Unknown", Q631&lt;&gt;"Unknown"), "CLEAN", _xlfn.CONCAT("WARNING: ", IF(E631&lt;&gt;"","invalid_date",""), IF(T631&lt;0,"negative_discount",""), IF(AND(T631&gt;0.5,T631&lt;=1),"high_discount",""), IF(K631="Unknown","missing_region",""), IF(Q631="Unknown","missing_ship_mode","")))</f>
        <v>CLEAN</v>
      </c>
      <c r="AE631" t="str">
        <f>IF(COUNTIF($AF$2:$AF$926,AF631)&gt;1,"DUPLICATE","UNIQUE")</f>
        <v>UNIQUE</v>
      </c>
      <c r="AF631" t="str">
        <f>A631&amp;"|"&amp;B631&amp;"|"&amp;H631&amp;"|"&amp;I631&amp;"|"&amp;R631&amp;"|"&amp;S631&amp;"|"&amp;V631</f>
        <v>ORD-2025-10630|2025-09-10|CUST-3793|Arjun Bose|3|4198.46|10706.07</v>
      </c>
      <c r="AG631" t="str">
        <f>IF(COUNTIF($A$2:$A$913,A631)&gt;1,"TRUE","FALSE")</f>
        <v>FALSE</v>
      </c>
    </row>
    <row r="632" spans="1:33">
      <c r="A632" t="s">
        <v>1945</v>
      </c>
      <c r="B632" t="s">
        <v>1574</v>
      </c>
      <c r="C632" t="s">
        <v>967</v>
      </c>
      <c r="D632">
        <f>IF(OR(B632="", C632=""), "", (C632 - B632))</f>
        <v>1</v>
      </c>
      <c r="E632" t="str">
        <f>IF(C632&lt;B632, "INVALID: Ship date before order date", "")</f>
        <v/>
      </c>
      <c r="F632" t="str">
        <f>IF(B632="", "", TEXT(B632, "mmmm"))</f>
        <v>April</v>
      </c>
      <c r="G632">
        <f>IF(B632="", "", YEAR(B632))</f>
        <v>2024</v>
      </c>
      <c r="H632" t="s">
        <v>1946</v>
      </c>
      <c r="I632" t="s">
        <v>112</v>
      </c>
      <c r="J632" t="s">
        <v>89</v>
      </c>
      <c r="K632" t="s">
        <v>37</v>
      </c>
      <c r="L632" t="s">
        <v>163</v>
      </c>
      <c r="M632" t="s">
        <v>164</v>
      </c>
      <c r="N632" t="s">
        <v>27</v>
      </c>
      <c r="O632" t="s">
        <v>28</v>
      </c>
      <c r="P632" t="s">
        <v>1947</v>
      </c>
      <c r="Q632" t="s">
        <v>58</v>
      </c>
      <c r="R632">
        <v>4</v>
      </c>
      <c r="S632" s="15">
        <v>3047.05</v>
      </c>
      <c r="T632" s="4">
        <v>0.1</v>
      </c>
      <c r="U632" s="3" t="str">
        <f>IF(T632&lt;0, "negative_discount", IF(AND(T632&gt;0.5, T632&lt;=1), "high_discount", ""))</f>
        <v/>
      </c>
      <c r="V632" s="11">
        <v>10969.38</v>
      </c>
      <c r="W632" s="12">
        <v>10969.38</v>
      </c>
      <c r="X632" s="11">
        <v>9254.4599999999991</v>
      </c>
      <c r="Y632" s="11">
        <v>1714.92</v>
      </c>
      <c r="Z632" s="11">
        <f>ROUND(W632-X632,2)</f>
        <v>1714.92</v>
      </c>
      <c r="AA632" s="4">
        <f>IF(W632=0,0,Z632/W632)</f>
        <v>0.15633700354988159</v>
      </c>
      <c r="AB632" t="s">
        <v>31</v>
      </c>
      <c r="AC632" t="s">
        <v>32</v>
      </c>
      <c r="AD632" t="str">
        <f>IF(AND(E632="", T632&gt;=0, T632&lt;=0.5, K632&lt;&gt;"Unknown", Q632&lt;&gt;"Unknown"), "CLEAN", _xlfn.CONCAT("WARNING: ", IF(E632&lt;&gt;"","invalid_date",""), IF(T632&lt;0,"negative_discount",""), IF(AND(T632&gt;0.5,T632&lt;=1),"high_discount",""), IF(K632="Unknown","missing_region",""), IF(Q632="Unknown","missing_ship_mode","")))</f>
        <v>CLEAN</v>
      </c>
      <c r="AE632" t="str">
        <f>IF(COUNTIF($AF$2:$AF$926,AF632)&gt;1,"DUPLICATE","UNIQUE")</f>
        <v>UNIQUE</v>
      </c>
      <c r="AF632" t="str">
        <f>A632&amp;"|"&amp;B632&amp;"|"&amp;H632&amp;"|"&amp;I632&amp;"|"&amp;R632&amp;"|"&amp;S632&amp;"|"&amp;V632</f>
        <v>ORD-2024-10631|2024-04-09|CUST-6075|Priya Menon|4|3047.05|10969.38</v>
      </c>
      <c r="AG632" t="str">
        <f>IF(COUNTIF($A$2:$A$913,A632)&gt;1,"TRUE","FALSE")</f>
        <v>FALSE</v>
      </c>
    </row>
    <row r="633" spans="1:33">
      <c r="A633" t="s">
        <v>1948</v>
      </c>
      <c r="B633" t="s">
        <v>967</v>
      </c>
      <c r="C633" t="s">
        <v>2768</v>
      </c>
      <c r="D633">
        <f>IF(OR(B633="", C633=""), "", (C633 - B633))</f>
        <v>5</v>
      </c>
      <c r="E633" t="str">
        <f>IF(C633&lt;B633, "INVALID: Ship date before order date", "")</f>
        <v/>
      </c>
      <c r="F633" t="str">
        <f>IF(B633="", "", TEXT(B633, "mmmm"))</f>
        <v>April</v>
      </c>
      <c r="G633">
        <f>IF(B633="", "", YEAR(B633))</f>
        <v>2024</v>
      </c>
      <c r="H633" t="s">
        <v>1949</v>
      </c>
      <c r="I633" t="s">
        <v>126</v>
      </c>
      <c r="J633" t="s">
        <v>93</v>
      </c>
      <c r="K633" t="s">
        <v>62</v>
      </c>
      <c r="L633" t="s">
        <v>25</v>
      </c>
      <c r="M633" t="s">
        <v>107</v>
      </c>
      <c r="N633" t="s">
        <v>40</v>
      </c>
      <c r="O633" t="s">
        <v>65</v>
      </c>
      <c r="P633" t="s">
        <v>1950</v>
      </c>
      <c r="Q633" t="s">
        <v>58</v>
      </c>
      <c r="R633">
        <v>8</v>
      </c>
      <c r="S633" s="15">
        <v>4362.4799999999996</v>
      </c>
      <c r="T633" s="4">
        <v>0.1</v>
      </c>
      <c r="U633" s="3" t="str">
        <f>IF(T633&lt;0, "negative_discount", IF(AND(T633&gt;0.5, T633&lt;=1), "high_discount", ""))</f>
        <v/>
      </c>
      <c r="V633" s="11">
        <v>31409.86</v>
      </c>
      <c r="W633" s="12">
        <v>31409.86</v>
      </c>
      <c r="X633" s="11">
        <v>22523.54</v>
      </c>
      <c r="Y633" s="11">
        <v>8886.32</v>
      </c>
      <c r="Z633" s="11">
        <f>ROUND(W633-X633,2)</f>
        <v>8886.32</v>
      </c>
      <c r="AA633" s="4">
        <f>IF(W633=0,0,Z633/W633)</f>
        <v>0.28291498274745575</v>
      </c>
      <c r="AB633" t="s">
        <v>31</v>
      </c>
      <c r="AC633" t="s">
        <v>32</v>
      </c>
      <c r="AD633" t="str">
        <f>IF(AND(E633="", T633&gt;=0, T633&lt;=0.5, K633&lt;&gt;"Unknown", Q633&lt;&gt;"Unknown"), "CLEAN", _xlfn.CONCAT("WARNING: ", IF(E633&lt;&gt;"","invalid_date",""), IF(T633&lt;0,"negative_discount",""), IF(AND(T633&gt;0.5,T633&lt;=1),"high_discount",""), IF(K633="Unknown","missing_region",""), IF(Q633="Unknown","missing_ship_mode","")))</f>
        <v>CLEAN</v>
      </c>
      <c r="AE633" t="str">
        <f>IF(COUNTIF($AF$2:$AF$926,AF633)&gt;1,"DUPLICATE","UNIQUE")</f>
        <v>UNIQUE</v>
      </c>
      <c r="AF633" t="str">
        <f>A633&amp;"|"&amp;B633&amp;"|"&amp;H633&amp;"|"&amp;I633&amp;"|"&amp;R633&amp;"|"&amp;S633&amp;"|"&amp;V633</f>
        <v>ORD-2024-10632|2024-04-10|CUST-6381|Aarav Sharma|8|4362.48|31409.86</v>
      </c>
      <c r="AG633" t="str">
        <f>IF(COUNTIF($A$2:$A$913,A633)&gt;1,"TRUE","FALSE")</f>
        <v>FALSE</v>
      </c>
    </row>
    <row r="634" spans="1:33">
      <c r="A634" t="s">
        <v>3258</v>
      </c>
      <c r="B634" t="s">
        <v>1375</v>
      </c>
      <c r="C634" t="s">
        <v>2697</v>
      </c>
      <c r="D634">
        <f>IF(OR(B634="", C634=""), "", (C634 - B634))</f>
        <v>1</v>
      </c>
      <c r="E634" t="str">
        <f>IF(C634&lt;B634, "INVALID: Ship date before order date", "")</f>
        <v/>
      </c>
      <c r="F634" t="str">
        <f>IF(B634="", "", TEXT(B634, "mmmm"))</f>
        <v>April</v>
      </c>
      <c r="G634">
        <f>IF(B634="", "", YEAR(B634))</f>
        <v>2025</v>
      </c>
      <c r="H634" t="s">
        <v>1951</v>
      </c>
      <c r="I634" t="s">
        <v>131</v>
      </c>
      <c r="J634" t="s">
        <v>36</v>
      </c>
      <c r="K634" t="s">
        <v>53</v>
      </c>
      <c r="L634" t="s">
        <v>171</v>
      </c>
      <c r="M634" t="s">
        <v>172</v>
      </c>
      <c r="N634" t="s">
        <v>40</v>
      </c>
      <c r="O634" t="s">
        <v>56</v>
      </c>
      <c r="P634" t="s">
        <v>1952</v>
      </c>
      <c r="Q634" t="s">
        <v>49</v>
      </c>
      <c r="R634">
        <v>5</v>
      </c>
      <c r="S634" s="15">
        <v>2850.53</v>
      </c>
      <c r="T634" s="4">
        <v>0</v>
      </c>
      <c r="U634" s="3" t="str">
        <f>IF(T634&lt;0, "negative_discount", IF(AND(T634&gt;0.5, T634&lt;=1), "high_discount", ""))</f>
        <v/>
      </c>
      <c r="V634" s="11">
        <v>14252.65</v>
      </c>
      <c r="W634" s="12">
        <v>14252.65</v>
      </c>
      <c r="X634" s="11">
        <v>11558.31</v>
      </c>
      <c r="Y634" s="11">
        <v>2694.34</v>
      </c>
      <c r="Z634" s="11">
        <f>ROUND(W634-X634,2)</f>
        <v>2694.34</v>
      </c>
      <c r="AA634" s="4">
        <f>IF(W634=0,0,Z634/W634)</f>
        <v>0.18904133617257143</v>
      </c>
      <c r="AB634" t="s">
        <v>31</v>
      </c>
      <c r="AC634" t="s">
        <v>32</v>
      </c>
      <c r="AD634" t="str">
        <f>IF(AND(E634="", T634&gt;=0, T634&lt;=0.5, K634&lt;&gt;"Unknown", Q634&lt;&gt;"Unknown"), "CLEAN", _xlfn.CONCAT("WARNING: ", IF(E634&lt;&gt;"","invalid_date",""), IF(T634&lt;0,"negative_discount",""), IF(AND(T634&gt;0.5,T634&lt;=1),"high_discount",""), IF(K634="Unknown","missing_region",""), IF(Q634="Unknown","missing_ship_mode","")))</f>
        <v>CLEAN</v>
      </c>
      <c r="AE634" t="str">
        <f>IF(COUNTIF($AF$2:$AF$926,AF634)&gt;1,"DUPLICATE","UNIQUE")</f>
        <v>UNIQUE</v>
      </c>
      <c r="AF634" t="str">
        <f>A634&amp;"|"&amp;B634&amp;"|"&amp;H634&amp;"|"&amp;I634&amp;"|"&amp;R634&amp;"|"&amp;S634&amp;"|"&amp;V634</f>
        <v>ORD-2025-10633|2025-04-15|CUST-4593|Sneha Kapoor|5|2850.53|14252.65</v>
      </c>
      <c r="AG634" t="str">
        <f>IF(COUNTIF($A$2:$A$913,A634)&gt;1,"TRUE","FALSE")</f>
        <v>FALSE</v>
      </c>
    </row>
    <row r="635" spans="1:33">
      <c r="A635" t="s">
        <v>3259</v>
      </c>
      <c r="B635" t="s">
        <v>2851</v>
      </c>
      <c r="C635" t="s">
        <v>2733</v>
      </c>
      <c r="D635">
        <f>IF(OR(B635="", C635=""), "", (C635 - B635))</f>
        <v>2</v>
      </c>
      <c r="E635" t="str">
        <f>IF(C635&lt;B635, "INVALID: Ship date before order date", "")</f>
        <v/>
      </c>
      <c r="F635" t="str">
        <f>IF(B635="", "", TEXT(B635, "mmmm"))</f>
        <v>April</v>
      </c>
      <c r="G635">
        <f>IF(B635="", "", YEAR(B635))</f>
        <v>2025</v>
      </c>
      <c r="H635" t="s">
        <v>1953</v>
      </c>
      <c r="I635" t="s">
        <v>126</v>
      </c>
      <c r="J635" t="s">
        <v>36</v>
      </c>
      <c r="K635" t="s">
        <v>53</v>
      </c>
      <c r="L635" t="s">
        <v>246</v>
      </c>
      <c r="M635" t="s">
        <v>247</v>
      </c>
      <c r="N635" t="s">
        <v>74</v>
      </c>
      <c r="O635" t="s">
        <v>75</v>
      </c>
      <c r="P635" t="s">
        <v>1954</v>
      </c>
      <c r="Q635" t="s">
        <v>30</v>
      </c>
      <c r="R635">
        <v>1</v>
      </c>
      <c r="S635" s="15">
        <v>1626.08</v>
      </c>
      <c r="T635" s="4">
        <v>0.15</v>
      </c>
      <c r="U635" s="3" t="str">
        <f>IF(T635&lt;0, "negative_discount", IF(AND(T635&gt;0.5, T635&lt;=1), "high_discount", ""))</f>
        <v/>
      </c>
      <c r="V635" s="11">
        <v>1382.17</v>
      </c>
      <c r="W635" s="12">
        <v>1382.17</v>
      </c>
      <c r="X635" s="11">
        <v>810.03</v>
      </c>
      <c r="Y635" s="11">
        <v>572.14</v>
      </c>
      <c r="Z635" s="11">
        <f>ROUND(W635-X635,2)</f>
        <v>572.14</v>
      </c>
      <c r="AA635" s="4">
        <f>IF(W635=0,0,Z635/W635)</f>
        <v>0.41394329206971642</v>
      </c>
      <c r="AB635" t="s">
        <v>31</v>
      </c>
      <c r="AC635" t="s">
        <v>32</v>
      </c>
      <c r="AD635" t="str">
        <f>IF(AND(E635="", T635&gt;=0, T635&lt;=0.5, K635&lt;&gt;"Unknown", Q635&lt;&gt;"Unknown"), "CLEAN", _xlfn.CONCAT("WARNING: ", IF(E635&lt;&gt;"","invalid_date",""), IF(T635&lt;0,"negative_discount",""), IF(AND(T635&gt;0.5,T635&lt;=1),"high_discount",""), IF(K635="Unknown","missing_region",""), IF(Q635="Unknown","missing_ship_mode","")))</f>
        <v>CLEAN</v>
      </c>
      <c r="AE635" t="str">
        <f>IF(COUNTIF($AF$2:$AF$926,AF635)&gt;1,"DUPLICATE","UNIQUE")</f>
        <v>UNIQUE</v>
      </c>
      <c r="AF635" t="str">
        <f>A635&amp;"|"&amp;B635&amp;"|"&amp;H635&amp;"|"&amp;I635&amp;"|"&amp;R635&amp;"|"&amp;S635&amp;"|"&amp;V635</f>
        <v>ORD-2025-10634|2025-04-18|CUST-5043|Aarav Sharma|1|1626.08|1382.17</v>
      </c>
      <c r="AG635" t="str">
        <f>IF(COUNTIF($A$2:$A$913,A635)&gt;1,"TRUE","FALSE")</f>
        <v>FALSE</v>
      </c>
    </row>
    <row r="636" spans="1:33">
      <c r="A636" t="s">
        <v>3260</v>
      </c>
      <c r="B636" t="s">
        <v>2852</v>
      </c>
      <c r="C636" t="s">
        <v>2804</v>
      </c>
      <c r="D636">
        <f>IF(OR(B636="", C636=""), "", (C636 - B636))</f>
        <v>1</v>
      </c>
      <c r="E636" t="str">
        <f>IF(C636&lt;B636, "INVALID: Ship date before order date", "")</f>
        <v/>
      </c>
      <c r="F636" t="str">
        <f>IF(B636="", "", TEXT(B636, "mmmm"))</f>
        <v>January</v>
      </c>
      <c r="G636">
        <f>IF(B636="", "", YEAR(B636))</f>
        <v>2025</v>
      </c>
      <c r="H636" t="s">
        <v>1955</v>
      </c>
      <c r="I636" t="s">
        <v>88</v>
      </c>
      <c r="J636" t="s">
        <v>23</v>
      </c>
      <c r="K636" t="s">
        <v>53</v>
      </c>
      <c r="L636" t="s">
        <v>54</v>
      </c>
      <c r="M636" t="s">
        <v>55</v>
      </c>
      <c r="N636" t="s">
        <v>40</v>
      </c>
      <c r="O636" t="s">
        <v>65</v>
      </c>
      <c r="P636" t="s">
        <v>1956</v>
      </c>
      <c r="Q636" t="s">
        <v>30</v>
      </c>
      <c r="R636">
        <v>4</v>
      </c>
      <c r="S636" s="15">
        <v>2427.15</v>
      </c>
      <c r="T636" s="4">
        <v>0.05</v>
      </c>
      <c r="U636" s="3" t="str">
        <f>IF(T636&lt;0, "negative_discount", IF(AND(T636&gt;0.5, T636&lt;=1), "high_discount", ""))</f>
        <v/>
      </c>
      <c r="V636" s="11">
        <v>9223.17</v>
      </c>
      <c r="W636" s="12">
        <v>9223.17</v>
      </c>
      <c r="X636" s="11">
        <v>5103.7</v>
      </c>
      <c r="Y636" s="11">
        <v>4119.47</v>
      </c>
      <c r="Z636" s="11">
        <f>ROUND(W636-X636,2)</f>
        <v>4119.47</v>
      </c>
      <c r="AA636" s="4">
        <f>IF(W636=0,0,Z636/W636)</f>
        <v>0.44664361602355807</v>
      </c>
      <c r="AB636" t="s">
        <v>31</v>
      </c>
      <c r="AC636" t="s">
        <v>32</v>
      </c>
      <c r="AD636" t="str">
        <f>IF(AND(E636="", T636&gt;=0, T636&lt;=0.5, K636&lt;&gt;"Unknown", Q636&lt;&gt;"Unknown"), "CLEAN", _xlfn.CONCAT("WARNING: ", IF(E636&lt;&gt;"","invalid_date",""), IF(T636&lt;0,"negative_discount",""), IF(AND(T636&gt;0.5,T636&lt;=1),"high_discount",""), IF(K636="Unknown","missing_region",""), IF(Q636="Unknown","missing_ship_mode","")))</f>
        <v>CLEAN</v>
      </c>
      <c r="AE636" t="str">
        <f>IF(COUNTIF($AF$2:$AF$926,AF636)&gt;1,"DUPLICATE","UNIQUE")</f>
        <v>UNIQUE</v>
      </c>
      <c r="AF636" t="str">
        <f>A636&amp;"|"&amp;B636&amp;"|"&amp;H636&amp;"|"&amp;I636&amp;"|"&amp;R636&amp;"|"&amp;S636&amp;"|"&amp;V636</f>
        <v>ORD-2025-10635|2025-01-11|CUST-4722|Aditi Sen|4|2427.15|9223.17</v>
      </c>
      <c r="AG636" t="str">
        <f>IF(COUNTIF($A$2:$A$913,A636)&gt;1,"TRUE","FALSE")</f>
        <v>FALSE</v>
      </c>
    </row>
    <row r="637" spans="1:33">
      <c r="A637" t="s">
        <v>1957</v>
      </c>
      <c r="B637" t="s">
        <v>2847</v>
      </c>
      <c r="C637" t="s">
        <v>1958</v>
      </c>
      <c r="D637">
        <f>IF(OR(B637="", C637=""), "", (C637 - B637))</f>
        <v>5</v>
      </c>
      <c r="E637" t="str">
        <f>IF(C637&lt;B637, "INVALID: Ship date before order date", "")</f>
        <v/>
      </c>
      <c r="F637" t="str">
        <f>IF(B637="", "", TEXT(B637, "mmmm"))</f>
        <v>May</v>
      </c>
      <c r="G637">
        <f>IF(B637="", "", YEAR(B637))</f>
        <v>2024</v>
      </c>
      <c r="H637" t="s">
        <v>1959</v>
      </c>
      <c r="I637" t="s">
        <v>35</v>
      </c>
      <c r="J637" t="s">
        <v>89</v>
      </c>
      <c r="K637" t="s">
        <v>53</v>
      </c>
      <c r="L637" t="s">
        <v>83</v>
      </c>
      <c r="M637" t="s">
        <v>84</v>
      </c>
      <c r="N637" t="s">
        <v>40</v>
      </c>
      <c r="O637" t="s">
        <v>65</v>
      </c>
      <c r="P637" t="s">
        <v>1960</v>
      </c>
      <c r="Q637" t="s">
        <v>43</v>
      </c>
      <c r="R637">
        <v>7</v>
      </c>
      <c r="S637" s="15">
        <v>3122.85</v>
      </c>
      <c r="T637" s="4">
        <v>0.25</v>
      </c>
      <c r="U637" s="3" t="str">
        <f>IF(T637&lt;0, "negative_discount", IF(AND(T637&gt;0.5, T637&lt;=1), "high_discount", ""))</f>
        <v/>
      </c>
      <c r="V637" s="11">
        <v>16394.96</v>
      </c>
      <c r="W637" s="12">
        <v>16394.96</v>
      </c>
      <c r="X637" s="11">
        <v>10404.17</v>
      </c>
      <c r="Y637" s="11">
        <v>5990.79</v>
      </c>
      <c r="Z637" s="11">
        <f>ROUND(W637-X637,2)</f>
        <v>5990.79</v>
      </c>
      <c r="AA637" s="4">
        <f>IF(W637=0,0,Z637/W637)</f>
        <v>0.36540436817168204</v>
      </c>
      <c r="AB637" t="s">
        <v>31</v>
      </c>
      <c r="AC637" t="s">
        <v>32</v>
      </c>
      <c r="AD637" t="str">
        <f>IF(AND(E637="", T637&gt;=0, T637&lt;=0.5, K637&lt;&gt;"Unknown", Q637&lt;&gt;"Unknown"), "CLEAN", _xlfn.CONCAT("WARNING: ", IF(E637&lt;&gt;"","invalid_date",""), IF(T637&lt;0,"negative_discount",""), IF(AND(T637&gt;0.5,T637&lt;=1),"high_discount",""), IF(K637="Unknown","missing_region",""), IF(Q637="Unknown","missing_ship_mode","")))</f>
        <v>CLEAN</v>
      </c>
      <c r="AE637" t="str">
        <f>IF(COUNTIF($AF$2:$AF$926,AF637)&gt;1,"DUPLICATE","UNIQUE")</f>
        <v>UNIQUE</v>
      </c>
      <c r="AF637" t="str">
        <f>A637&amp;"|"&amp;B637&amp;"|"&amp;H637&amp;"|"&amp;I637&amp;"|"&amp;R637&amp;"|"&amp;S637&amp;"|"&amp;V637</f>
        <v>ORD-2024-10636|2024-05-20|CUST-7931|Mira Das|7|3122.85|16394.96</v>
      </c>
      <c r="AG637" t="str">
        <f>IF(COUNTIF($A$2:$A$913,A637)&gt;1,"TRUE","FALSE")</f>
        <v>FALSE</v>
      </c>
    </row>
    <row r="638" spans="1:33">
      <c r="A638" t="s">
        <v>1961</v>
      </c>
      <c r="B638" t="s">
        <v>2853</v>
      </c>
      <c r="C638" t="s">
        <v>2948</v>
      </c>
      <c r="D638">
        <f>IF(OR(B638="", C638=""), "", (C638 - B638))</f>
        <v>7</v>
      </c>
      <c r="E638" t="str">
        <f>IF(C638&lt;B638, "INVALID: Ship date before order date", "")</f>
        <v/>
      </c>
      <c r="F638" t="str">
        <f>IF(B638="", "", TEXT(B638, "mmmm"))</f>
        <v>October</v>
      </c>
      <c r="G638">
        <f>IF(B638="", "", YEAR(B638))</f>
        <v>2024</v>
      </c>
      <c r="H638" t="s">
        <v>1962</v>
      </c>
      <c r="I638" t="s">
        <v>61</v>
      </c>
      <c r="J638" t="s">
        <v>23</v>
      </c>
      <c r="K638" t="s">
        <v>53</v>
      </c>
      <c r="L638" t="s">
        <v>246</v>
      </c>
      <c r="M638" t="s">
        <v>247</v>
      </c>
      <c r="N638" t="s">
        <v>27</v>
      </c>
      <c r="O638" t="s">
        <v>28</v>
      </c>
      <c r="P638" t="s">
        <v>1963</v>
      </c>
      <c r="Q638" t="s">
        <v>58</v>
      </c>
      <c r="R638">
        <v>8</v>
      </c>
      <c r="S638" s="15">
        <v>1910.31</v>
      </c>
      <c r="T638" s="4">
        <v>0.15</v>
      </c>
      <c r="U638" s="3" t="str">
        <f>IF(T638&lt;0, "negative_discount", IF(AND(T638&gt;0.5, T638&lt;=1), "high_discount", ""))</f>
        <v/>
      </c>
      <c r="V638" s="11">
        <v>12990.11</v>
      </c>
      <c r="W638" s="12">
        <v>12990.11</v>
      </c>
      <c r="X638" s="11">
        <v>10200.799999999999</v>
      </c>
      <c r="Y638" s="11">
        <v>2789.31</v>
      </c>
      <c r="Z638" s="11">
        <f>ROUND(W638-X638,2)</f>
        <v>2789.31</v>
      </c>
      <c r="AA638" s="4">
        <f>IF(W638=0,0,Z638/W638)</f>
        <v>0.21472566437081747</v>
      </c>
      <c r="AB638" t="s">
        <v>31</v>
      </c>
      <c r="AC638" t="s">
        <v>32</v>
      </c>
      <c r="AD638" t="str">
        <f>IF(AND(E638="", T638&gt;=0, T638&lt;=0.5, K638&lt;&gt;"Unknown", Q638&lt;&gt;"Unknown"), "CLEAN", _xlfn.CONCAT("WARNING: ", IF(E638&lt;&gt;"","invalid_date",""), IF(T638&lt;0,"negative_discount",""), IF(AND(T638&gt;0.5,T638&lt;=1),"high_discount",""), IF(K638="Unknown","missing_region",""), IF(Q638="Unknown","missing_ship_mode","")))</f>
        <v>CLEAN</v>
      </c>
      <c r="AE638" t="str">
        <f>IF(COUNTIF($AF$2:$AF$926,AF638)&gt;1,"DUPLICATE","UNIQUE")</f>
        <v>UNIQUE</v>
      </c>
      <c r="AF638" t="str">
        <f>A638&amp;"|"&amp;B638&amp;"|"&amp;H638&amp;"|"&amp;I638&amp;"|"&amp;R638&amp;"|"&amp;S638&amp;"|"&amp;V638</f>
        <v>ORD-2024-10637|2024-10-02|CUST-7221|Ananya Rao|8|1910.31|12990.11</v>
      </c>
      <c r="AG638" t="str">
        <f>IF(COUNTIF($A$2:$A$913,A638)&gt;1,"TRUE","FALSE")</f>
        <v>FALSE</v>
      </c>
    </row>
    <row r="639" spans="1:33">
      <c r="A639" t="s">
        <v>1964</v>
      </c>
      <c r="B639" t="s">
        <v>1965</v>
      </c>
      <c r="C639" t="s">
        <v>1965</v>
      </c>
      <c r="D639">
        <f>IF(OR(B639="", C639=""), "", (C639 - B639))</f>
        <v>0</v>
      </c>
      <c r="E639" t="str">
        <f>IF(C639&lt;B639, "INVALID: Ship date before order date", "")</f>
        <v/>
      </c>
      <c r="F639" t="str">
        <f>IF(B639="", "", TEXT(B639, "mmmm"))</f>
        <v>May</v>
      </c>
      <c r="G639">
        <f>IF(B639="", "", YEAR(B639))</f>
        <v>2024</v>
      </c>
      <c r="H639" t="s">
        <v>1966</v>
      </c>
      <c r="I639" t="s">
        <v>116</v>
      </c>
      <c r="J639" t="s">
        <v>36</v>
      </c>
      <c r="K639" t="s">
        <v>62</v>
      </c>
      <c r="L639" t="s">
        <v>185</v>
      </c>
      <c r="M639" t="s">
        <v>186</v>
      </c>
      <c r="N639" t="s">
        <v>74</v>
      </c>
      <c r="O639" t="s">
        <v>79</v>
      </c>
      <c r="P639" t="s">
        <v>1967</v>
      </c>
      <c r="Q639" t="s">
        <v>49</v>
      </c>
      <c r="R639">
        <v>2</v>
      </c>
      <c r="S639" s="15">
        <v>3192.47</v>
      </c>
      <c r="T639" s="4">
        <v>0.2</v>
      </c>
      <c r="U639" s="3" t="str">
        <f>IF(T639&lt;0, "negative_discount", IF(AND(T639&gt;0.5, T639&lt;=1), "high_discount", ""))</f>
        <v/>
      </c>
      <c r="V639" s="11">
        <v>5107.95</v>
      </c>
      <c r="W639" s="12">
        <v>5107.95</v>
      </c>
      <c r="X639" s="11">
        <v>3133.08</v>
      </c>
      <c r="Y639" s="11">
        <v>1974.87</v>
      </c>
      <c r="Z639" s="11">
        <f>ROUND(W639-X639,2)</f>
        <v>1974.87</v>
      </c>
      <c r="AA639" s="4">
        <f>IF(W639=0,0,Z639/W639)</f>
        <v>0.38662672892256189</v>
      </c>
      <c r="AB639" t="s">
        <v>31</v>
      </c>
      <c r="AC639" t="s">
        <v>32</v>
      </c>
      <c r="AD639" t="str">
        <f>IF(AND(E639="", T639&gt;=0, T639&lt;=0.5, K639&lt;&gt;"Unknown", Q639&lt;&gt;"Unknown"), "CLEAN", _xlfn.CONCAT("WARNING: ", IF(E639&lt;&gt;"","invalid_date",""), IF(T639&lt;0,"negative_discount",""), IF(AND(T639&gt;0.5,T639&lt;=1),"high_discount",""), IF(K639="Unknown","missing_region",""), IF(Q639="Unknown","missing_ship_mode","")))</f>
        <v>CLEAN</v>
      </c>
      <c r="AE639" t="str">
        <f>IF(COUNTIF($AF$2:$AF$926,AF639)&gt;1,"DUPLICATE","UNIQUE")</f>
        <v>UNIQUE</v>
      </c>
      <c r="AF639" t="str">
        <f>A639&amp;"|"&amp;B639&amp;"|"&amp;H639&amp;"|"&amp;I639&amp;"|"&amp;R639&amp;"|"&amp;S639&amp;"|"&amp;V639</f>
        <v>ORD-2024-10638|2024-05-26|CUST-2594|Rahul Verma|2|3192.47|5107.95</v>
      </c>
      <c r="AG639" t="str">
        <f>IF(COUNTIF($A$2:$A$913,A639)&gt;1,"TRUE","FALSE")</f>
        <v>FALSE</v>
      </c>
    </row>
    <row r="640" spans="1:33">
      <c r="A640" t="s">
        <v>1968</v>
      </c>
      <c r="B640" t="s">
        <v>407</v>
      </c>
      <c r="C640" t="s">
        <v>2946</v>
      </c>
      <c r="D640">
        <f>IF(OR(B640="", C640=""), "", (C640 - B640))</f>
        <v>5</v>
      </c>
      <c r="E640" t="str">
        <f>IF(C640&lt;B640, "INVALID: Ship date before order date", "")</f>
        <v/>
      </c>
      <c r="F640" t="str">
        <f>IF(B640="", "", TEXT(B640, "mmmm"))</f>
        <v>January</v>
      </c>
      <c r="G640">
        <f>IF(B640="", "", YEAR(B640))</f>
        <v>2024</v>
      </c>
      <c r="H640" t="s">
        <v>1969</v>
      </c>
      <c r="I640" t="s">
        <v>22</v>
      </c>
      <c r="J640" t="s">
        <v>89</v>
      </c>
      <c r="K640" t="s">
        <v>53</v>
      </c>
      <c r="L640" t="s">
        <v>180</v>
      </c>
      <c r="M640" t="s">
        <v>181</v>
      </c>
      <c r="N640" t="s">
        <v>27</v>
      </c>
      <c r="O640" t="s">
        <v>122</v>
      </c>
      <c r="P640" t="s">
        <v>1970</v>
      </c>
      <c r="Q640" t="s">
        <v>30</v>
      </c>
      <c r="R640">
        <v>3</v>
      </c>
      <c r="S640" s="15">
        <v>3224.32</v>
      </c>
      <c r="T640" s="4">
        <v>0.2</v>
      </c>
      <c r="U640" s="3" t="str">
        <f>IF(T640&lt;0, "negative_discount", IF(AND(T640&gt;0.5, T640&lt;=1), "high_discount", ""))</f>
        <v/>
      </c>
      <c r="V640" s="11">
        <v>7738.37</v>
      </c>
      <c r="W640" s="12">
        <v>7738.37</v>
      </c>
      <c r="X640" s="11">
        <v>4626.8500000000004</v>
      </c>
      <c r="Y640" s="11">
        <v>3111.52</v>
      </c>
      <c r="Z640" s="11">
        <f>ROUND(W640-X640,2)</f>
        <v>3111.52</v>
      </c>
      <c r="AA640" s="4">
        <f>IF(W640=0,0,Z640/W640)</f>
        <v>0.40208984579439855</v>
      </c>
      <c r="AB640" t="s">
        <v>151</v>
      </c>
      <c r="AC640" t="s">
        <v>100</v>
      </c>
      <c r="AD640" t="str">
        <f>IF(AND(E640="", T640&gt;=0, T640&lt;=0.5, K640&lt;&gt;"Unknown", Q640&lt;&gt;"Unknown"), "CLEAN", _xlfn.CONCAT("WARNING: ", IF(E640&lt;&gt;"","invalid_date",""), IF(T640&lt;0,"negative_discount",""), IF(AND(T640&gt;0.5,T640&lt;=1),"high_discount",""), IF(K640="Unknown","missing_region",""), IF(Q640="Unknown","missing_ship_mode","")))</f>
        <v>CLEAN</v>
      </c>
      <c r="AE640" t="str">
        <f>IF(COUNTIF($AF$2:$AF$926,AF640)&gt;1,"DUPLICATE","UNIQUE")</f>
        <v>UNIQUE</v>
      </c>
      <c r="AF640" t="str">
        <f>A640&amp;"|"&amp;B640&amp;"|"&amp;H640&amp;"|"&amp;I640&amp;"|"&amp;R640&amp;"|"&amp;S640&amp;"|"&amp;V640</f>
        <v>ORD-2024-10639|2024-01-26|CUST-2111|Karan Malhotra|3|3224.32|7738.37</v>
      </c>
      <c r="AG640" t="str">
        <f>IF(COUNTIF($A$2:$A$913,A640)&gt;1,"TRUE","FALSE")</f>
        <v>FALSE</v>
      </c>
    </row>
    <row r="641" spans="1:33">
      <c r="A641" t="s">
        <v>1971</v>
      </c>
      <c r="B641" t="s">
        <v>457</v>
      </c>
      <c r="C641" t="s">
        <v>1147</v>
      </c>
      <c r="D641">
        <f>IF(OR(B641="", C641=""), "", (C641 - B641))</f>
        <v>4</v>
      </c>
      <c r="E641" t="str">
        <f>IF(C641&lt;B641, "INVALID: Ship date before order date", "")</f>
        <v/>
      </c>
      <c r="F641" t="str">
        <f>IF(B641="", "", TEXT(B641, "mmmm"))</f>
        <v>December</v>
      </c>
      <c r="G641">
        <f>IF(B641="", "", YEAR(B641))</f>
        <v>2024</v>
      </c>
      <c r="H641" t="s">
        <v>1972</v>
      </c>
      <c r="I641" t="s">
        <v>46</v>
      </c>
      <c r="J641" t="s">
        <v>36</v>
      </c>
      <c r="K641" t="s">
        <v>37</v>
      </c>
      <c r="L641" t="s">
        <v>38</v>
      </c>
      <c r="M641" t="s">
        <v>39</v>
      </c>
      <c r="N641" t="s">
        <v>40</v>
      </c>
      <c r="O641" t="s">
        <v>65</v>
      </c>
      <c r="P641" t="s">
        <v>1973</v>
      </c>
      <c r="Q641" t="s">
        <v>30</v>
      </c>
      <c r="R641">
        <v>1</v>
      </c>
      <c r="S641" s="15">
        <v>1594.7</v>
      </c>
      <c r="T641" s="4">
        <v>0.05</v>
      </c>
      <c r="U641" s="3" t="str">
        <f>IF(T641&lt;0, "negative_discount", IF(AND(T641&gt;0.5, T641&lt;=1), "high_discount", ""))</f>
        <v/>
      </c>
      <c r="V641" s="11">
        <v>1514.96</v>
      </c>
      <c r="W641" s="12">
        <v>1514.97</v>
      </c>
      <c r="X641" s="11">
        <v>1046.17</v>
      </c>
      <c r="Y641" s="11">
        <v>468.79</v>
      </c>
      <c r="Z641" s="11">
        <f>ROUND(W641-X641,2)</f>
        <v>468.8</v>
      </c>
      <c r="AA641" s="4">
        <f>IF(W641=0,0,Z641/W641)</f>
        <v>0.30944507151956807</v>
      </c>
      <c r="AB641" t="s">
        <v>31</v>
      </c>
      <c r="AC641" t="s">
        <v>32</v>
      </c>
      <c r="AD641" t="str">
        <f>IF(AND(E641="", T641&gt;=0, T641&lt;=0.5, K641&lt;&gt;"Unknown", Q641&lt;&gt;"Unknown"), "CLEAN", _xlfn.CONCAT("WARNING: ", IF(E641&lt;&gt;"","invalid_date",""), IF(T641&lt;0,"negative_discount",""), IF(AND(T641&gt;0.5,T641&lt;=1),"high_discount",""), IF(K641="Unknown","missing_region",""), IF(Q641="Unknown","missing_ship_mode","")))</f>
        <v>CLEAN</v>
      </c>
      <c r="AE641" t="str">
        <f>IF(COUNTIF($AF$2:$AF$926,AF641)&gt;1,"DUPLICATE","UNIQUE")</f>
        <v>UNIQUE</v>
      </c>
      <c r="AF641" t="str">
        <f>A641&amp;"|"&amp;B641&amp;"|"&amp;H641&amp;"|"&amp;I641&amp;"|"&amp;R641&amp;"|"&amp;S641&amp;"|"&amp;V641</f>
        <v>ORD-2024-10640|2024-12-27|CUST-6829|Isha Nair|1|1594.7|1514.96</v>
      </c>
      <c r="AG641" t="str">
        <f>IF(COUNTIF($A$2:$A$913,A641)&gt;1,"TRUE","FALSE")</f>
        <v>FALSE</v>
      </c>
    </row>
    <row r="642" spans="1:33">
      <c r="A642" t="s">
        <v>3261</v>
      </c>
      <c r="B642" t="s">
        <v>2854</v>
      </c>
      <c r="C642" t="s">
        <v>2949</v>
      </c>
      <c r="D642">
        <f>IF(OR(B642="", C642=""), "", (C642 - B642))</f>
        <v>3</v>
      </c>
      <c r="E642" t="str">
        <f>IF(C642&lt;B642, "INVALID: Ship date before order date", "")</f>
        <v/>
      </c>
      <c r="F642" t="str">
        <f>IF(B642="", "", TEXT(B642, "mmmm"))</f>
        <v>January</v>
      </c>
      <c r="G642">
        <f>IF(B642="", "", YEAR(B642))</f>
        <v>2025</v>
      </c>
      <c r="H642" t="s">
        <v>1974</v>
      </c>
      <c r="I642" t="s">
        <v>71</v>
      </c>
      <c r="J642" t="s">
        <v>23</v>
      </c>
      <c r="K642" t="s">
        <v>62</v>
      </c>
      <c r="L642" t="s">
        <v>185</v>
      </c>
      <c r="M642" t="s">
        <v>186</v>
      </c>
      <c r="N642" t="s">
        <v>27</v>
      </c>
      <c r="O642" t="s">
        <v>122</v>
      </c>
      <c r="P642" t="s">
        <v>1975</v>
      </c>
      <c r="Q642" t="s">
        <v>49</v>
      </c>
      <c r="R642">
        <v>1</v>
      </c>
      <c r="S642" s="15">
        <v>1584.12</v>
      </c>
      <c r="T642" s="4">
        <v>0.2</v>
      </c>
      <c r="U642" s="3" t="str">
        <f>IF(T642&lt;0, "negative_discount", IF(AND(T642&gt;0.5, T642&lt;=1), "high_discount", ""))</f>
        <v/>
      </c>
      <c r="V642" s="11">
        <v>1267.3</v>
      </c>
      <c r="W642" s="12">
        <v>1267.3</v>
      </c>
      <c r="X642" s="11">
        <v>923.53</v>
      </c>
      <c r="Y642" s="11">
        <v>343.77</v>
      </c>
      <c r="Z642" s="11">
        <f>ROUND(W642-X642,2)</f>
        <v>343.77</v>
      </c>
      <c r="AA642" s="4">
        <f>IF(W642=0,0,Z642/W642)</f>
        <v>0.27126173755227651</v>
      </c>
      <c r="AB642" t="s">
        <v>31</v>
      </c>
      <c r="AC642" t="s">
        <v>32</v>
      </c>
      <c r="AD642" t="str">
        <f>IF(AND(E642="", T642&gt;=0, T642&lt;=0.5, K642&lt;&gt;"Unknown", Q642&lt;&gt;"Unknown"), "CLEAN", _xlfn.CONCAT("WARNING: ", IF(E642&lt;&gt;"","invalid_date",""), IF(T642&lt;0,"negative_discount",""), IF(AND(T642&gt;0.5,T642&lt;=1),"high_discount",""), IF(K642="Unknown","missing_region",""), IF(Q642="Unknown","missing_ship_mode","")))</f>
        <v>CLEAN</v>
      </c>
      <c r="AE642" t="str">
        <f>IF(COUNTIF($AF$2:$AF$926,AF642)&gt;1,"DUPLICATE","UNIQUE")</f>
        <v>UNIQUE</v>
      </c>
      <c r="AF642" t="str">
        <f>A642&amp;"|"&amp;B642&amp;"|"&amp;H642&amp;"|"&amp;I642&amp;"|"&amp;R642&amp;"|"&amp;S642&amp;"|"&amp;V642</f>
        <v>ORD-2025-10641|2025-01-14|CUST-5061|Vikram Iyer|1|1584.12|1267.3</v>
      </c>
      <c r="AG642" t="str">
        <f>IF(COUNTIF($A$2:$A$913,A642)&gt;1,"TRUE","FALSE")</f>
        <v>FALSE</v>
      </c>
    </row>
    <row r="643" spans="1:33">
      <c r="A643" t="s">
        <v>3262</v>
      </c>
      <c r="B643" t="s">
        <v>1976</v>
      </c>
      <c r="C643" t="s">
        <v>1265</v>
      </c>
      <c r="D643">
        <f>IF(OR(B643="", C643=""), "", (C643 - B643))</f>
        <v>5</v>
      </c>
      <c r="E643" t="str">
        <f>IF(C643&lt;B643, "INVALID: Ship date before order date", "")</f>
        <v/>
      </c>
      <c r="F643" t="str">
        <f>IF(B643="", "", TEXT(B643, "mmmm"))</f>
        <v>April</v>
      </c>
      <c r="G643">
        <f>IF(B643="", "", YEAR(B643))</f>
        <v>2025</v>
      </c>
      <c r="H643" t="s">
        <v>1977</v>
      </c>
      <c r="I643" t="s">
        <v>22</v>
      </c>
      <c r="J643" t="s">
        <v>23</v>
      </c>
      <c r="K643" t="s">
        <v>24</v>
      </c>
      <c r="L643" t="s">
        <v>353</v>
      </c>
      <c r="M643" t="s">
        <v>354</v>
      </c>
      <c r="N643" t="s">
        <v>40</v>
      </c>
      <c r="O643" t="s">
        <v>56</v>
      </c>
      <c r="P643" t="s">
        <v>1978</v>
      </c>
      <c r="Q643" t="s">
        <v>43</v>
      </c>
      <c r="R643">
        <v>2</v>
      </c>
      <c r="S643" s="15">
        <v>3202.87</v>
      </c>
      <c r="T643" s="4">
        <v>0</v>
      </c>
      <c r="U643" s="3" t="str">
        <f>IF(T643&lt;0, "negative_discount", IF(AND(T643&gt;0.5, T643&lt;=1), "high_discount", ""))</f>
        <v/>
      </c>
      <c r="V643" s="11">
        <v>6405.74</v>
      </c>
      <c r="W643" s="12">
        <v>6405.74</v>
      </c>
      <c r="X643" s="11">
        <v>3561.87</v>
      </c>
      <c r="Y643" s="11">
        <v>2843.87</v>
      </c>
      <c r="Z643" s="11">
        <f>ROUND(W643-X643,2)</f>
        <v>2843.87</v>
      </c>
      <c r="AA643" s="4">
        <f>IF(W643=0,0,Z643/W643)</f>
        <v>0.44395651400150488</v>
      </c>
      <c r="AB643" t="s">
        <v>31</v>
      </c>
      <c r="AC643" t="s">
        <v>32</v>
      </c>
      <c r="AD643" t="str">
        <f>IF(AND(E643="", T643&gt;=0, T643&lt;=0.5, K643&lt;&gt;"Unknown", Q643&lt;&gt;"Unknown"), "CLEAN", _xlfn.CONCAT("WARNING: ", IF(E643&lt;&gt;"","invalid_date",""), IF(T643&lt;0,"negative_discount",""), IF(AND(T643&gt;0.5,T643&lt;=1),"high_discount",""), IF(K643="Unknown","missing_region",""), IF(Q643="Unknown","missing_ship_mode","")))</f>
        <v>CLEAN</v>
      </c>
      <c r="AE643" t="str">
        <f>IF(COUNTIF($AF$2:$AF$926,AF643)&gt;1,"DUPLICATE","UNIQUE")</f>
        <v>UNIQUE</v>
      </c>
      <c r="AF643" t="str">
        <f>A643&amp;"|"&amp;B643&amp;"|"&amp;H643&amp;"|"&amp;I643&amp;"|"&amp;R643&amp;"|"&amp;S643&amp;"|"&amp;V643</f>
        <v>ORD-2025-10642|2025-04-09|CUST-7915|Karan Malhotra|2|3202.87|6405.74</v>
      </c>
      <c r="AG643" t="str">
        <f>IF(COUNTIF($A$2:$A$913,A643)&gt;1,"TRUE","FALSE")</f>
        <v>FALSE</v>
      </c>
    </row>
    <row r="644" spans="1:33">
      <c r="A644" t="s">
        <v>1979</v>
      </c>
      <c r="B644" t="s">
        <v>1318</v>
      </c>
      <c r="C644" t="s">
        <v>2672</v>
      </c>
      <c r="D644">
        <f>IF(OR(B644="", C644=""), "", (C644 - B644))</f>
        <v>2</v>
      </c>
      <c r="E644" t="str">
        <f>IF(C644&lt;B644, "INVALID: Ship date before order date", "")</f>
        <v/>
      </c>
      <c r="F644" t="str">
        <f>IF(B644="", "", TEXT(B644, "mmmm"))</f>
        <v>August</v>
      </c>
      <c r="G644">
        <f>IF(B644="", "", YEAR(B644))</f>
        <v>2024</v>
      </c>
      <c r="H644" t="s">
        <v>1980</v>
      </c>
      <c r="I644" t="s">
        <v>46</v>
      </c>
      <c r="J644" t="s">
        <v>93</v>
      </c>
      <c r="K644" t="s">
        <v>37</v>
      </c>
      <c r="L644" t="s">
        <v>163</v>
      </c>
      <c r="M644" t="s">
        <v>164</v>
      </c>
      <c r="N644" t="s">
        <v>27</v>
      </c>
      <c r="O644" t="s">
        <v>149</v>
      </c>
      <c r="P644" t="s">
        <v>1981</v>
      </c>
      <c r="Q644" t="s">
        <v>30</v>
      </c>
      <c r="R644">
        <v>9</v>
      </c>
      <c r="S644" s="15">
        <v>1275.21</v>
      </c>
      <c r="T644" s="4">
        <v>0.25</v>
      </c>
      <c r="U644" s="3" t="str">
        <f>IF(T644&lt;0, "negative_discount", IF(AND(T644&gt;0.5, T644&lt;=1), "high_discount", ""))</f>
        <v/>
      </c>
      <c r="V644" s="11">
        <v>8607.67</v>
      </c>
      <c r="W644" s="12">
        <v>8607.67</v>
      </c>
      <c r="X644" s="11">
        <v>5337.64</v>
      </c>
      <c r="Y644" s="11">
        <v>3270.03</v>
      </c>
      <c r="Z644" s="11">
        <f>ROUND(W644-X644,2)</f>
        <v>3270.03</v>
      </c>
      <c r="AA644" s="4">
        <f>IF(W644=0,0,Z644/W644)</f>
        <v>0.37989723119032215</v>
      </c>
      <c r="AB644" t="s">
        <v>151</v>
      </c>
      <c r="AC644" t="s">
        <v>100</v>
      </c>
      <c r="AD644" t="str">
        <f>IF(AND(E644="", T644&gt;=0, T644&lt;=0.5, K644&lt;&gt;"Unknown", Q644&lt;&gt;"Unknown"), "CLEAN", _xlfn.CONCAT("WARNING: ", IF(E644&lt;&gt;"","invalid_date",""), IF(T644&lt;0,"negative_discount",""), IF(AND(T644&gt;0.5,T644&lt;=1),"high_discount",""), IF(K644="Unknown","missing_region",""), IF(Q644="Unknown","missing_ship_mode","")))</f>
        <v>CLEAN</v>
      </c>
      <c r="AE644" t="str">
        <f>IF(COUNTIF($AF$2:$AF$926,AF644)&gt;1,"DUPLICATE","UNIQUE")</f>
        <v>UNIQUE</v>
      </c>
      <c r="AF644" t="str">
        <f>A644&amp;"|"&amp;B644&amp;"|"&amp;H644&amp;"|"&amp;I644&amp;"|"&amp;R644&amp;"|"&amp;S644&amp;"|"&amp;V644</f>
        <v>ORD-2024-10643|2024-08-29|CUST-1940|Isha Nair|9|1275.21|8607.67</v>
      </c>
      <c r="AG644" t="str">
        <f>IF(COUNTIF($A$2:$A$913,A644)&gt;1,"TRUE","FALSE")</f>
        <v>FALSE</v>
      </c>
    </row>
    <row r="645" spans="1:33">
      <c r="A645" t="s">
        <v>1982</v>
      </c>
      <c r="B645" t="s">
        <v>792</v>
      </c>
      <c r="C645" t="s">
        <v>1983</v>
      </c>
      <c r="D645">
        <f>IF(OR(B645="", C645=""), "", (C645 - B645))</f>
        <v>-79</v>
      </c>
      <c r="E645" t="str">
        <f>IF(C645&lt;B645, "INVALID: Ship date before order date", "")</f>
        <v>INVALID: Ship date before order date</v>
      </c>
      <c r="F645" t="str">
        <f>IF(B645="", "", TEXT(B645, "mmmm"))</f>
        <v>May</v>
      </c>
      <c r="G645">
        <f>IF(B645="", "", YEAR(B645))</f>
        <v>2024</v>
      </c>
      <c r="H645" t="s">
        <v>718</v>
      </c>
      <c r="I645" t="s">
        <v>126</v>
      </c>
      <c r="J645" t="s">
        <v>93</v>
      </c>
      <c r="K645" t="s">
        <v>24</v>
      </c>
      <c r="L645" t="s">
        <v>134</v>
      </c>
      <c r="M645" t="s">
        <v>135</v>
      </c>
      <c r="N645" t="s">
        <v>27</v>
      </c>
      <c r="O645" t="s">
        <v>90</v>
      </c>
      <c r="P645" t="s">
        <v>1984</v>
      </c>
      <c r="Q645" t="s">
        <v>58</v>
      </c>
      <c r="R645">
        <v>8</v>
      </c>
      <c r="S645" s="15">
        <v>3871.18</v>
      </c>
      <c r="T645" s="4">
        <v>0.15</v>
      </c>
      <c r="U645" s="3" t="str">
        <f>IF(T645&lt;0, "negative_discount", IF(AND(T645&gt;0.5, T645&lt;=1), "high_discount", ""))</f>
        <v/>
      </c>
      <c r="V645" s="11">
        <v>26324.02</v>
      </c>
      <c r="W645" s="12">
        <v>26324.02</v>
      </c>
      <c r="X645" s="11">
        <v>16277.96</v>
      </c>
      <c r="Y645" s="11">
        <v>10046.06</v>
      </c>
      <c r="Z645" s="11">
        <f>ROUND(W645-X645,2)</f>
        <v>10046.06</v>
      </c>
      <c r="AA645" s="4">
        <f>IF(W645=0,0,Z645/W645)</f>
        <v>0.38163092111311264</v>
      </c>
      <c r="AB645" t="s">
        <v>151</v>
      </c>
      <c r="AC645" t="s">
        <v>100</v>
      </c>
      <c r="AD645" t="str">
        <f>IF(AND(E645="", T645&gt;=0, T645&lt;=0.5, K645&lt;&gt;"Unknown", Q645&lt;&gt;"Unknown"), "CLEAN", _xlfn.CONCAT("WARNING: ", IF(E645&lt;&gt;"","invalid_date",""), IF(T645&lt;0,"negative_discount",""), IF(AND(T645&gt;0.5,T645&lt;=1),"high_discount",""), IF(K645="Unknown","missing_region",""), IF(Q645="Unknown","missing_ship_mode","")))</f>
        <v>WARNING: invalid_date</v>
      </c>
      <c r="AE645" t="str">
        <f>IF(COUNTIF($AF$2:$AF$926,AF645)&gt;1,"DUPLICATE","UNIQUE")</f>
        <v>UNIQUE</v>
      </c>
      <c r="AF645" t="str">
        <f>A645&amp;"|"&amp;B645&amp;"|"&amp;H645&amp;"|"&amp;I645&amp;"|"&amp;R645&amp;"|"&amp;S645&amp;"|"&amp;V645</f>
        <v>ORD-2024-10644|2024-05-02|CUST-1986|Aarav Sharma|8|3871.18|26324.02</v>
      </c>
      <c r="AG645" t="str">
        <f>IF(COUNTIF($A$2:$A$913,A645)&gt;1,"TRUE","FALSE")</f>
        <v>FALSE</v>
      </c>
    </row>
    <row r="646" spans="1:33">
      <c r="A646" t="s">
        <v>3263</v>
      </c>
      <c r="B646" t="s">
        <v>1679</v>
      </c>
      <c r="C646" t="s">
        <v>1680</v>
      </c>
      <c r="D646">
        <f>IF(OR(B646="", C646=""), "", (C646 - B646))</f>
        <v>7</v>
      </c>
      <c r="E646" t="str">
        <f>IF(C646&lt;B646, "INVALID: Ship date before order date", "")</f>
        <v/>
      </c>
      <c r="F646" t="str">
        <f>IF(B646="", "", TEXT(B646, "mmmm"))</f>
        <v>April</v>
      </c>
      <c r="G646">
        <f>IF(B646="", "", YEAR(B646))</f>
        <v>2025</v>
      </c>
      <c r="H646" t="s">
        <v>1985</v>
      </c>
      <c r="I646" t="s">
        <v>71</v>
      </c>
      <c r="J646" t="s">
        <v>23</v>
      </c>
      <c r="K646" t="s">
        <v>37</v>
      </c>
      <c r="L646" t="s">
        <v>96</v>
      </c>
      <c r="M646" t="s">
        <v>97</v>
      </c>
      <c r="N646" t="s">
        <v>40</v>
      </c>
      <c r="O646" t="s">
        <v>65</v>
      </c>
      <c r="P646" t="s">
        <v>1986</v>
      </c>
      <c r="Q646" t="s">
        <v>58</v>
      </c>
      <c r="R646">
        <v>4</v>
      </c>
      <c r="S646" s="15">
        <v>3750.02</v>
      </c>
      <c r="T646" s="4">
        <v>0.05</v>
      </c>
      <c r="U646" s="3" t="str">
        <f>IF(T646&lt;0, "negative_discount", IF(AND(T646&gt;0.5, T646&lt;=1), "high_discount", ""))</f>
        <v/>
      </c>
      <c r="V646" s="11">
        <v>14250.08</v>
      </c>
      <c r="W646" s="12">
        <v>14250.08</v>
      </c>
      <c r="X646" s="11">
        <v>10914.92</v>
      </c>
      <c r="Y646" s="11">
        <v>3335.16</v>
      </c>
      <c r="Z646" s="11">
        <f>ROUND(W646-X646,2)</f>
        <v>3335.16</v>
      </c>
      <c r="AA646" s="4">
        <f>IF(W646=0,0,Z646/W646)</f>
        <v>0.23404500185262117</v>
      </c>
      <c r="AB646" t="s">
        <v>31</v>
      </c>
      <c r="AC646" t="s">
        <v>32</v>
      </c>
      <c r="AD646" t="str">
        <f>IF(AND(E646="", T646&gt;=0, T646&lt;=0.5, K646&lt;&gt;"Unknown", Q646&lt;&gt;"Unknown"), "CLEAN", _xlfn.CONCAT("WARNING: ", IF(E646&lt;&gt;"","invalid_date",""), IF(T646&lt;0,"negative_discount",""), IF(AND(T646&gt;0.5,T646&lt;=1),"high_discount",""), IF(K646="Unknown","missing_region",""), IF(Q646="Unknown","missing_ship_mode","")))</f>
        <v>CLEAN</v>
      </c>
      <c r="AE646" t="str">
        <f>IF(COUNTIF($AF$2:$AF$926,AF646)&gt;1,"DUPLICATE","UNIQUE")</f>
        <v>UNIQUE</v>
      </c>
      <c r="AF646" t="str">
        <f>A646&amp;"|"&amp;B646&amp;"|"&amp;H646&amp;"|"&amp;I646&amp;"|"&amp;R646&amp;"|"&amp;S646&amp;"|"&amp;V646</f>
        <v>ORD-2025-10645|2025-04-10|CUST-5549|Vikram Iyer|4|3750.02|14250.08</v>
      </c>
      <c r="AG646" t="str">
        <f>IF(COUNTIF($A$2:$A$913,A646)&gt;1,"TRUE","FALSE")</f>
        <v>FALSE</v>
      </c>
    </row>
    <row r="647" spans="1:33">
      <c r="A647" t="s">
        <v>1987</v>
      </c>
      <c r="B647" t="s">
        <v>1988</v>
      </c>
      <c r="C647" t="s">
        <v>282</v>
      </c>
      <c r="D647">
        <f>IF(OR(B647="", C647=""), "", (C647 - B647))</f>
        <v>241</v>
      </c>
      <c r="E647" t="str">
        <f>IF(C647&lt;B647, "INVALID: Ship date before order date", "")</f>
        <v/>
      </c>
      <c r="F647" t="str">
        <f>IF(B647="", "", TEXT(B647, "mmmm"))</f>
        <v>January</v>
      </c>
      <c r="G647">
        <f>IF(B647="", "", YEAR(B647))</f>
        <v>2024</v>
      </c>
      <c r="H647" t="s">
        <v>1989</v>
      </c>
      <c r="I647" t="s">
        <v>263</v>
      </c>
      <c r="J647" t="s">
        <v>23</v>
      </c>
      <c r="K647" t="s">
        <v>37</v>
      </c>
      <c r="L647" t="s">
        <v>142</v>
      </c>
      <c r="M647" t="s">
        <v>143</v>
      </c>
      <c r="N647" t="s">
        <v>40</v>
      </c>
      <c r="O647" t="s">
        <v>65</v>
      </c>
      <c r="P647" t="s">
        <v>1990</v>
      </c>
      <c r="Q647" t="s">
        <v>30</v>
      </c>
      <c r="R647">
        <v>6</v>
      </c>
      <c r="S647" s="15">
        <v>2423.61</v>
      </c>
      <c r="T647" s="4">
        <v>0.1</v>
      </c>
      <c r="U647" s="3" t="str">
        <f>IF(T647&lt;0, "negative_discount", IF(AND(T647&gt;0.5, T647&lt;=1), "high_discount", ""))</f>
        <v/>
      </c>
      <c r="V647" s="11">
        <v>13087.49</v>
      </c>
      <c r="W647" s="12">
        <v>13087.49</v>
      </c>
      <c r="X647" s="11">
        <v>7608.89</v>
      </c>
      <c r="Y647" s="11">
        <v>5133.22</v>
      </c>
      <c r="Z647" s="11">
        <f>ROUND(W647-X647,2)</f>
        <v>5478.6</v>
      </c>
      <c r="AA647" s="4">
        <f>IF(W647=0,0,Z647/W647)</f>
        <v>0.41861350037325723</v>
      </c>
      <c r="AB647" t="s">
        <v>31</v>
      </c>
      <c r="AC647" t="s">
        <v>32</v>
      </c>
      <c r="AD647" t="str">
        <f>IF(AND(E647="", T647&gt;=0, T647&lt;=0.5, K647&lt;&gt;"Unknown", Q647&lt;&gt;"Unknown"), "CLEAN", _xlfn.CONCAT("WARNING: ", IF(E647&lt;&gt;"","invalid_date",""), IF(T647&lt;0,"negative_discount",""), IF(AND(T647&gt;0.5,T647&lt;=1),"high_discount",""), IF(K647="Unknown","missing_region",""), IF(Q647="Unknown","missing_ship_mode","")))</f>
        <v>CLEAN</v>
      </c>
      <c r="AE647" t="str">
        <f>IF(COUNTIF($AF$2:$AF$926,AF647)&gt;1,"DUPLICATE","UNIQUE")</f>
        <v>UNIQUE</v>
      </c>
      <c r="AF647" t="str">
        <f>A647&amp;"|"&amp;B647&amp;"|"&amp;H647&amp;"|"&amp;I647&amp;"|"&amp;R647&amp;"|"&amp;S647&amp;"|"&amp;V647</f>
        <v>ORD-2024-10646|2024-01-04|CUST-2314|Kabir Singh|6|2423.61|13087.49</v>
      </c>
      <c r="AG647" t="str">
        <f>IF(COUNTIF($A$2:$A$913,A647)&gt;1,"TRUE","FALSE")</f>
        <v>FALSE</v>
      </c>
    </row>
    <row r="648" spans="1:33">
      <c r="A648" t="s">
        <v>1991</v>
      </c>
      <c r="B648" t="s">
        <v>2372</v>
      </c>
      <c r="C648" t="s">
        <v>2936</v>
      </c>
      <c r="D648">
        <f>IF(OR(B648="", C648=""), "", (C648 - B648))</f>
        <v>6</v>
      </c>
      <c r="E648" t="str">
        <f>IF(C648&lt;B648, "INVALID: Ship date before order date", "")</f>
        <v/>
      </c>
      <c r="F648" t="str">
        <f>IF(B648="", "", TEXT(B648, "mmmm"))</f>
        <v>September</v>
      </c>
      <c r="G648">
        <f>IF(B648="", "", YEAR(B648))</f>
        <v>2024</v>
      </c>
      <c r="H648" t="s">
        <v>1992</v>
      </c>
      <c r="I648" t="s">
        <v>71</v>
      </c>
      <c r="J648" t="s">
        <v>36</v>
      </c>
      <c r="K648" t="s">
        <v>37</v>
      </c>
      <c r="L648" t="s">
        <v>226</v>
      </c>
      <c r="M648" t="s">
        <v>227</v>
      </c>
      <c r="N648" t="s">
        <v>74</v>
      </c>
      <c r="O648" t="s">
        <v>272</v>
      </c>
      <c r="P648" t="s">
        <v>1993</v>
      </c>
      <c r="Q648" t="s">
        <v>49</v>
      </c>
      <c r="R648">
        <v>3</v>
      </c>
      <c r="S648" s="15">
        <v>729.14</v>
      </c>
      <c r="T648" s="4">
        <v>0.25</v>
      </c>
      <c r="U648" s="3" t="str">
        <f>IF(T648&lt;0, "negative_discount", IF(AND(T648&gt;0.5, T648&lt;=1), "high_discount", ""))</f>
        <v/>
      </c>
      <c r="V648" s="11">
        <v>1640.57</v>
      </c>
      <c r="W648" s="12">
        <v>1640.57</v>
      </c>
      <c r="X648" s="11">
        <v>1136.98</v>
      </c>
      <c r="Y648" s="11">
        <v>503.59</v>
      </c>
      <c r="Z648" s="11">
        <f>ROUND(W648-X648,2)</f>
        <v>503.59</v>
      </c>
      <c r="AA648" s="4">
        <f>IF(W648=0,0,Z648/W648)</f>
        <v>0.30696038571959744</v>
      </c>
      <c r="AB648" t="s">
        <v>31</v>
      </c>
      <c r="AC648" t="s">
        <v>32</v>
      </c>
      <c r="AD648" t="str">
        <f>IF(AND(E648="", T648&gt;=0, T648&lt;=0.5, K648&lt;&gt;"Unknown", Q648&lt;&gt;"Unknown"), "CLEAN", _xlfn.CONCAT("WARNING: ", IF(E648&lt;&gt;"","invalid_date",""), IF(T648&lt;0,"negative_discount",""), IF(AND(T648&gt;0.5,T648&lt;=1),"high_discount",""), IF(K648="Unknown","missing_region",""), IF(Q648="Unknown","missing_ship_mode","")))</f>
        <v>CLEAN</v>
      </c>
      <c r="AE648" t="str">
        <f>IF(COUNTIF($AF$2:$AF$926,AF648)&gt;1,"DUPLICATE","UNIQUE")</f>
        <v>UNIQUE</v>
      </c>
      <c r="AF648" t="str">
        <f>A648&amp;"|"&amp;B648&amp;"|"&amp;H648&amp;"|"&amp;I648&amp;"|"&amp;R648&amp;"|"&amp;S648&amp;"|"&amp;V648</f>
        <v>ORD-2024-10647|2024-09-18|CUST-6360|Vikram Iyer|3|729.14|1640.57</v>
      </c>
      <c r="AG648" t="str">
        <f>IF(COUNTIF($A$2:$A$913,A648)&gt;1,"TRUE","FALSE")</f>
        <v>FALSE</v>
      </c>
    </row>
    <row r="649" spans="1:33">
      <c r="A649" t="s">
        <v>3264</v>
      </c>
      <c r="B649" t="s">
        <v>2755</v>
      </c>
      <c r="C649" t="s">
        <v>59</v>
      </c>
      <c r="D649">
        <f>IF(OR(B649="", C649=""), "", (C649 - B649))</f>
        <v>243</v>
      </c>
      <c r="E649" t="str">
        <f>IF(C649&lt;B649, "INVALID: Ship date before order date", "")</f>
        <v/>
      </c>
      <c r="F649" t="str">
        <f>IF(B649="", "", TEXT(B649, "mmmm"))</f>
        <v>January</v>
      </c>
      <c r="G649">
        <f>IF(B649="", "", YEAR(B649))</f>
        <v>2025</v>
      </c>
      <c r="H649" t="s">
        <v>1994</v>
      </c>
      <c r="I649" t="s">
        <v>139</v>
      </c>
      <c r="J649" t="s">
        <v>36</v>
      </c>
      <c r="K649" t="s">
        <v>24</v>
      </c>
      <c r="L649" t="s">
        <v>120</v>
      </c>
      <c r="M649" t="s">
        <v>121</v>
      </c>
      <c r="N649" t="s">
        <v>27</v>
      </c>
      <c r="O649" t="s">
        <v>47</v>
      </c>
      <c r="P649" t="s">
        <v>1995</v>
      </c>
      <c r="Q649" t="s">
        <v>49</v>
      </c>
      <c r="R649">
        <v>8</v>
      </c>
      <c r="S649" s="15">
        <v>2123.81</v>
      </c>
      <c r="T649" s="4">
        <v>0.15</v>
      </c>
      <c r="U649" s="3" t="str">
        <f>IF(T649&lt;0, "negative_discount", IF(AND(T649&gt;0.5, T649&lt;=1), "high_discount", ""))</f>
        <v/>
      </c>
      <c r="V649" s="11">
        <v>14441.91</v>
      </c>
      <c r="W649" s="12">
        <v>14441.91</v>
      </c>
      <c r="X649" s="11">
        <v>10872.89</v>
      </c>
      <c r="Y649" s="11">
        <v>3569.02</v>
      </c>
      <c r="Z649" s="11">
        <f>ROUND(W649-X649,2)</f>
        <v>3569.02</v>
      </c>
      <c r="AA649" s="4">
        <f>IF(W649=0,0,Z649/W649)</f>
        <v>0.24712936169800256</v>
      </c>
      <c r="AB649" t="s">
        <v>31</v>
      </c>
      <c r="AC649" t="s">
        <v>32</v>
      </c>
      <c r="AD649" t="str">
        <f>IF(AND(E649="", T649&gt;=0, T649&lt;=0.5, K649&lt;&gt;"Unknown", Q649&lt;&gt;"Unknown"), "CLEAN", _xlfn.CONCAT("WARNING: ", IF(E649&lt;&gt;"","invalid_date",""), IF(T649&lt;0,"negative_discount",""), IF(AND(T649&gt;0.5,T649&lt;=1),"high_discount",""), IF(K649="Unknown","missing_region",""), IF(Q649="Unknown","missing_ship_mode","")))</f>
        <v>CLEAN</v>
      </c>
      <c r="AE649" t="str">
        <f>IF(COUNTIF($AF$2:$AF$926,AF649)&gt;1,"DUPLICATE","UNIQUE")</f>
        <v>UNIQUE</v>
      </c>
      <c r="AF649" t="str">
        <f>A649&amp;"|"&amp;B649&amp;"|"&amp;H649&amp;"|"&amp;I649&amp;"|"&amp;R649&amp;"|"&amp;S649&amp;"|"&amp;V649</f>
        <v>ORD-2025-10648|2025-01-01|CUST-9942|Rohan Mehta|8|2123.81|14441.91</v>
      </c>
      <c r="AG649" t="str">
        <f>IF(COUNTIF($A$2:$A$913,A649)&gt;1,"TRUE","FALSE")</f>
        <v>FALSE</v>
      </c>
    </row>
    <row r="650" spans="1:33">
      <c r="A650" t="s">
        <v>1996</v>
      </c>
      <c r="B650" t="s">
        <v>2855</v>
      </c>
      <c r="C650" t="s">
        <v>2690</v>
      </c>
      <c r="D650">
        <f>IF(OR(B650="", C650=""), "", (C650 - B650))</f>
        <v>3</v>
      </c>
      <c r="E650" t="str">
        <f>IF(C650&lt;B650, "INVALID: Ship date before order date", "")</f>
        <v/>
      </c>
      <c r="F650" t="str">
        <f>IF(B650="", "", TEXT(B650, "mmmm"))</f>
        <v>April</v>
      </c>
      <c r="G650">
        <f>IF(B650="", "", YEAR(B650))</f>
        <v>2024</v>
      </c>
      <c r="H650" t="s">
        <v>1997</v>
      </c>
      <c r="I650" t="s">
        <v>78</v>
      </c>
      <c r="J650" t="s">
        <v>36</v>
      </c>
      <c r="K650" t="s">
        <v>53</v>
      </c>
      <c r="L650" t="s">
        <v>83</v>
      </c>
      <c r="M650" t="s">
        <v>84</v>
      </c>
      <c r="N650" t="s">
        <v>27</v>
      </c>
      <c r="O650" t="s">
        <v>47</v>
      </c>
      <c r="P650" t="s">
        <v>1998</v>
      </c>
      <c r="Q650" t="s">
        <v>43</v>
      </c>
      <c r="R650">
        <v>9</v>
      </c>
      <c r="S650" s="15">
        <v>703.59</v>
      </c>
      <c r="T650" s="4">
        <v>0.2</v>
      </c>
      <c r="U650" s="3" t="str">
        <f>IF(T650&lt;0, "negative_discount", IF(AND(T650&gt;0.5, T650&lt;=1), "high_discount", ""))</f>
        <v/>
      </c>
      <c r="V650" s="11">
        <v>5065.8500000000004</v>
      </c>
      <c r="W650" s="12">
        <v>5065.8500000000004</v>
      </c>
      <c r="X650" s="11">
        <v>3517.23</v>
      </c>
      <c r="Y650" s="11">
        <v>1548.62</v>
      </c>
      <c r="Z650" s="11">
        <f>ROUND(W650-X650,2)</f>
        <v>1548.62</v>
      </c>
      <c r="AA650" s="4">
        <f>IF(W650=0,0,Z650/W650)</f>
        <v>0.30569795789452903</v>
      </c>
      <c r="AB650" t="s">
        <v>151</v>
      </c>
      <c r="AC650" t="s">
        <v>100</v>
      </c>
      <c r="AD650" t="str">
        <f>IF(AND(E650="", T650&gt;=0, T650&lt;=0.5, K650&lt;&gt;"Unknown", Q650&lt;&gt;"Unknown"), "CLEAN", _xlfn.CONCAT("WARNING: ", IF(E650&lt;&gt;"","invalid_date",""), IF(T650&lt;0,"negative_discount",""), IF(AND(T650&gt;0.5,T650&lt;=1),"high_discount",""), IF(K650="Unknown","missing_region",""), IF(Q650="Unknown","missing_ship_mode","")))</f>
        <v>CLEAN</v>
      </c>
      <c r="AE650" t="str">
        <f>IF(COUNTIF($AF$2:$AF$926,AF650)&gt;1,"DUPLICATE","UNIQUE")</f>
        <v>UNIQUE</v>
      </c>
      <c r="AF650" t="str">
        <f>A650&amp;"|"&amp;B650&amp;"|"&amp;H650&amp;"|"&amp;I650&amp;"|"&amp;R650&amp;"|"&amp;S650&amp;"|"&amp;V650</f>
        <v>ORD-2024-10649|2024-04-21|CUST-1808|Neha Gupta|9|703.59|5065.85</v>
      </c>
      <c r="AG650" t="str">
        <f>IF(COUNTIF($A$2:$A$913,A650)&gt;1,"TRUE","FALSE")</f>
        <v>FALSE</v>
      </c>
    </row>
    <row r="651" spans="1:33">
      <c r="A651" t="s">
        <v>3265</v>
      </c>
      <c r="B651" t="s">
        <v>403</v>
      </c>
      <c r="C651" t="s">
        <v>2950</v>
      </c>
      <c r="D651">
        <f>IF(OR(B651="", C651=""), "", (C651 - B651))</f>
        <v>8</v>
      </c>
      <c r="E651" t="str">
        <f>IF(C651&lt;B651, "INVALID: Ship date before order date", "")</f>
        <v/>
      </c>
      <c r="F651" t="str">
        <f>IF(B651="", "", TEXT(B651, "mmmm"))</f>
        <v>August</v>
      </c>
      <c r="G651">
        <f>IF(B651="", "", YEAR(B651))</f>
        <v>2025</v>
      </c>
      <c r="H651" t="s">
        <v>1999</v>
      </c>
      <c r="I651" t="s">
        <v>263</v>
      </c>
      <c r="J651" t="s">
        <v>36</v>
      </c>
      <c r="K651" t="s">
        <v>53</v>
      </c>
      <c r="L651" t="s">
        <v>180</v>
      </c>
      <c r="M651" t="s">
        <v>181</v>
      </c>
      <c r="N651" t="s">
        <v>74</v>
      </c>
      <c r="O651" t="s">
        <v>75</v>
      </c>
      <c r="P651" t="s">
        <v>2000</v>
      </c>
      <c r="Q651" t="s">
        <v>58</v>
      </c>
      <c r="R651">
        <v>4</v>
      </c>
      <c r="S651" s="15">
        <v>2258.96</v>
      </c>
      <c r="T651" s="4">
        <v>0.25</v>
      </c>
      <c r="U651" s="3" t="str">
        <f>IF(T651&lt;0, "negative_discount", IF(AND(T651&gt;0.5, T651&lt;=1), "high_discount", ""))</f>
        <v/>
      </c>
      <c r="V651" s="11">
        <v>6776.88</v>
      </c>
      <c r="W651" s="12">
        <v>6776.88</v>
      </c>
      <c r="X651" s="11">
        <v>3836.24</v>
      </c>
      <c r="Y651" s="11">
        <v>2940.64</v>
      </c>
      <c r="Z651" s="11">
        <f>ROUND(W651-X651,2)</f>
        <v>2940.64</v>
      </c>
      <c r="AA651" s="4">
        <f>IF(W651=0,0,Z651/W651)</f>
        <v>0.43392239496641521</v>
      </c>
      <c r="AB651" t="s">
        <v>31</v>
      </c>
      <c r="AC651" t="s">
        <v>32</v>
      </c>
      <c r="AD651" t="str">
        <f>IF(AND(E651="", T651&gt;=0, T651&lt;=0.5, K651&lt;&gt;"Unknown", Q651&lt;&gt;"Unknown"), "CLEAN", _xlfn.CONCAT("WARNING: ", IF(E651&lt;&gt;"","invalid_date",""), IF(T651&lt;0,"negative_discount",""), IF(AND(T651&gt;0.5,T651&lt;=1),"high_discount",""), IF(K651="Unknown","missing_region",""), IF(Q651="Unknown","missing_ship_mode","")))</f>
        <v>CLEAN</v>
      </c>
      <c r="AE651" t="str">
        <f>IF(COUNTIF($AF$2:$AF$926,AF651)&gt;1,"DUPLICATE","UNIQUE")</f>
        <v>UNIQUE</v>
      </c>
      <c r="AF651" t="str">
        <f>A651&amp;"|"&amp;B651&amp;"|"&amp;H651&amp;"|"&amp;I651&amp;"|"&amp;R651&amp;"|"&amp;S651&amp;"|"&amp;V651</f>
        <v>ORD-2025-10650|2025-08-11|CUST-7277|Kabir Singh|4|2258.96|6776.88</v>
      </c>
      <c r="AG651" t="str">
        <f>IF(COUNTIF($A$2:$A$913,A651)&gt;1,"TRUE","FALSE")</f>
        <v>FALSE</v>
      </c>
    </row>
    <row r="652" spans="1:33">
      <c r="A652" t="s">
        <v>2001</v>
      </c>
      <c r="B652" t="s">
        <v>2856</v>
      </c>
      <c r="C652" t="s">
        <v>2855</v>
      </c>
      <c r="D652">
        <f>IF(OR(B652="", C652=""), "", (C652 - B652))</f>
        <v>8</v>
      </c>
      <c r="E652" t="str">
        <f>IF(C652&lt;B652, "INVALID: Ship date before order date", "")</f>
        <v/>
      </c>
      <c r="F652" t="str">
        <f>IF(B652="", "", TEXT(B652, "mmmm"))</f>
        <v>April</v>
      </c>
      <c r="G652">
        <f>IF(B652="", "", YEAR(B652))</f>
        <v>2024</v>
      </c>
      <c r="H652" t="s">
        <v>384</v>
      </c>
      <c r="I652" t="s">
        <v>126</v>
      </c>
      <c r="J652" t="s">
        <v>93</v>
      </c>
      <c r="K652" t="s">
        <v>37</v>
      </c>
      <c r="L652" t="s">
        <v>142</v>
      </c>
      <c r="M652" t="s">
        <v>143</v>
      </c>
      <c r="N652" t="s">
        <v>74</v>
      </c>
      <c r="O652" t="s">
        <v>75</v>
      </c>
      <c r="P652" t="s">
        <v>2002</v>
      </c>
      <c r="Q652" t="s">
        <v>43</v>
      </c>
      <c r="R652">
        <v>7</v>
      </c>
      <c r="S652" s="15">
        <v>2648.76</v>
      </c>
      <c r="T652" s="4">
        <v>0.15</v>
      </c>
      <c r="U652" s="3" t="str">
        <f>IF(T652&lt;0, "negative_discount", IF(AND(T652&gt;0.5, T652&lt;=1), "high_discount", ""))</f>
        <v/>
      </c>
      <c r="V652" s="11">
        <v>15760.12</v>
      </c>
      <c r="W652" s="12">
        <v>15760.12</v>
      </c>
      <c r="X652" s="11">
        <v>9931.5300000000007</v>
      </c>
      <c r="Y652" s="11">
        <v>5828.59</v>
      </c>
      <c r="Z652" s="11">
        <f>ROUND(W652-X652,2)</f>
        <v>5828.59</v>
      </c>
      <c r="AA652" s="4">
        <f>IF(W652=0,0,Z652/W652)</f>
        <v>0.3698315748864856</v>
      </c>
      <c r="AB652" t="s">
        <v>151</v>
      </c>
      <c r="AC652" t="s">
        <v>100</v>
      </c>
      <c r="AD652" t="str">
        <f>IF(AND(E652="", T652&gt;=0, T652&lt;=0.5, K652&lt;&gt;"Unknown", Q652&lt;&gt;"Unknown"), "CLEAN", _xlfn.CONCAT("WARNING: ", IF(E652&lt;&gt;"","invalid_date",""), IF(T652&lt;0,"negative_discount",""), IF(AND(T652&gt;0.5,T652&lt;=1),"high_discount",""), IF(K652="Unknown","missing_region",""), IF(Q652="Unknown","missing_ship_mode","")))</f>
        <v>CLEAN</v>
      </c>
      <c r="AE652" t="str">
        <f>IF(COUNTIF($AF$2:$AF$926,AF652)&gt;1,"DUPLICATE","UNIQUE")</f>
        <v>UNIQUE</v>
      </c>
      <c r="AF652" t="str">
        <f>A652&amp;"|"&amp;B652&amp;"|"&amp;H652&amp;"|"&amp;I652&amp;"|"&amp;R652&amp;"|"&amp;S652&amp;"|"&amp;V652</f>
        <v>ORD-2024-10651|2024-04-13|CUST-7744|Aarav Sharma|7|2648.76|15760.12</v>
      </c>
      <c r="AG652" t="str">
        <f>IF(COUNTIF($A$2:$A$913,A652)&gt;1,"TRUE","FALSE")</f>
        <v>FALSE</v>
      </c>
    </row>
    <row r="653" spans="1:33">
      <c r="A653" t="s">
        <v>3266</v>
      </c>
      <c r="B653" t="s">
        <v>2758</v>
      </c>
      <c r="C653" t="s">
        <v>2780</v>
      </c>
      <c r="D653">
        <f>IF(OR(B653="", C653=""), "", (C653 - B653))</f>
        <v>33</v>
      </c>
      <c r="E653" t="str">
        <f>IF(C653&lt;B653, "INVALID: Ship date before order date", "")</f>
        <v/>
      </c>
      <c r="F653" t="str">
        <f>IF(B653="", "", TEXT(B653, "mmmm"))</f>
        <v>August</v>
      </c>
      <c r="G653">
        <f>IF(B653="", "", YEAR(B653))</f>
        <v>2025</v>
      </c>
      <c r="H653" t="s">
        <v>2003</v>
      </c>
      <c r="I653" t="s">
        <v>35</v>
      </c>
      <c r="J653" t="s">
        <v>36</v>
      </c>
      <c r="K653" t="s">
        <v>53</v>
      </c>
      <c r="L653" t="s">
        <v>83</v>
      </c>
      <c r="M653" t="s">
        <v>84</v>
      </c>
      <c r="N653" t="s">
        <v>27</v>
      </c>
      <c r="O653" t="s">
        <v>28</v>
      </c>
      <c r="P653" t="s">
        <v>2004</v>
      </c>
      <c r="Q653" t="s">
        <v>30</v>
      </c>
      <c r="R653">
        <v>3</v>
      </c>
      <c r="S653" s="15">
        <v>598.54999999999995</v>
      </c>
      <c r="T653" s="4">
        <v>0</v>
      </c>
      <c r="U653" s="3" t="str">
        <f>IF(T653&lt;0, "negative_discount", IF(AND(T653&gt;0.5, T653&lt;=1), "high_discount", ""))</f>
        <v/>
      </c>
      <c r="V653" s="11">
        <v>1795.65</v>
      </c>
      <c r="W653" s="12">
        <v>1795.65</v>
      </c>
      <c r="X653" s="11">
        <v>996.72</v>
      </c>
      <c r="Y653" s="11">
        <v>798.93</v>
      </c>
      <c r="Z653" s="11">
        <f>ROUND(W653-X653,2)</f>
        <v>798.93</v>
      </c>
      <c r="AA653" s="4">
        <f>IF(W653=0,0,Z653/W653)</f>
        <v>0.44492523598696848</v>
      </c>
      <c r="AB653" t="s">
        <v>31</v>
      </c>
      <c r="AC653" t="s">
        <v>32</v>
      </c>
      <c r="AD653" t="str">
        <f>IF(AND(E653="", T653&gt;=0, T653&lt;=0.5, K653&lt;&gt;"Unknown", Q653&lt;&gt;"Unknown"), "CLEAN", _xlfn.CONCAT("WARNING: ", IF(E653&lt;&gt;"","invalid_date",""), IF(T653&lt;0,"negative_discount",""), IF(AND(T653&gt;0.5,T653&lt;=1),"high_discount",""), IF(K653="Unknown","missing_region",""), IF(Q653="Unknown","missing_ship_mode","")))</f>
        <v>CLEAN</v>
      </c>
      <c r="AE653" t="str">
        <f>IF(COUNTIF($AF$2:$AF$926,AF653)&gt;1,"DUPLICATE","UNIQUE")</f>
        <v>UNIQUE</v>
      </c>
      <c r="AF653" t="str">
        <f>A653&amp;"|"&amp;B653&amp;"|"&amp;H653&amp;"|"&amp;I653&amp;"|"&amp;R653&amp;"|"&amp;S653&amp;"|"&amp;V653</f>
        <v>ORD-2025-10652|2025-08-06|CUST-2660|Mira Das|3|598.55|1795.65</v>
      </c>
      <c r="AG653" t="str">
        <f>IF(COUNTIF($A$2:$A$913,A653)&gt;1,"TRUE","FALSE")</f>
        <v>FALSE</v>
      </c>
    </row>
    <row r="654" spans="1:33">
      <c r="A654" t="s">
        <v>3267</v>
      </c>
      <c r="B654" t="s">
        <v>2857</v>
      </c>
      <c r="C654" t="s">
        <v>2005</v>
      </c>
      <c r="D654">
        <f>IF(OR(B654="", C654=""), "", (C654 - B654))</f>
        <v>4</v>
      </c>
      <c r="E654" t="str">
        <f>IF(C654&lt;B654, "INVALID: Ship date before order date", "")</f>
        <v/>
      </c>
      <c r="F654" t="str">
        <f>IF(B654="", "", TEXT(B654, "mmmm"))</f>
        <v>March</v>
      </c>
      <c r="G654">
        <f>IF(B654="", "", YEAR(B654))</f>
        <v>2025</v>
      </c>
      <c r="H654" t="s">
        <v>1663</v>
      </c>
      <c r="I654" t="s">
        <v>131</v>
      </c>
      <c r="J654" t="s">
        <v>23</v>
      </c>
      <c r="K654" t="s">
        <v>24</v>
      </c>
      <c r="L654" t="s">
        <v>134</v>
      </c>
      <c r="M654" t="s">
        <v>135</v>
      </c>
      <c r="N654" t="s">
        <v>27</v>
      </c>
      <c r="O654" t="s">
        <v>149</v>
      </c>
      <c r="P654" t="s">
        <v>2006</v>
      </c>
      <c r="Q654" t="s">
        <v>58</v>
      </c>
      <c r="R654">
        <v>5</v>
      </c>
      <c r="S654" s="15">
        <v>4320.59</v>
      </c>
      <c r="T654" s="4">
        <v>0.15</v>
      </c>
      <c r="U654" s="3" t="str">
        <f>IF(T654&lt;0, "negative_discount", IF(AND(T654&gt;0.5, T654&lt;=1), "high_discount", ""))</f>
        <v/>
      </c>
      <c r="V654" s="11">
        <v>18362.509999999998</v>
      </c>
      <c r="W654" s="12">
        <v>18362.509999999998</v>
      </c>
      <c r="X654" s="11">
        <v>11133.97</v>
      </c>
      <c r="Y654" s="11">
        <v>7228.54</v>
      </c>
      <c r="Z654" s="11">
        <f>ROUND(W654-X654,2)</f>
        <v>7228.54</v>
      </c>
      <c r="AA654" s="4">
        <f>IF(W654=0,0,Z654/W654)</f>
        <v>0.39365751196323384</v>
      </c>
      <c r="AB654" t="s">
        <v>31</v>
      </c>
      <c r="AC654" t="s">
        <v>32</v>
      </c>
      <c r="AD654" t="str">
        <f>IF(AND(E654="", T654&gt;=0, T654&lt;=0.5, K654&lt;&gt;"Unknown", Q654&lt;&gt;"Unknown"), "CLEAN", _xlfn.CONCAT("WARNING: ", IF(E654&lt;&gt;"","invalid_date",""), IF(T654&lt;0,"negative_discount",""), IF(AND(T654&gt;0.5,T654&lt;=1),"high_discount",""), IF(K654="Unknown","missing_region",""), IF(Q654="Unknown","missing_ship_mode","")))</f>
        <v>CLEAN</v>
      </c>
      <c r="AE654" t="str">
        <f>IF(COUNTIF($AF$2:$AF$926,AF654)&gt;1,"DUPLICATE","UNIQUE")</f>
        <v>UNIQUE</v>
      </c>
      <c r="AF654" t="str">
        <f>A654&amp;"|"&amp;B654&amp;"|"&amp;H654&amp;"|"&amp;I654&amp;"|"&amp;R654&amp;"|"&amp;S654&amp;"|"&amp;V654</f>
        <v>ORD-2025-10653|2025-03-17|CUST-8177|Sneha Kapoor|5|4320.59|18362.51</v>
      </c>
      <c r="AG654" t="str">
        <f>IF(COUNTIF($A$2:$A$913,A654)&gt;1,"TRUE","FALSE")</f>
        <v>FALSE</v>
      </c>
    </row>
    <row r="655" spans="1:33">
      <c r="A655" t="s">
        <v>3268</v>
      </c>
      <c r="B655" t="s">
        <v>2318</v>
      </c>
      <c r="C655" t="s">
        <v>2951</v>
      </c>
      <c r="D655">
        <f>IF(OR(B655="", C655=""), "", (C655 - B655))</f>
        <v>3</v>
      </c>
      <c r="E655" t="str">
        <f>IF(C655&lt;B655, "INVALID: Ship date before order date", "")</f>
        <v/>
      </c>
      <c r="F655" t="str">
        <f>IF(B655="", "", TEXT(B655, "mmmm"))</f>
        <v>April</v>
      </c>
      <c r="G655">
        <f>IF(B655="", "", YEAR(B655))</f>
        <v>2025</v>
      </c>
      <c r="H655" t="s">
        <v>2007</v>
      </c>
      <c r="I655" t="s">
        <v>112</v>
      </c>
      <c r="J655" t="s">
        <v>36</v>
      </c>
      <c r="K655" t="s">
        <v>53</v>
      </c>
      <c r="L655" t="s">
        <v>246</v>
      </c>
      <c r="M655" t="s">
        <v>247</v>
      </c>
      <c r="N655" t="s">
        <v>74</v>
      </c>
      <c r="O655" t="s">
        <v>79</v>
      </c>
      <c r="P655" t="s">
        <v>2008</v>
      </c>
      <c r="Q655" t="s">
        <v>30</v>
      </c>
      <c r="R655">
        <v>7</v>
      </c>
      <c r="S655" s="15">
        <v>4457.93</v>
      </c>
      <c r="T655" s="4">
        <v>0.15</v>
      </c>
      <c r="U655" s="3" t="str">
        <f>IF(T655&lt;0, "negative_discount", IF(AND(T655&gt;0.5, T655&lt;=1), "high_discount", ""))</f>
        <v/>
      </c>
      <c r="V655" s="11">
        <v>26524.68</v>
      </c>
      <c r="W655" s="12">
        <v>26524.68</v>
      </c>
      <c r="X655" s="11">
        <v>20574.3</v>
      </c>
      <c r="Y655" s="11">
        <v>5950.38</v>
      </c>
      <c r="Z655" s="11">
        <f>ROUND(W655-X655,2)</f>
        <v>5950.38</v>
      </c>
      <c r="AA655" s="4">
        <f>IF(W655=0,0,Z655/W655)</f>
        <v>0.22433371486479761</v>
      </c>
      <c r="AB655" t="s">
        <v>31</v>
      </c>
      <c r="AC655" t="s">
        <v>32</v>
      </c>
      <c r="AD655" t="str">
        <f>IF(AND(E655="", T655&gt;=0, T655&lt;=0.5, K655&lt;&gt;"Unknown", Q655&lt;&gt;"Unknown"), "CLEAN", _xlfn.CONCAT("WARNING: ", IF(E655&lt;&gt;"","invalid_date",""), IF(T655&lt;0,"negative_discount",""), IF(AND(T655&gt;0.5,T655&lt;=1),"high_discount",""), IF(K655="Unknown","missing_region",""), IF(Q655="Unknown","missing_ship_mode","")))</f>
        <v>CLEAN</v>
      </c>
      <c r="AE655" t="str">
        <f>IF(COUNTIF($AF$2:$AF$926,AF655)&gt;1,"DUPLICATE","UNIQUE")</f>
        <v>UNIQUE</v>
      </c>
      <c r="AF655" t="str">
        <f>A655&amp;"|"&amp;B655&amp;"|"&amp;H655&amp;"|"&amp;I655&amp;"|"&amp;R655&amp;"|"&amp;S655&amp;"|"&amp;V655</f>
        <v>ORD-2025-10654|2025-04-04|CUST-3970|Priya Menon|7|4457.93|26524.68</v>
      </c>
      <c r="AG655" t="str">
        <f>IF(COUNTIF($A$2:$A$913,A655)&gt;1,"TRUE","FALSE")</f>
        <v>FALSE</v>
      </c>
    </row>
    <row r="656" spans="1:33">
      <c r="A656" t="s">
        <v>3269</v>
      </c>
      <c r="B656" t="s">
        <v>110</v>
      </c>
      <c r="C656" t="s">
        <v>2898</v>
      </c>
      <c r="D656">
        <f>IF(OR(B656="", C656=""), "", (C656 - B656))</f>
        <v>4</v>
      </c>
      <c r="E656" t="str">
        <f>IF(C656&lt;B656, "INVALID: Ship date before order date", "")</f>
        <v/>
      </c>
      <c r="F656" t="str">
        <f>IF(B656="", "", TEXT(B656, "mmmm"))</f>
        <v>October</v>
      </c>
      <c r="G656">
        <f>IF(B656="", "", YEAR(B656))</f>
        <v>2025</v>
      </c>
      <c r="H656" t="s">
        <v>915</v>
      </c>
      <c r="I656" t="s">
        <v>158</v>
      </c>
      <c r="J656" t="s">
        <v>89</v>
      </c>
      <c r="K656" t="s">
        <v>37</v>
      </c>
      <c r="L656" t="s">
        <v>142</v>
      </c>
      <c r="M656" t="s">
        <v>143</v>
      </c>
      <c r="N656" t="s">
        <v>74</v>
      </c>
      <c r="O656" t="s">
        <v>272</v>
      </c>
      <c r="P656" t="s">
        <v>2009</v>
      </c>
      <c r="Q656" t="s">
        <v>43</v>
      </c>
      <c r="R656">
        <v>1</v>
      </c>
      <c r="S656" s="15">
        <v>2570.06</v>
      </c>
      <c r="T656" s="4">
        <v>0.2</v>
      </c>
      <c r="U656" s="3" t="str">
        <f>IF(T656&lt;0, "negative_discount", IF(AND(T656&gt;0.5, T656&lt;=1), "high_discount", ""))</f>
        <v/>
      </c>
      <c r="V656" s="11">
        <v>2056.0500000000002</v>
      </c>
      <c r="W656" s="12">
        <v>2056.0500000000002</v>
      </c>
      <c r="X656" s="11">
        <v>1662.39</v>
      </c>
      <c r="Y656" s="11">
        <v>393.66</v>
      </c>
      <c r="Z656" s="11">
        <f>ROUND(W656-X656,2)</f>
        <v>393.66</v>
      </c>
      <c r="AA656" s="4">
        <f>IF(W656=0,0,Z656/W656)</f>
        <v>0.19146421536441233</v>
      </c>
      <c r="AB656" t="s">
        <v>31</v>
      </c>
      <c r="AC656" t="s">
        <v>32</v>
      </c>
      <c r="AD656" t="str">
        <f>IF(AND(E656="", T656&gt;=0, T656&lt;=0.5, K656&lt;&gt;"Unknown", Q656&lt;&gt;"Unknown"), "CLEAN", _xlfn.CONCAT("WARNING: ", IF(E656&lt;&gt;"","invalid_date",""), IF(T656&lt;0,"negative_discount",""), IF(AND(T656&gt;0.5,T656&lt;=1),"high_discount",""), IF(K656="Unknown","missing_region",""), IF(Q656="Unknown","missing_ship_mode","")))</f>
        <v>CLEAN</v>
      </c>
      <c r="AE656" t="str">
        <f>IF(COUNTIF($AF$2:$AF$926,AF656)&gt;1,"DUPLICATE","UNIQUE")</f>
        <v>UNIQUE</v>
      </c>
      <c r="AF656" t="str">
        <f>A656&amp;"|"&amp;B656&amp;"|"&amp;H656&amp;"|"&amp;I656&amp;"|"&amp;R656&amp;"|"&amp;S656&amp;"|"&amp;V656</f>
        <v>ORD-2025-10655|2025-10-12|CUST-8249|Diya Patel|1|2570.06|2056.05</v>
      </c>
      <c r="AG656" t="str">
        <f>IF(COUNTIF($A$2:$A$913,A656)&gt;1,"TRUE","FALSE")</f>
        <v>FALSE</v>
      </c>
    </row>
    <row r="657" spans="1:33">
      <c r="A657" t="s">
        <v>3270</v>
      </c>
      <c r="B657" t="s">
        <v>963</v>
      </c>
      <c r="C657" t="s">
        <v>963</v>
      </c>
      <c r="D657">
        <f>IF(OR(B657="", C657=""), "", (C657 - B657))</f>
        <v>0</v>
      </c>
      <c r="E657" t="str">
        <f>IF(C657&lt;B657, "INVALID: Ship date before order date", "")</f>
        <v/>
      </c>
      <c r="F657" t="str">
        <f>IF(B657="", "", TEXT(B657, "mmmm"))</f>
        <v>August</v>
      </c>
      <c r="G657">
        <f>IF(B657="", "", YEAR(B657))</f>
        <v>2025</v>
      </c>
      <c r="H657" t="s">
        <v>2010</v>
      </c>
      <c r="I657" t="s">
        <v>78</v>
      </c>
      <c r="J657" t="s">
        <v>93</v>
      </c>
      <c r="K657" t="s">
        <v>37</v>
      </c>
      <c r="L657" t="s">
        <v>96</v>
      </c>
      <c r="M657" t="s">
        <v>97</v>
      </c>
      <c r="N657" t="s">
        <v>40</v>
      </c>
      <c r="O657" t="s">
        <v>56</v>
      </c>
      <c r="P657" t="s">
        <v>2011</v>
      </c>
      <c r="Q657" t="s">
        <v>58</v>
      </c>
      <c r="R657">
        <v>4</v>
      </c>
      <c r="S657" s="15">
        <v>2151.8200000000002</v>
      </c>
      <c r="T657" s="4">
        <v>0</v>
      </c>
      <c r="U657" s="3" t="str">
        <f>IF(T657&lt;0, "negative_discount", IF(AND(T657&gt;0.5, T657&lt;=1), "high_discount", ""))</f>
        <v/>
      </c>
      <c r="V657" s="11">
        <v>8607.2800000000007</v>
      </c>
      <c r="W657" s="12">
        <v>8607.2800000000007</v>
      </c>
      <c r="X657" s="11">
        <v>5124.01</v>
      </c>
      <c r="Y657" s="11">
        <v>3483.27</v>
      </c>
      <c r="Z657" s="11">
        <f>ROUND(W657-X657,2)</f>
        <v>3483.27</v>
      </c>
      <c r="AA657" s="4">
        <f>IF(W657=0,0,Z657/W657)</f>
        <v>0.40468882155570629</v>
      </c>
      <c r="AB657" t="s">
        <v>31</v>
      </c>
      <c r="AC657" t="s">
        <v>32</v>
      </c>
      <c r="AD657" t="str">
        <f>IF(AND(E657="", T657&gt;=0, T657&lt;=0.5, K657&lt;&gt;"Unknown", Q657&lt;&gt;"Unknown"), "CLEAN", _xlfn.CONCAT("WARNING: ", IF(E657&lt;&gt;"","invalid_date",""), IF(T657&lt;0,"negative_discount",""), IF(AND(T657&gt;0.5,T657&lt;=1),"high_discount",""), IF(K657="Unknown","missing_region",""), IF(Q657="Unknown","missing_ship_mode","")))</f>
        <v>CLEAN</v>
      </c>
      <c r="AE657" t="str">
        <f>IF(COUNTIF($AF$2:$AF$926,AF657)&gt;1,"DUPLICATE","UNIQUE")</f>
        <v>UNIQUE</v>
      </c>
      <c r="AF657" t="str">
        <f>A657&amp;"|"&amp;B657&amp;"|"&amp;H657&amp;"|"&amp;I657&amp;"|"&amp;R657&amp;"|"&amp;S657&amp;"|"&amp;V657</f>
        <v>ORD-2025-10656|2025-08-26|CUST-8039|Neha Gupta|4|2151.82|8607.28</v>
      </c>
      <c r="AG657" t="str">
        <f>IF(COUNTIF($A$2:$A$913,A657)&gt;1,"TRUE","FALSE")</f>
        <v>FALSE</v>
      </c>
    </row>
    <row r="658" spans="1:33">
      <c r="A658" t="s">
        <v>2012</v>
      </c>
      <c r="B658" t="s">
        <v>779</v>
      </c>
      <c r="C658" t="s">
        <v>2941</v>
      </c>
      <c r="D658">
        <f>IF(OR(B658="", C658=""), "", (C658 - B658))</f>
        <v>-52</v>
      </c>
      <c r="E658" t="str">
        <f>IF(C658&lt;B658, "INVALID: Ship date before order date", "")</f>
        <v>INVALID: Ship date before order date</v>
      </c>
      <c r="F658" t="str">
        <f>IF(B658="", "", TEXT(B658, "mmmm"))</f>
        <v>July</v>
      </c>
      <c r="G658">
        <f>IF(B658="", "", YEAR(B658))</f>
        <v>2024</v>
      </c>
      <c r="H658" t="s">
        <v>2013</v>
      </c>
      <c r="I658" t="s">
        <v>78</v>
      </c>
      <c r="J658" t="s">
        <v>36</v>
      </c>
      <c r="K658" t="s">
        <v>24</v>
      </c>
      <c r="L658" t="s">
        <v>234</v>
      </c>
      <c r="M658" t="s">
        <v>235</v>
      </c>
      <c r="N658" t="s">
        <v>74</v>
      </c>
      <c r="O658" t="s">
        <v>272</v>
      </c>
      <c r="P658" t="s">
        <v>2014</v>
      </c>
      <c r="Q658" t="s">
        <v>43</v>
      </c>
      <c r="R658">
        <v>4</v>
      </c>
      <c r="S658" s="15">
        <v>2751.1</v>
      </c>
      <c r="T658" s="4">
        <v>-0.05</v>
      </c>
      <c r="U658" s="3" t="str">
        <f>IF(T658&lt;0, "negative_discount", IF(AND(T658&gt;0.5, T658&lt;=1), "high_discount", ""))</f>
        <v>negative_discount</v>
      </c>
      <c r="V658" s="11">
        <v>9903.9599999999991</v>
      </c>
      <c r="W658" s="12">
        <v>11554.62</v>
      </c>
      <c r="X658" s="11">
        <v>7696.28</v>
      </c>
      <c r="Y658" s="11">
        <v>2207.6799999999998</v>
      </c>
      <c r="Z658" s="11">
        <f>ROUND(W658-X658,2)</f>
        <v>3858.34</v>
      </c>
      <c r="AA658" s="4">
        <f>IF(W658=0,0,Z658/W658)</f>
        <v>0.3339218425184039</v>
      </c>
      <c r="AB658" t="s">
        <v>31</v>
      </c>
      <c r="AC658" t="s">
        <v>32</v>
      </c>
      <c r="AD658" t="str">
        <f>IF(AND(E658="", T658&gt;=0, T658&lt;=0.5, K658&lt;&gt;"Unknown", Q658&lt;&gt;"Unknown"), "CLEAN", _xlfn.CONCAT("WARNING: ", IF(E658&lt;&gt;"","invalid_date",""), IF(T658&lt;0,"negative_discount",""), IF(AND(T658&gt;0.5,T658&lt;=1),"high_discount",""), IF(K658="Unknown","missing_region",""), IF(Q658="Unknown","missing_ship_mode","")))</f>
        <v>WARNING: invalid_datenegative_discount</v>
      </c>
      <c r="AE658" t="str">
        <f>IF(COUNTIF($AF$2:$AF$926,AF658)&gt;1,"DUPLICATE","UNIQUE")</f>
        <v>UNIQUE</v>
      </c>
      <c r="AF658" t="str">
        <f>A658&amp;"|"&amp;B658&amp;"|"&amp;H658&amp;"|"&amp;I658&amp;"|"&amp;R658&amp;"|"&amp;S658&amp;"|"&amp;V658</f>
        <v>ORD-2024-10657|2024-07-05|CUST-4446|Neha Gupta|4|2751.1|9903.96</v>
      </c>
      <c r="AG658" t="str">
        <f>IF(COUNTIF($A$2:$A$913,A658)&gt;1,"TRUE","FALSE")</f>
        <v>FALSE</v>
      </c>
    </row>
    <row r="659" spans="1:33">
      <c r="A659" t="s">
        <v>3271</v>
      </c>
      <c r="B659" t="s">
        <v>1158</v>
      </c>
      <c r="C659" t="s">
        <v>2015</v>
      </c>
      <c r="D659">
        <f>IF(OR(B659="", C659=""), "", (C659 - B659))</f>
        <v>3</v>
      </c>
      <c r="E659" t="str">
        <f>IF(C659&lt;B659, "INVALID: Ship date before order date", "")</f>
        <v/>
      </c>
      <c r="F659" t="str">
        <f>IF(B659="", "", TEXT(B659, "mmmm"))</f>
        <v>August</v>
      </c>
      <c r="G659">
        <f>IF(B659="", "", YEAR(B659))</f>
        <v>2025</v>
      </c>
      <c r="H659" t="s">
        <v>2016</v>
      </c>
      <c r="I659" t="s">
        <v>88</v>
      </c>
      <c r="J659" t="s">
        <v>93</v>
      </c>
      <c r="K659" t="s">
        <v>37</v>
      </c>
      <c r="L659" t="s">
        <v>142</v>
      </c>
      <c r="M659" t="s">
        <v>143</v>
      </c>
      <c r="N659" t="s">
        <v>27</v>
      </c>
      <c r="O659" t="s">
        <v>122</v>
      </c>
      <c r="P659" t="s">
        <v>2017</v>
      </c>
      <c r="Q659" t="s">
        <v>30</v>
      </c>
      <c r="R659">
        <v>1</v>
      </c>
      <c r="S659" s="15">
        <v>2541.25</v>
      </c>
      <c r="T659" s="4">
        <v>0.2</v>
      </c>
      <c r="U659" s="3" t="str">
        <f>IF(T659&lt;0, "negative_discount", IF(AND(T659&gt;0.5, T659&lt;=1), "high_discount", ""))</f>
        <v/>
      </c>
      <c r="V659" s="11">
        <v>2033</v>
      </c>
      <c r="W659" s="12">
        <v>2033</v>
      </c>
      <c r="X659" s="11">
        <v>1291.4100000000001</v>
      </c>
      <c r="Y659" s="11">
        <v>741.59</v>
      </c>
      <c r="Z659" s="11">
        <f>ROUND(W659-X659,2)</f>
        <v>741.59</v>
      </c>
      <c r="AA659" s="4">
        <f>IF(W659=0,0,Z659/W659)</f>
        <v>0.36477619281849483</v>
      </c>
      <c r="AB659" t="s">
        <v>31</v>
      </c>
      <c r="AC659" t="s">
        <v>32</v>
      </c>
      <c r="AD659" t="str">
        <f>IF(AND(E659="", T659&gt;=0, T659&lt;=0.5, K659&lt;&gt;"Unknown", Q659&lt;&gt;"Unknown"), "CLEAN", _xlfn.CONCAT("WARNING: ", IF(E659&lt;&gt;"","invalid_date",""), IF(T659&lt;0,"negative_discount",""), IF(AND(T659&gt;0.5,T659&lt;=1),"high_discount",""), IF(K659="Unknown","missing_region",""), IF(Q659="Unknown","missing_ship_mode","")))</f>
        <v>CLEAN</v>
      </c>
      <c r="AE659" t="str">
        <f>IF(COUNTIF($AF$2:$AF$926,AF659)&gt;1,"DUPLICATE","UNIQUE")</f>
        <v>UNIQUE</v>
      </c>
      <c r="AF659" t="str">
        <f>A659&amp;"|"&amp;B659&amp;"|"&amp;H659&amp;"|"&amp;I659&amp;"|"&amp;R659&amp;"|"&amp;S659&amp;"|"&amp;V659</f>
        <v>ORD-2025-10658|2025-08-07|CUST-7787|Aditi Sen|1|2541.25|2033</v>
      </c>
      <c r="AG659" t="str">
        <f>IF(COUNTIF($A$2:$A$913,A659)&gt;1,"TRUE","FALSE")</f>
        <v>FALSE</v>
      </c>
    </row>
    <row r="660" spans="1:33">
      <c r="A660" t="s">
        <v>3272</v>
      </c>
      <c r="B660" t="s">
        <v>2018</v>
      </c>
      <c r="C660" t="s">
        <v>997</v>
      </c>
      <c r="D660">
        <f>IF(OR(B660="", C660=""), "", (C660 - B660))</f>
        <v>3</v>
      </c>
      <c r="E660" t="str">
        <f>IF(C660&lt;B660, "INVALID: Ship date before order date", "")</f>
        <v/>
      </c>
      <c r="F660" t="str">
        <f>IF(B660="", "", TEXT(B660, "mmmm"))</f>
        <v>June</v>
      </c>
      <c r="G660">
        <f>IF(B660="", "", YEAR(B660))</f>
        <v>2025</v>
      </c>
      <c r="H660" t="s">
        <v>2019</v>
      </c>
      <c r="I660" t="s">
        <v>131</v>
      </c>
      <c r="J660" t="s">
        <v>23</v>
      </c>
      <c r="K660" t="s">
        <v>2970</v>
      </c>
      <c r="L660" t="s">
        <v>142</v>
      </c>
      <c r="M660" t="s">
        <v>143</v>
      </c>
      <c r="N660" t="s">
        <v>27</v>
      </c>
      <c r="O660" t="s">
        <v>47</v>
      </c>
      <c r="P660" t="s">
        <v>2020</v>
      </c>
      <c r="Q660" t="s">
        <v>49</v>
      </c>
      <c r="R660">
        <v>7</v>
      </c>
      <c r="S660" s="15">
        <v>2852.42</v>
      </c>
      <c r="T660" s="4">
        <v>0</v>
      </c>
      <c r="U660" s="3" t="str">
        <f>IF(T660&lt;0, "negative_discount", IF(AND(T660&gt;0.5, T660&lt;=1), "high_discount", ""))</f>
        <v/>
      </c>
      <c r="V660" s="11">
        <v>19966.939999999999</v>
      </c>
      <c r="W660" s="12">
        <v>19966.939999999999</v>
      </c>
      <c r="X660" s="11">
        <v>12690.83</v>
      </c>
      <c r="Y660" s="11">
        <v>7276.11</v>
      </c>
      <c r="Z660" s="11">
        <f>ROUND(W660-X660,2)</f>
        <v>7276.11</v>
      </c>
      <c r="AA660" s="4">
        <f>IF(W660=0,0,Z660/W660)</f>
        <v>0.36440786620283327</v>
      </c>
      <c r="AB660" t="s">
        <v>99</v>
      </c>
      <c r="AC660" t="s">
        <v>67</v>
      </c>
      <c r="AD660" t="str">
        <f>IF(AND(E660="", T660&gt;=0, T660&lt;=0.5, K660&lt;&gt;"Unknown", Q660&lt;&gt;"Unknown"), "CLEAN", _xlfn.CONCAT("WARNING: ", IF(E660&lt;&gt;"","invalid_date",""), IF(T660&lt;0,"negative_discount",""), IF(AND(T660&gt;0.5,T660&lt;=1),"high_discount",""), IF(K660="Unknown","missing_region",""), IF(Q660="Unknown","missing_ship_mode","")))</f>
        <v>WARNING: missing_region</v>
      </c>
      <c r="AE660" t="str">
        <f>IF(COUNTIF($AF$2:$AF$926,AF660)&gt;1,"DUPLICATE","UNIQUE")</f>
        <v>UNIQUE</v>
      </c>
      <c r="AF660" t="str">
        <f>A660&amp;"|"&amp;B660&amp;"|"&amp;H660&amp;"|"&amp;I660&amp;"|"&amp;R660&amp;"|"&amp;S660&amp;"|"&amp;V660</f>
        <v>ORD-2025-10659|2025-06-09|CUST-9074|Sneha Kapoor|7|2852.42|19966.94</v>
      </c>
      <c r="AG660" t="str">
        <f>IF(COUNTIF($A$2:$A$913,A660)&gt;1,"TRUE","FALSE")</f>
        <v>FALSE</v>
      </c>
    </row>
    <row r="661" spans="1:33">
      <c r="A661" t="s">
        <v>3273</v>
      </c>
      <c r="B661" t="s">
        <v>147</v>
      </c>
      <c r="C661" t="s">
        <v>1183</v>
      </c>
      <c r="D661">
        <f>IF(OR(B661="", C661=""), "", (C661 - B661))</f>
        <v>1</v>
      </c>
      <c r="E661" t="str">
        <f>IF(C661&lt;B661, "INVALID: Ship date before order date", "")</f>
        <v/>
      </c>
      <c r="F661" t="str">
        <f>IF(B661="", "", TEXT(B661, "mmmm"))</f>
        <v>January</v>
      </c>
      <c r="G661">
        <f>IF(B661="", "", YEAR(B661))</f>
        <v>2025</v>
      </c>
      <c r="H661" t="s">
        <v>2021</v>
      </c>
      <c r="I661" t="s">
        <v>158</v>
      </c>
      <c r="J661" t="s">
        <v>89</v>
      </c>
      <c r="K661" t="s">
        <v>53</v>
      </c>
      <c r="L661" t="s">
        <v>171</v>
      </c>
      <c r="M661" t="s">
        <v>172</v>
      </c>
      <c r="N661" t="s">
        <v>74</v>
      </c>
      <c r="O661" t="s">
        <v>168</v>
      </c>
      <c r="P661" t="s">
        <v>2022</v>
      </c>
      <c r="Q661" t="s">
        <v>30</v>
      </c>
      <c r="R661">
        <v>2</v>
      </c>
      <c r="S661" s="15">
        <v>444.31</v>
      </c>
      <c r="T661" s="4">
        <v>0.2</v>
      </c>
      <c r="U661" s="3" t="str">
        <f>IF(T661&lt;0, "negative_discount", IF(AND(T661&gt;0.5, T661&lt;=1), "high_discount", ""))</f>
        <v/>
      </c>
      <c r="V661" s="11">
        <v>710.9</v>
      </c>
      <c r="W661" s="12">
        <v>710.9</v>
      </c>
      <c r="X661" s="11">
        <v>513.88</v>
      </c>
      <c r="Y661" s="11">
        <v>197.02</v>
      </c>
      <c r="Z661" s="11">
        <f>ROUND(W661-X661,2)</f>
        <v>197.02</v>
      </c>
      <c r="AA661" s="4">
        <f>IF(W661=0,0,Z661/W661)</f>
        <v>0.27714165142776764</v>
      </c>
      <c r="AB661" t="s">
        <v>99</v>
      </c>
      <c r="AC661" t="s">
        <v>67</v>
      </c>
      <c r="AD661" t="str">
        <f>IF(AND(E661="", T661&gt;=0, T661&lt;=0.5, K661&lt;&gt;"Unknown", Q661&lt;&gt;"Unknown"), "CLEAN", _xlfn.CONCAT("WARNING: ", IF(E661&lt;&gt;"","invalid_date",""), IF(T661&lt;0,"negative_discount",""), IF(AND(T661&gt;0.5,T661&lt;=1),"high_discount",""), IF(K661="Unknown","missing_region",""), IF(Q661="Unknown","missing_ship_mode","")))</f>
        <v>CLEAN</v>
      </c>
      <c r="AE661" t="str">
        <f>IF(COUNTIF($AF$2:$AF$926,AF661)&gt;1,"DUPLICATE","UNIQUE")</f>
        <v>UNIQUE</v>
      </c>
      <c r="AF661" t="str">
        <f>A661&amp;"|"&amp;B661&amp;"|"&amp;H661&amp;"|"&amp;I661&amp;"|"&amp;R661&amp;"|"&amp;S661&amp;"|"&amp;V661</f>
        <v>ORD-2025-10660|2025-01-21|CUST-8330|Diya Patel|2|444.31|710.9</v>
      </c>
      <c r="AG661" t="str">
        <f>IF(COUNTIF($A$2:$A$913,A661)&gt;1,"TRUE","FALSE")</f>
        <v>FALSE</v>
      </c>
    </row>
    <row r="662" spans="1:33">
      <c r="A662" t="s">
        <v>3274</v>
      </c>
      <c r="B662" t="s">
        <v>2678</v>
      </c>
      <c r="C662" t="s">
        <v>2678</v>
      </c>
      <c r="D662">
        <f>IF(OR(B662="", C662=""), "", (C662 - B662))</f>
        <v>0</v>
      </c>
      <c r="E662" t="str">
        <f>IF(C662&lt;B662, "INVALID: Ship date before order date", "")</f>
        <v/>
      </c>
      <c r="F662" t="str">
        <f>IF(B662="", "", TEXT(B662, "mmmm"))</f>
        <v>July</v>
      </c>
      <c r="G662">
        <f>IF(B662="", "", YEAR(B662))</f>
        <v>2025</v>
      </c>
      <c r="H662" t="s">
        <v>2023</v>
      </c>
      <c r="I662" t="s">
        <v>52</v>
      </c>
      <c r="J662" t="s">
        <v>36</v>
      </c>
      <c r="K662" t="s">
        <v>37</v>
      </c>
      <c r="L662" t="s">
        <v>226</v>
      </c>
      <c r="M662" t="s">
        <v>227</v>
      </c>
      <c r="N662" t="s">
        <v>74</v>
      </c>
      <c r="O662" t="s">
        <v>168</v>
      </c>
      <c r="P662" t="s">
        <v>2024</v>
      </c>
      <c r="Q662" t="s">
        <v>43</v>
      </c>
      <c r="R662">
        <v>4</v>
      </c>
      <c r="S662" s="15">
        <v>4442.91</v>
      </c>
      <c r="T662" s="4">
        <v>0.1</v>
      </c>
      <c r="U662" s="3" t="str">
        <f>IF(T662&lt;0, "negative_discount", IF(AND(T662&gt;0.5, T662&lt;=1), "high_discount", ""))</f>
        <v/>
      </c>
      <c r="V662" s="11">
        <v>15994.48</v>
      </c>
      <c r="W662" s="12">
        <v>15994.48</v>
      </c>
      <c r="X662" s="11">
        <v>9224.2800000000007</v>
      </c>
      <c r="Y662" s="11">
        <v>6770.2</v>
      </c>
      <c r="Z662" s="11">
        <f>ROUND(W662-X662,2)</f>
        <v>6770.2</v>
      </c>
      <c r="AA662" s="4">
        <f>IF(W662=0,0,Z662/W662)</f>
        <v>0.42328353281882247</v>
      </c>
      <c r="AB662" t="s">
        <v>31</v>
      </c>
      <c r="AC662" t="s">
        <v>32</v>
      </c>
      <c r="AD662" t="str">
        <f>IF(AND(E662="", T662&gt;=0, T662&lt;=0.5, K662&lt;&gt;"Unknown", Q662&lt;&gt;"Unknown"), "CLEAN", _xlfn.CONCAT("WARNING: ", IF(E662&lt;&gt;"","invalid_date",""), IF(T662&lt;0,"negative_discount",""), IF(AND(T662&gt;0.5,T662&lt;=1),"high_discount",""), IF(K662="Unknown","missing_region",""), IF(Q662="Unknown","missing_ship_mode","")))</f>
        <v>CLEAN</v>
      </c>
      <c r="AE662" t="str">
        <f>IF(COUNTIF($AF$2:$AF$926,AF662)&gt;1,"DUPLICATE","UNIQUE")</f>
        <v>UNIQUE</v>
      </c>
      <c r="AF662" t="str">
        <f>A662&amp;"|"&amp;B662&amp;"|"&amp;H662&amp;"|"&amp;I662&amp;"|"&amp;R662&amp;"|"&amp;S662&amp;"|"&amp;V662</f>
        <v>ORD-2025-10661|2025-07-15|CUST-5638|Arjun Bose|4|4442.91|15994.48</v>
      </c>
      <c r="AG662" t="str">
        <f>IF(COUNTIF($A$2:$A$913,A662)&gt;1,"TRUE","FALSE")</f>
        <v>FALSE</v>
      </c>
    </row>
    <row r="663" spans="1:33">
      <c r="A663" t="s">
        <v>2025</v>
      </c>
      <c r="B663" t="s">
        <v>2820</v>
      </c>
      <c r="C663" t="s">
        <v>2026</v>
      </c>
      <c r="D663">
        <f>IF(OR(B663="", C663=""), "", (C663 - B663))</f>
        <v>5</v>
      </c>
      <c r="E663" t="str">
        <f>IF(C663&lt;B663, "INVALID: Ship date before order date", "")</f>
        <v/>
      </c>
      <c r="F663" t="str">
        <f>IF(B663="", "", TEXT(B663, "mmmm"))</f>
        <v>May</v>
      </c>
      <c r="G663">
        <f>IF(B663="", "", YEAR(B663))</f>
        <v>2024</v>
      </c>
      <c r="H663" t="s">
        <v>2027</v>
      </c>
      <c r="I663" t="s">
        <v>131</v>
      </c>
      <c r="J663" t="s">
        <v>23</v>
      </c>
      <c r="K663" t="s">
        <v>53</v>
      </c>
      <c r="L663" t="s">
        <v>83</v>
      </c>
      <c r="M663" t="s">
        <v>84</v>
      </c>
      <c r="N663" t="s">
        <v>74</v>
      </c>
      <c r="O663" t="s">
        <v>272</v>
      </c>
      <c r="P663" t="s">
        <v>2028</v>
      </c>
      <c r="Q663" t="s">
        <v>30</v>
      </c>
      <c r="R663">
        <v>7</v>
      </c>
      <c r="S663" s="15">
        <v>232.5</v>
      </c>
      <c r="T663" s="4">
        <v>0</v>
      </c>
      <c r="U663" s="3" t="str">
        <f>IF(T663&lt;0, "negative_discount", IF(AND(T663&gt;0.5, T663&lt;=1), "high_discount", ""))</f>
        <v/>
      </c>
      <c r="V663" s="11">
        <v>1627.5</v>
      </c>
      <c r="W663" s="12">
        <v>1627.5</v>
      </c>
      <c r="X663" s="11">
        <v>939.9</v>
      </c>
      <c r="Y663" s="11">
        <v>687.6</v>
      </c>
      <c r="Z663" s="11">
        <f>ROUND(W663-X663,2)</f>
        <v>687.6</v>
      </c>
      <c r="AA663" s="4">
        <f>IF(W663=0,0,Z663/W663)</f>
        <v>0.4224884792626728</v>
      </c>
      <c r="AB663" t="s">
        <v>31</v>
      </c>
      <c r="AC663" t="s">
        <v>32</v>
      </c>
      <c r="AD663" t="str">
        <f>IF(AND(E663="", T663&gt;=0, T663&lt;=0.5, K663&lt;&gt;"Unknown", Q663&lt;&gt;"Unknown"), "CLEAN", _xlfn.CONCAT("WARNING: ", IF(E663&lt;&gt;"","invalid_date",""), IF(T663&lt;0,"negative_discount",""), IF(AND(T663&gt;0.5,T663&lt;=1),"high_discount",""), IF(K663="Unknown","missing_region",""), IF(Q663="Unknown","missing_ship_mode","")))</f>
        <v>CLEAN</v>
      </c>
      <c r="AE663" t="str">
        <f>IF(COUNTIF($AF$2:$AF$926,AF663)&gt;1,"DUPLICATE","UNIQUE")</f>
        <v>UNIQUE</v>
      </c>
      <c r="AF663" t="str">
        <f>A663&amp;"|"&amp;B663&amp;"|"&amp;H663&amp;"|"&amp;I663&amp;"|"&amp;R663&amp;"|"&amp;S663&amp;"|"&amp;V663</f>
        <v>ORD-2024-10662|2024-05-17|CUST-4537|Sneha Kapoor|7|232.5|1627.5</v>
      </c>
      <c r="AG663" t="str">
        <f>IF(COUNTIF($A$2:$A$913,A663)&gt;1,"TRUE","FALSE")</f>
        <v>FALSE</v>
      </c>
    </row>
    <row r="664" spans="1:33">
      <c r="A664" t="s">
        <v>2029</v>
      </c>
      <c r="B664" t="s">
        <v>2030</v>
      </c>
      <c r="C664" t="s">
        <v>2688</v>
      </c>
      <c r="D664">
        <f>IF(OR(B664="", C664=""), "", (C664 - B664))</f>
        <v>4</v>
      </c>
      <c r="E664" t="str">
        <f>IF(C664&lt;B664, "INVALID: Ship date before order date", "")</f>
        <v/>
      </c>
      <c r="F664" t="str">
        <f>IF(B664="", "", TEXT(B664, "mmmm"))</f>
        <v>January</v>
      </c>
      <c r="G664">
        <f>IF(B664="", "", YEAR(B664))</f>
        <v>2024</v>
      </c>
      <c r="H664" t="s">
        <v>2031</v>
      </c>
      <c r="I664" t="s">
        <v>35</v>
      </c>
      <c r="J664" t="s">
        <v>93</v>
      </c>
      <c r="K664" t="s">
        <v>62</v>
      </c>
      <c r="L664" t="s">
        <v>25</v>
      </c>
      <c r="M664" t="s">
        <v>107</v>
      </c>
      <c r="N664" t="s">
        <v>74</v>
      </c>
      <c r="O664" t="s">
        <v>272</v>
      </c>
      <c r="P664" t="s">
        <v>2032</v>
      </c>
      <c r="Q664" t="s">
        <v>43</v>
      </c>
      <c r="R664">
        <v>6</v>
      </c>
      <c r="S664" s="15">
        <v>1784.8</v>
      </c>
      <c r="T664" s="4">
        <v>0.1</v>
      </c>
      <c r="U664" s="3" t="str">
        <f>IF(T664&lt;0, "negative_discount", IF(AND(T664&gt;0.5, T664&lt;=1), "high_discount", ""))</f>
        <v/>
      </c>
      <c r="V664" s="11">
        <v>9637.92</v>
      </c>
      <c r="W664" s="12">
        <v>9637.92</v>
      </c>
      <c r="X664" s="11">
        <v>7329.29</v>
      </c>
      <c r="Y664" s="11">
        <v>2308.63</v>
      </c>
      <c r="Z664" s="11">
        <f>ROUND(W664-X664,2)</f>
        <v>2308.63</v>
      </c>
      <c r="AA664" s="4">
        <f>IF(W664=0,0,Z664/W664)</f>
        <v>0.2395361239769577</v>
      </c>
      <c r="AB664" t="s">
        <v>31</v>
      </c>
      <c r="AC664" t="s">
        <v>32</v>
      </c>
      <c r="AD664" t="str">
        <f>IF(AND(E664="", T664&gt;=0, T664&lt;=0.5, K664&lt;&gt;"Unknown", Q664&lt;&gt;"Unknown"), "CLEAN", _xlfn.CONCAT("WARNING: ", IF(E664&lt;&gt;"","invalid_date",""), IF(T664&lt;0,"negative_discount",""), IF(AND(T664&gt;0.5,T664&lt;=1),"high_discount",""), IF(K664="Unknown","missing_region",""), IF(Q664="Unknown","missing_ship_mode","")))</f>
        <v>CLEAN</v>
      </c>
      <c r="AE664" t="str">
        <f>IF(COUNTIF($AF$2:$AF$926,AF664)&gt;1,"DUPLICATE","UNIQUE")</f>
        <v>UNIQUE</v>
      </c>
      <c r="AF664" t="str">
        <f>A664&amp;"|"&amp;B664&amp;"|"&amp;H664&amp;"|"&amp;I664&amp;"|"&amp;R664&amp;"|"&amp;S664&amp;"|"&amp;V664</f>
        <v>ORD-2024-10663|2024-01-14|CUST-3181|Mira Das|6|1784.8|9637.92</v>
      </c>
      <c r="AG664" t="str">
        <f>IF(COUNTIF($A$2:$A$913,A664)&gt;1,"TRUE","FALSE")</f>
        <v>FALSE</v>
      </c>
    </row>
    <row r="665" spans="1:33">
      <c r="A665" t="s">
        <v>2033</v>
      </c>
      <c r="B665" t="s">
        <v>792</v>
      </c>
      <c r="C665" t="s">
        <v>1745</v>
      </c>
      <c r="D665">
        <f>IF(OR(B665="", C665=""), "", (C665 - B665))</f>
        <v>6</v>
      </c>
      <c r="E665" t="str">
        <f>IF(C665&lt;B665, "INVALID: Ship date before order date", "")</f>
        <v/>
      </c>
      <c r="F665" t="str">
        <f>IF(B665="", "", TEXT(B665, "mmmm"))</f>
        <v>May</v>
      </c>
      <c r="G665">
        <f>IF(B665="", "", YEAR(B665))</f>
        <v>2024</v>
      </c>
      <c r="H665" t="s">
        <v>2034</v>
      </c>
      <c r="I665" t="s">
        <v>116</v>
      </c>
      <c r="J665" t="s">
        <v>93</v>
      </c>
      <c r="K665" t="s">
        <v>37</v>
      </c>
      <c r="L665" t="s">
        <v>226</v>
      </c>
      <c r="M665" t="s">
        <v>227</v>
      </c>
      <c r="N665" t="s">
        <v>74</v>
      </c>
      <c r="O665" t="s">
        <v>79</v>
      </c>
      <c r="P665" t="s">
        <v>2035</v>
      </c>
      <c r="Q665" t="s">
        <v>30</v>
      </c>
      <c r="R665">
        <v>2</v>
      </c>
      <c r="S665" s="15">
        <v>3185.01</v>
      </c>
      <c r="T665" s="4">
        <v>-0.24</v>
      </c>
      <c r="U665" s="3" t="str">
        <f>IF(T665&lt;0, "negative_discount", IF(AND(T665&gt;0.5, T665&lt;=1), "high_discount", ""))</f>
        <v>negative_discount</v>
      </c>
      <c r="V665" s="11">
        <v>4777.5200000000004</v>
      </c>
      <c r="W665" s="12">
        <v>7898.82</v>
      </c>
      <c r="X665" s="11">
        <v>3152.98</v>
      </c>
      <c r="Y665" s="11">
        <v>1624.54</v>
      </c>
      <c r="Z665" s="11">
        <f>ROUND(W665-X665,2)</f>
        <v>4745.84</v>
      </c>
      <c r="AA665" s="4">
        <f>IF(W665=0,0,Z665/W665)</f>
        <v>0.60082898458250733</v>
      </c>
      <c r="AB665" t="s">
        <v>31</v>
      </c>
      <c r="AC665" t="s">
        <v>32</v>
      </c>
      <c r="AD665" t="str">
        <f>IF(AND(E665="", T665&gt;=0, T665&lt;=0.5, K665&lt;&gt;"Unknown", Q665&lt;&gt;"Unknown"), "CLEAN", _xlfn.CONCAT("WARNING: ", IF(E665&lt;&gt;"","invalid_date",""), IF(T665&lt;0,"negative_discount",""), IF(AND(T665&gt;0.5,T665&lt;=1),"high_discount",""), IF(K665="Unknown","missing_region",""), IF(Q665="Unknown","missing_ship_mode","")))</f>
        <v>WARNING: negative_discount</v>
      </c>
      <c r="AE665" t="str">
        <f>IF(COUNTIF($AF$2:$AF$926,AF665)&gt;1,"DUPLICATE","UNIQUE")</f>
        <v>UNIQUE</v>
      </c>
      <c r="AF665" t="str">
        <f>A665&amp;"|"&amp;B665&amp;"|"&amp;H665&amp;"|"&amp;I665&amp;"|"&amp;R665&amp;"|"&amp;S665&amp;"|"&amp;V665</f>
        <v>ORD-2024-10664|2024-05-02|CUST-1015|Rahul Verma|2|3185.01|4777.52</v>
      </c>
      <c r="AG665" t="str">
        <f>IF(COUNTIF($A$2:$A$913,A665)&gt;1,"TRUE","FALSE")</f>
        <v>FALSE</v>
      </c>
    </row>
    <row r="666" spans="1:33">
      <c r="A666" t="s">
        <v>2036</v>
      </c>
      <c r="B666" t="s">
        <v>2858</v>
      </c>
      <c r="C666" t="s">
        <v>2952</v>
      </c>
      <c r="D666">
        <f>IF(OR(B666="", C666=""), "", (C666 - B666))</f>
        <v>3</v>
      </c>
      <c r="E666" t="str">
        <f>IF(C666&lt;B666, "INVALID: Ship date before order date", "")</f>
        <v/>
      </c>
      <c r="F666" t="str">
        <f>IF(B666="", "", TEXT(B666, "mmmm"))</f>
        <v>December</v>
      </c>
      <c r="G666">
        <f>IF(B666="", "", YEAR(B666))</f>
        <v>2024</v>
      </c>
      <c r="H666" t="s">
        <v>2037</v>
      </c>
      <c r="I666" t="s">
        <v>35</v>
      </c>
      <c r="J666" t="s">
        <v>93</v>
      </c>
      <c r="K666" t="s">
        <v>53</v>
      </c>
      <c r="L666" t="s">
        <v>54</v>
      </c>
      <c r="M666" t="s">
        <v>55</v>
      </c>
      <c r="N666" t="s">
        <v>74</v>
      </c>
      <c r="O666" t="s">
        <v>75</v>
      </c>
      <c r="P666" t="s">
        <v>2038</v>
      </c>
      <c r="Q666" t="s">
        <v>58</v>
      </c>
      <c r="R666">
        <v>1</v>
      </c>
      <c r="S666" s="15">
        <v>1908.83</v>
      </c>
      <c r="T666" s="4">
        <v>0.2</v>
      </c>
      <c r="U666" s="3" t="str">
        <f>IF(T666&lt;0, "negative_discount", IF(AND(T666&gt;0.5, T666&lt;=1), "high_discount", ""))</f>
        <v/>
      </c>
      <c r="V666" s="11">
        <v>1527.06</v>
      </c>
      <c r="W666" s="12">
        <v>1527.06</v>
      </c>
      <c r="X666" s="11">
        <v>1055.8900000000001</v>
      </c>
      <c r="Y666" s="11">
        <v>471.17</v>
      </c>
      <c r="Z666" s="11">
        <f>ROUND(W666-X666,2)</f>
        <v>471.17</v>
      </c>
      <c r="AA666" s="4">
        <f>IF(W666=0,0,Z666/W666)</f>
        <v>0.30854714287585294</v>
      </c>
      <c r="AB666" t="s">
        <v>31</v>
      </c>
      <c r="AC666" t="s">
        <v>32</v>
      </c>
      <c r="AD666" t="str">
        <f>IF(AND(E666="", T666&gt;=0, T666&lt;=0.5, K666&lt;&gt;"Unknown", Q666&lt;&gt;"Unknown"), "CLEAN", _xlfn.CONCAT("WARNING: ", IF(E666&lt;&gt;"","invalid_date",""), IF(T666&lt;0,"negative_discount",""), IF(AND(T666&gt;0.5,T666&lt;=1),"high_discount",""), IF(K666="Unknown","missing_region",""), IF(Q666="Unknown","missing_ship_mode","")))</f>
        <v>CLEAN</v>
      </c>
      <c r="AE666" t="str">
        <f>IF(COUNTIF($AF$2:$AF$926,AF666)&gt;1,"DUPLICATE","UNIQUE")</f>
        <v>UNIQUE</v>
      </c>
      <c r="AF666" t="str">
        <f>A666&amp;"|"&amp;B666&amp;"|"&amp;H666&amp;"|"&amp;I666&amp;"|"&amp;R666&amp;"|"&amp;S666&amp;"|"&amp;V666</f>
        <v>ORD-2024-10665|2024-12-07|CUST-2709|Mira Das|1|1908.83|1527.06</v>
      </c>
      <c r="AG666" t="str">
        <f>IF(COUNTIF($A$2:$A$913,A666)&gt;1,"TRUE","FALSE")</f>
        <v>FALSE</v>
      </c>
    </row>
    <row r="667" spans="1:33">
      <c r="A667" t="s">
        <v>3275</v>
      </c>
      <c r="B667" t="s">
        <v>2039</v>
      </c>
      <c r="C667" t="s">
        <v>2039</v>
      </c>
      <c r="D667">
        <f>IF(OR(B667="", C667=""), "", (C667 - B667))</f>
        <v>0</v>
      </c>
      <c r="E667" t="str">
        <f>IF(C667&lt;B667, "INVALID: Ship date before order date", "")</f>
        <v/>
      </c>
      <c r="F667" t="str">
        <f>IF(B667="", "", TEXT(B667, "mmmm"))</f>
        <v>January</v>
      </c>
      <c r="G667">
        <f>IF(B667="", "", YEAR(B667))</f>
        <v>2025</v>
      </c>
      <c r="H667" t="s">
        <v>2040</v>
      </c>
      <c r="I667" t="s">
        <v>116</v>
      </c>
      <c r="J667" t="s">
        <v>93</v>
      </c>
      <c r="K667" t="s">
        <v>62</v>
      </c>
      <c r="L667" t="s">
        <v>176</v>
      </c>
      <c r="M667" t="s">
        <v>177</v>
      </c>
      <c r="N667" t="s">
        <v>27</v>
      </c>
      <c r="O667" t="s">
        <v>47</v>
      </c>
      <c r="P667" t="s">
        <v>2041</v>
      </c>
      <c r="Q667" t="s">
        <v>58</v>
      </c>
      <c r="R667">
        <v>3</v>
      </c>
      <c r="S667" s="15">
        <v>2110.52</v>
      </c>
      <c r="T667" s="4">
        <v>0.1</v>
      </c>
      <c r="U667" s="3" t="str">
        <f>IF(T667&lt;0, "negative_discount", IF(AND(T667&gt;0.5, T667&lt;=1), "high_discount", ""))</f>
        <v/>
      </c>
      <c r="V667" s="11">
        <v>5698.4</v>
      </c>
      <c r="W667" s="12">
        <v>5698.4</v>
      </c>
      <c r="X667" s="11">
        <v>3640.89</v>
      </c>
      <c r="Y667" s="11">
        <v>2057.5100000000002</v>
      </c>
      <c r="Z667" s="11">
        <f>ROUND(W667-X667,2)</f>
        <v>2057.5100000000002</v>
      </c>
      <c r="AA667" s="4">
        <f>IF(W667=0,0,Z667/W667)</f>
        <v>0.36106801909307884</v>
      </c>
      <c r="AB667" t="s">
        <v>151</v>
      </c>
      <c r="AC667" t="s">
        <v>67</v>
      </c>
      <c r="AD667" t="str">
        <f>IF(AND(E667="", T667&gt;=0, T667&lt;=0.5, K667&lt;&gt;"Unknown", Q667&lt;&gt;"Unknown"), "CLEAN", _xlfn.CONCAT("WARNING: ", IF(E667&lt;&gt;"","invalid_date",""), IF(T667&lt;0,"negative_discount",""), IF(AND(T667&gt;0.5,T667&lt;=1),"high_discount",""), IF(K667="Unknown","missing_region",""), IF(Q667="Unknown","missing_ship_mode","")))</f>
        <v>CLEAN</v>
      </c>
      <c r="AE667" t="str">
        <f>IF(COUNTIF($AF$2:$AF$926,AF667)&gt;1,"DUPLICATE","UNIQUE")</f>
        <v>UNIQUE</v>
      </c>
      <c r="AF667" t="str">
        <f>A667&amp;"|"&amp;B667&amp;"|"&amp;H667&amp;"|"&amp;I667&amp;"|"&amp;R667&amp;"|"&amp;S667&amp;"|"&amp;V667</f>
        <v>ORD-2025-10666|2025-01-13|CUST-1197|Rahul Verma|3|2110.52|5698.4</v>
      </c>
      <c r="AG667" t="str">
        <f>IF(COUNTIF($A$2:$A$913,A667)&gt;1,"TRUE","FALSE")</f>
        <v>FALSE</v>
      </c>
    </row>
    <row r="668" spans="1:33">
      <c r="A668" t="s">
        <v>2042</v>
      </c>
      <c r="B668" t="s">
        <v>2756</v>
      </c>
      <c r="C668" t="s">
        <v>2796</v>
      </c>
      <c r="D668">
        <f>IF(OR(B668="", C668=""), "", (C668 - B668))</f>
        <v>5</v>
      </c>
      <c r="E668" t="str">
        <f>IF(C668&lt;B668, "INVALID: Ship date before order date", "")</f>
        <v/>
      </c>
      <c r="F668" t="str">
        <f>IF(B668="", "", TEXT(B668, "mmmm"))</f>
        <v>June</v>
      </c>
      <c r="G668">
        <f>IF(B668="", "", YEAR(B668))</f>
        <v>2024</v>
      </c>
      <c r="H668" t="s">
        <v>2043</v>
      </c>
      <c r="I668" t="s">
        <v>139</v>
      </c>
      <c r="J668" t="s">
        <v>36</v>
      </c>
      <c r="K668" t="s">
        <v>24</v>
      </c>
      <c r="L668" t="s">
        <v>120</v>
      </c>
      <c r="M668" t="s">
        <v>121</v>
      </c>
      <c r="N668" t="s">
        <v>74</v>
      </c>
      <c r="O668" t="s">
        <v>79</v>
      </c>
      <c r="P668" t="s">
        <v>2044</v>
      </c>
      <c r="Q668" t="s">
        <v>43</v>
      </c>
      <c r="R668">
        <v>1</v>
      </c>
      <c r="S668" s="15">
        <v>279.83</v>
      </c>
      <c r="T668" s="4">
        <v>0.05</v>
      </c>
      <c r="U668" s="3" t="str">
        <f>IF(T668&lt;0, "negative_discount", IF(AND(T668&gt;0.5, T668&lt;=1), "high_discount", ""))</f>
        <v/>
      </c>
      <c r="V668" s="11">
        <v>265.83999999999997</v>
      </c>
      <c r="W668" s="12">
        <v>265.83999999999997</v>
      </c>
      <c r="X668" s="11">
        <v>223.49</v>
      </c>
      <c r="Y668" s="11">
        <v>42.35</v>
      </c>
      <c r="Z668" s="11">
        <f>ROUND(W668-X668,2)</f>
        <v>42.35</v>
      </c>
      <c r="AA668" s="4">
        <f>IF(W668=0,0,Z668/W668)</f>
        <v>0.15930634968402049</v>
      </c>
      <c r="AB668" t="s">
        <v>31</v>
      </c>
      <c r="AC668" t="s">
        <v>32</v>
      </c>
      <c r="AD668" t="str">
        <f>IF(AND(E668="", T668&gt;=0, T668&lt;=0.5, K668&lt;&gt;"Unknown", Q668&lt;&gt;"Unknown"), "CLEAN", _xlfn.CONCAT("WARNING: ", IF(E668&lt;&gt;"","invalid_date",""), IF(T668&lt;0,"negative_discount",""), IF(AND(T668&gt;0.5,T668&lt;=1),"high_discount",""), IF(K668="Unknown","missing_region",""), IF(Q668="Unknown","missing_ship_mode","")))</f>
        <v>CLEAN</v>
      </c>
      <c r="AE668" t="str">
        <f>IF(COUNTIF($AF$2:$AF$926,AF668)&gt;1,"DUPLICATE","UNIQUE")</f>
        <v>UNIQUE</v>
      </c>
      <c r="AF668" t="str">
        <f>A668&amp;"|"&amp;B668&amp;"|"&amp;H668&amp;"|"&amp;I668&amp;"|"&amp;R668&amp;"|"&amp;S668&amp;"|"&amp;V668</f>
        <v>ORD-2024-10667|2024-06-21|CUST-7758|Rohan Mehta|1|279.83|265.84</v>
      </c>
      <c r="AG668" t="str">
        <f>IF(COUNTIF($A$2:$A$913,A668)&gt;1,"TRUE","FALSE")</f>
        <v>FALSE</v>
      </c>
    </row>
    <row r="669" spans="1:33">
      <c r="A669" t="s">
        <v>3276</v>
      </c>
      <c r="B669" t="s">
        <v>2536</v>
      </c>
      <c r="C669" t="s">
        <v>2777</v>
      </c>
      <c r="D669">
        <f>IF(OR(B669="", C669=""), "", (C669 - B669))</f>
        <v>7</v>
      </c>
      <c r="E669" t="str">
        <f>IF(C669&lt;B669, "INVALID: Ship date before order date", "")</f>
        <v/>
      </c>
      <c r="F669" t="str">
        <f>IF(B669="", "", TEXT(B669, "mmmm"))</f>
        <v>May</v>
      </c>
      <c r="G669">
        <f>IF(B669="", "", YEAR(B669))</f>
        <v>2025</v>
      </c>
      <c r="H669" t="s">
        <v>2045</v>
      </c>
      <c r="I669" t="s">
        <v>158</v>
      </c>
      <c r="J669" t="s">
        <v>36</v>
      </c>
      <c r="K669" t="s">
        <v>37</v>
      </c>
      <c r="L669" t="s">
        <v>142</v>
      </c>
      <c r="M669" t="s">
        <v>143</v>
      </c>
      <c r="N669" t="s">
        <v>74</v>
      </c>
      <c r="O669" t="s">
        <v>272</v>
      </c>
      <c r="P669" t="s">
        <v>2046</v>
      </c>
      <c r="Q669" t="s">
        <v>58</v>
      </c>
      <c r="R669">
        <v>1</v>
      </c>
      <c r="S669" s="15">
        <v>3959.14</v>
      </c>
      <c r="T669" s="4">
        <v>0</v>
      </c>
      <c r="U669" s="3" t="str">
        <f>IF(T669&lt;0, "negative_discount", IF(AND(T669&gt;0.5, T669&lt;=1), "high_discount", ""))</f>
        <v/>
      </c>
      <c r="V669" s="11">
        <v>3959.14</v>
      </c>
      <c r="W669" s="12">
        <v>3959.14</v>
      </c>
      <c r="X669" s="11">
        <v>3239.53</v>
      </c>
      <c r="Y669" s="11">
        <v>719.61</v>
      </c>
      <c r="Z669" s="11">
        <f>ROUND(W669-X669,2)</f>
        <v>719.61</v>
      </c>
      <c r="AA669" s="4">
        <f>IF(W669=0,0,Z669/W669)</f>
        <v>0.18175916992074037</v>
      </c>
      <c r="AB669" t="s">
        <v>109</v>
      </c>
      <c r="AC669" t="s">
        <v>100</v>
      </c>
      <c r="AD669" t="str">
        <f>IF(AND(E669="", T669&gt;=0, T669&lt;=0.5, K669&lt;&gt;"Unknown", Q669&lt;&gt;"Unknown"), "CLEAN", _xlfn.CONCAT("WARNING: ", IF(E669&lt;&gt;"","invalid_date",""), IF(T669&lt;0,"negative_discount",""), IF(AND(T669&gt;0.5,T669&lt;=1),"high_discount",""), IF(K669="Unknown","missing_region",""), IF(Q669="Unknown","missing_ship_mode","")))</f>
        <v>CLEAN</v>
      </c>
      <c r="AE669" t="str">
        <f>IF(COUNTIF($AF$2:$AF$926,AF669)&gt;1,"DUPLICATE","UNIQUE")</f>
        <v>UNIQUE</v>
      </c>
      <c r="AF669" t="str">
        <f>A669&amp;"|"&amp;B669&amp;"|"&amp;H669&amp;"|"&amp;I669&amp;"|"&amp;R669&amp;"|"&amp;S669&amp;"|"&amp;V669</f>
        <v>ORD-2025-10668|2025-05-20|CUST-3912|Diya Patel|1|3959.14|3959.14</v>
      </c>
      <c r="AG669" t="str">
        <f>IF(COUNTIF($A$2:$A$913,A669)&gt;1,"TRUE","FALSE")</f>
        <v>FALSE</v>
      </c>
    </row>
    <row r="670" spans="1:33">
      <c r="A670" t="s">
        <v>2047</v>
      </c>
      <c r="B670" t="s">
        <v>2859</v>
      </c>
      <c r="C670" t="s">
        <v>2682</v>
      </c>
      <c r="D670">
        <f>IF(OR(B670="", C670=""), "", (C670 - B670))</f>
        <v>2</v>
      </c>
      <c r="E670" t="str">
        <f>IF(C670&lt;B670, "INVALID: Ship date before order date", "")</f>
        <v/>
      </c>
      <c r="F670" t="str">
        <f>IF(B670="", "", TEXT(B670, "mmmm"))</f>
        <v>November</v>
      </c>
      <c r="G670">
        <f>IF(B670="", "", YEAR(B670))</f>
        <v>2024</v>
      </c>
      <c r="H670" t="s">
        <v>2048</v>
      </c>
      <c r="I670" t="s">
        <v>35</v>
      </c>
      <c r="J670" t="s">
        <v>89</v>
      </c>
      <c r="K670" t="s">
        <v>62</v>
      </c>
      <c r="L670" t="s">
        <v>176</v>
      </c>
      <c r="M670" t="s">
        <v>177</v>
      </c>
      <c r="N670" t="s">
        <v>27</v>
      </c>
      <c r="O670" t="s">
        <v>28</v>
      </c>
      <c r="P670" t="s">
        <v>2049</v>
      </c>
      <c r="Q670" t="s">
        <v>30</v>
      </c>
      <c r="R670">
        <v>5</v>
      </c>
      <c r="S670" s="15">
        <v>600.46</v>
      </c>
      <c r="T670" s="4">
        <v>0.2</v>
      </c>
      <c r="U670" s="3" t="str">
        <f>IF(T670&lt;0, "negative_discount", IF(AND(T670&gt;0.5, T670&lt;=1), "high_discount", ""))</f>
        <v/>
      </c>
      <c r="V670" s="11">
        <v>2401.84</v>
      </c>
      <c r="W670" s="12">
        <v>2401.84</v>
      </c>
      <c r="X670" s="11">
        <v>1873.11</v>
      </c>
      <c r="Y670" s="11">
        <v>528.73</v>
      </c>
      <c r="Z670" s="11">
        <f>ROUND(W670-X670,2)</f>
        <v>528.73</v>
      </c>
      <c r="AA670" s="4">
        <f>IF(W670=0,0,Z670/W670)</f>
        <v>0.22013539619624953</v>
      </c>
      <c r="AB670" t="s">
        <v>31</v>
      </c>
      <c r="AC670" t="s">
        <v>32</v>
      </c>
      <c r="AD670" t="str">
        <f>IF(AND(E670="", T670&gt;=0, T670&lt;=0.5, K670&lt;&gt;"Unknown", Q670&lt;&gt;"Unknown"), "CLEAN", _xlfn.CONCAT("WARNING: ", IF(E670&lt;&gt;"","invalid_date",""), IF(T670&lt;0,"negative_discount",""), IF(AND(T670&gt;0.5,T670&lt;=1),"high_discount",""), IF(K670="Unknown","missing_region",""), IF(Q670="Unknown","missing_ship_mode","")))</f>
        <v>CLEAN</v>
      </c>
      <c r="AE670" t="str">
        <f>IF(COUNTIF($AF$2:$AF$926,AF670)&gt;1,"DUPLICATE","UNIQUE")</f>
        <v>UNIQUE</v>
      </c>
      <c r="AF670" t="str">
        <f>A670&amp;"|"&amp;B670&amp;"|"&amp;H670&amp;"|"&amp;I670&amp;"|"&amp;R670&amp;"|"&amp;S670&amp;"|"&amp;V670</f>
        <v>ORD-2024-10669|2024-11-21|CUST-4190|Mira Das|5|600.46|2401.84</v>
      </c>
      <c r="AG670" t="str">
        <f>IF(COUNTIF($A$2:$A$913,A670)&gt;1,"TRUE","FALSE")</f>
        <v>FALSE</v>
      </c>
    </row>
    <row r="671" spans="1:33">
      <c r="A671" t="s">
        <v>2050</v>
      </c>
      <c r="B671" t="s">
        <v>2051</v>
      </c>
      <c r="C671" t="s">
        <v>2813</v>
      </c>
      <c r="D671">
        <f>IF(OR(B671="", C671=""), "", (C671 - B671))</f>
        <v>8</v>
      </c>
      <c r="E671" t="str">
        <f>IF(C671&lt;B671, "INVALID: Ship date before order date", "")</f>
        <v/>
      </c>
      <c r="F671" t="str">
        <f>IF(B671="", "", TEXT(B671, "mmmm"))</f>
        <v>March</v>
      </c>
      <c r="G671">
        <f>IF(B671="", "", YEAR(B671))</f>
        <v>2024</v>
      </c>
      <c r="H671" t="s">
        <v>2052</v>
      </c>
      <c r="I671" t="s">
        <v>61</v>
      </c>
      <c r="J671" t="s">
        <v>93</v>
      </c>
      <c r="K671" t="s">
        <v>62</v>
      </c>
      <c r="L671" t="s">
        <v>63</v>
      </c>
      <c r="M671" t="s">
        <v>64</v>
      </c>
      <c r="N671" t="s">
        <v>40</v>
      </c>
      <c r="O671" t="s">
        <v>41</v>
      </c>
      <c r="P671" t="s">
        <v>2053</v>
      </c>
      <c r="Q671" t="s">
        <v>30</v>
      </c>
      <c r="R671">
        <v>4</v>
      </c>
      <c r="S671" s="15">
        <v>1700.72</v>
      </c>
      <c r="T671" s="4">
        <v>0.25</v>
      </c>
      <c r="U671" s="3" t="str">
        <f>IF(T671&lt;0, "negative_discount", IF(AND(T671&gt;0.5, T671&lt;=1), "high_discount", ""))</f>
        <v/>
      </c>
      <c r="V671" s="11">
        <v>5102.16</v>
      </c>
      <c r="W671" s="12">
        <v>5102.16</v>
      </c>
      <c r="X671" s="11">
        <v>3226.45</v>
      </c>
      <c r="Y671" s="11">
        <v>1875.71</v>
      </c>
      <c r="Z671" s="11">
        <f>ROUND(W671-X671,2)</f>
        <v>1875.71</v>
      </c>
      <c r="AA671" s="4">
        <f>IF(W671=0,0,Z671/W671)</f>
        <v>0.36763057214983458</v>
      </c>
      <c r="AB671" t="s">
        <v>31</v>
      </c>
      <c r="AC671" t="s">
        <v>32</v>
      </c>
      <c r="AD671" t="str">
        <f>IF(AND(E671="", T671&gt;=0, T671&lt;=0.5, K671&lt;&gt;"Unknown", Q671&lt;&gt;"Unknown"), "CLEAN", _xlfn.CONCAT("WARNING: ", IF(E671&lt;&gt;"","invalid_date",""), IF(T671&lt;0,"negative_discount",""), IF(AND(T671&gt;0.5,T671&lt;=1),"high_discount",""), IF(K671="Unknown","missing_region",""), IF(Q671="Unknown","missing_ship_mode","")))</f>
        <v>CLEAN</v>
      </c>
      <c r="AE671" t="str">
        <f>IF(COUNTIF($AF$2:$AF$926,AF671)&gt;1,"DUPLICATE","UNIQUE")</f>
        <v>UNIQUE</v>
      </c>
      <c r="AF671" t="str">
        <f>A671&amp;"|"&amp;B671&amp;"|"&amp;H671&amp;"|"&amp;I671&amp;"|"&amp;R671&amp;"|"&amp;S671&amp;"|"&amp;V671</f>
        <v>ORD-2024-10670|2024-03-24|CUST-7568|Ananya Rao|4|1700.72|5102.16</v>
      </c>
      <c r="AG671" t="str">
        <f>IF(COUNTIF($A$2:$A$913,A671)&gt;1,"TRUE","FALSE")</f>
        <v>FALSE</v>
      </c>
    </row>
    <row r="672" spans="1:33">
      <c r="A672" t="s">
        <v>3277</v>
      </c>
      <c r="B672" t="s">
        <v>2141</v>
      </c>
      <c r="C672" t="s">
        <v>2519</v>
      </c>
      <c r="D672">
        <f>IF(OR(B672="", C672=""), "", (C672 - B672))</f>
        <v>4</v>
      </c>
      <c r="E672" t="str">
        <f>IF(C672&lt;B672, "INVALID: Ship date before order date", "")</f>
        <v/>
      </c>
      <c r="F672" t="str">
        <f>IF(B672="", "", TEXT(B672, "mmmm"))</f>
        <v>February</v>
      </c>
      <c r="G672">
        <f>IF(B672="", "", YEAR(B672))</f>
        <v>2025</v>
      </c>
      <c r="H672" t="s">
        <v>1566</v>
      </c>
      <c r="I672" t="s">
        <v>131</v>
      </c>
      <c r="J672" t="s">
        <v>89</v>
      </c>
      <c r="K672" t="s">
        <v>24</v>
      </c>
      <c r="L672" t="s">
        <v>134</v>
      </c>
      <c r="M672" t="s">
        <v>135</v>
      </c>
      <c r="N672" t="s">
        <v>40</v>
      </c>
      <c r="O672" t="s">
        <v>41</v>
      </c>
      <c r="P672" t="s">
        <v>2054</v>
      </c>
      <c r="Q672" t="s">
        <v>58</v>
      </c>
      <c r="R672">
        <v>8</v>
      </c>
      <c r="S672" s="15">
        <v>857.86</v>
      </c>
      <c r="T672" s="4">
        <v>0.1</v>
      </c>
      <c r="U672" s="3" t="str">
        <f>IF(T672&lt;0, "negative_discount", IF(AND(T672&gt;0.5, T672&lt;=1), "high_discount", ""))</f>
        <v/>
      </c>
      <c r="V672" s="11">
        <v>6176.59</v>
      </c>
      <c r="W672" s="12">
        <v>6176.59</v>
      </c>
      <c r="X672" s="11">
        <v>3560.96</v>
      </c>
      <c r="Y672" s="11">
        <v>2615.63</v>
      </c>
      <c r="Z672" s="11">
        <f>ROUND(W672-X672,2)</f>
        <v>2615.63</v>
      </c>
      <c r="AA672" s="4">
        <f>IF(W672=0,0,Z672/W672)</f>
        <v>0.42347476520215849</v>
      </c>
      <c r="AB672" t="s">
        <v>31</v>
      </c>
      <c r="AC672" t="s">
        <v>32</v>
      </c>
      <c r="AD672" t="str">
        <f>IF(AND(E672="", T672&gt;=0, T672&lt;=0.5, K672&lt;&gt;"Unknown", Q672&lt;&gt;"Unknown"), "CLEAN", _xlfn.CONCAT("WARNING: ", IF(E672&lt;&gt;"","invalid_date",""), IF(T672&lt;0,"negative_discount",""), IF(AND(T672&gt;0.5,T672&lt;=1),"high_discount",""), IF(K672="Unknown","missing_region",""), IF(Q672="Unknown","missing_ship_mode","")))</f>
        <v>CLEAN</v>
      </c>
      <c r="AE672" t="str">
        <f>IF(COUNTIF($AF$2:$AF$926,AF672)&gt;1,"DUPLICATE","UNIQUE")</f>
        <v>UNIQUE</v>
      </c>
      <c r="AF672" t="str">
        <f>A672&amp;"|"&amp;B672&amp;"|"&amp;H672&amp;"|"&amp;I672&amp;"|"&amp;R672&amp;"|"&amp;S672&amp;"|"&amp;V672</f>
        <v>ORD-2025-10671|2025-02-02|CUST-5604|Sneha Kapoor|8|857.86|6176.59</v>
      </c>
      <c r="AG672" t="str">
        <f>IF(COUNTIF($A$2:$A$913,A672)&gt;1,"TRUE","FALSE")</f>
        <v>FALSE</v>
      </c>
    </row>
    <row r="673" spans="1:33">
      <c r="A673" t="s">
        <v>2055</v>
      </c>
      <c r="B673" t="s">
        <v>2056</v>
      </c>
      <c r="C673" t="s">
        <v>2906</v>
      </c>
      <c r="D673">
        <f>IF(OR(B673="", C673=""), "", (C673 - B673))</f>
        <v>5</v>
      </c>
      <c r="E673" t="str">
        <f>IF(C673&lt;B673, "INVALID: Ship date before order date", "")</f>
        <v/>
      </c>
      <c r="F673" t="str">
        <f>IF(B673="", "", TEXT(B673, "mmmm"))</f>
        <v>March</v>
      </c>
      <c r="G673">
        <f>IF(B673="", "", YEAR(B673))</f>
        <v>2024</v>
      </c>
      <c r="H673" t="s">
        <v>2057</v>
      </c>
      <c r="I673" t="s">
        <v>88</v>
      </c>
      <c r="J673" t="s">
        <v>93</v>
      </c>
      <c r="K673" t="s">
        <v>62</v>
      </c>
      <c r="L673" t="s">
        <v>185</v>
      </c>
      <c r="M673" t="s">
        <v>186</v>
      </c>
      <c r="N673" t="s">
        <v>74</v>
      </c>
      <c r="O673" t="s">
        <v>79</v>
      </c>
      <c r="P673" t="s">
        <v>2058</v>
      </c>
      <c r="Q673" t="s">
        <v>30</v>
      </c>
      <c r="R673">
        <v>9</v>
      </c>
      <c r="S673" s="15">
        <v>3649.51</v>
      </c>
      <c r="T673" s="4">
        <v>0.05</v>
      </c>
      <c r="U673" s="3" t="str">
        <f>IF(T673&lt;0, "negative_discount", IF(AND(T673&gt;0.5, T673&lt;=1), "high_discount", ""))</f>
        <v/>
      </c>
      <c r="V673" s="11">
        <v>31203.31</v>
      </c>
      <c r="W673" s="12">
        <v>31203.31</v>
      </c>
      <c r="X673" s="11">
        <v>17738.13</v>
      </c>
      <c r="Y673" s="11">
        <v>13465.18</v>
      </c>
      <c r="Z673" s="11">
        <f>ROUND(W673-X673,2)</f>
        <v>13465.18</v>
      </c>
      <c r="AA673" s="4">
        <f>IF(W673=0,0,Z673/W673)</f>
        <v>0.43153050109107016</v>
      </c>
      <c r="AB673" t="s">
        <v>31</v>
      </c>
      <c r="AC673" t="s">
        <v>32</v>
      </c>
      <c r="AD673" t="str">
        <f>IF(AND(E673="", T673&gt;=0, T673&lt;=0.5, K673&lt;&gt;"Unknown", Q673&lt;&gt;"Unknown"), "CLEAN", _xlfn.CONCAT("WARNING: ", IF(E673&lt;&gt;"","invalid_date",""), IF(T673&lt;0,"negative_discount",""), IF(AND(T673&gt;0.5,T673&lt;=1),"high_discount",""), IF(K673="Unknown","missing_region",""), IF(Q673="Unknown","missing_ship_mode","")))</f>
        <v>CLEAN</v>
      </c>
      <c r="AE673" t="str">
        <f>IF(COUNTIF($AF$2:$AF$926,AF673)&gt;1,"DUPLICATE","UNIQUE")</f>
        <v>UNIQUE</v>
      </c>
      <c r="AF673" t="str">
        <f>A673&amp;"|"&amp;B673&amp;"|"&amp;H673&amp;"|"&amp;I673&amp;"|"&amp;R673&amp;"|"&amp;S673&amp;"|"&amp;V673</f>
        <v>ORD-2024-10672|2024-03-22|CUST-3293|Aditi Sen|9|3649.51|31203.31</v>
      </c>
      <c r="AG673" t="str">
        <f>IF(COUNTIF($A$2:$A$913,A673)&gt;1,"TRUE","FALSE")</f>
        <v>FALSE</v>
      </c>
    </row>
    <row r="674" spans="1:33">
      <c r="A674" t="s">
        <v>2059</v>
      </c>
      <c r="B674" t="s">
        <v>2060</v>
      </c>
      <c r="C674" t="s">
        <v>2061</v>
      </c>
      <c r="D674">
        <f>IF(OR(B674="", C674=""), "", (C674 - B674))</f>
        <v>1</v>
      </c>
      <c r="E674" t="str">
        <f>IF(C674&lt;B674, "INVALID: Ship date before order date", "")</f>
        <v/>
      </c>
      <c r="F674" t="str">
        <f>IF(B674="", "", TEXT(B674, "mmmm"))</f>
        <v>September</v>
      </c>
      <c r="G674">
        <f>IF(B674="", "", YEAR(B674))</f>
        <v>2024</v>
      </c>
      <c r="H674" t="s">
        <v>2062</v>
      </c>
      <c r="I674" t="s">
        <v>88</v>
      </c>
      <c r="J674" t="s">
        <v>89</v>
      </c>
      <c r="K674" t="s">
        <v>62</v>
      </c>
      <c r="L674" t="s">
        <v>72</v>
      </c>
      <c r="M674" t="s">
        <v>73</v>
      </c>
      <c r="N674" t="s">
        <v>40</v>
      </c>
      <c r="O674" t="s">
        <v>65</v>
      </c>
      <c r="P674" t="s">
        <v>2063</v>
      </c>
      <c r="Q674" t="s">
        <v>58</v>
      </c>
      <c r="R674">
        <v>5</v>
      </c>
      <c r="S674" s="15">
        <v>2528.5300000000002</v>
      </c>
      <c r="T674" s="4">
        <v>0.05</v>
      </c>
      <c r="U674" s="3" t="str">
        <f>IF(T674&lt;0, "negative_discount", IF(AND(T674&gt;0.5, T674&lt;=1), "high_discount", ""))</f>
        <v/>
      </c>
      <c r="V674" s="11">
        <v>12010.52</v>
      </c>
      <c r="W674" s="12">
        <v>12010.52</v>
      </c>
      <c r="X674" s="11">
        <v>7864.61</v>
      </c>
      <c r="Y674" s="11">
        <v>4145.91</v>
      </c>
      <c r="Z674" s="11">
        <f>ROUND(W674-X674,2)</f>
        <v>4145.91</v>
      </c>
      <c r="AA674" s="4">
        <f>IF(W674=0,0,Z674/W674)</f>
        <v>0.34518988353543389</v>
      </c>
      <c r="AB674" t="s">
        <v>31</v>
      </c>
      <c r="AC674" t="s">
        <v>100</v>
      </c>
      <c r="AD674" t="str">
        <f>IF(AND(E674="", T674&gt;=0, T674&lt;=0.5, K674&lt;&gt;"Unknown", Q674&lt;&gt;"Unknown"), "CLEAN", _xlfn.CONCAT("WARNING: ", IF(E674&lt;&gt;"","invalid_date",""), IF(T674&lt;0,"negative_discount",""), IF(AND(T674&gt;0.5,T674&lt;=1),"high_discount",""), IF(K674="Unknown","missing_region",""), IF(Q674="Unknown","missing_ship_mode","")))</f>
        <v>CLEAN</v>
      </c>
      <c r="AE674" t="str">
        <f>IF(COUNTIF($AF$2:$AF$926,AF674)&gt;1,"DUPLICATE","UNIQUE")</f>
        <v>UNIQUE</v>
      </c>
      <c r="AF674" t="str">
        <f>A674&amp;"|"&amp;B674&amp;"|"&amp;H674&amp;"|"&amp;I674&amp;"|"&amp;R674&amp;"|"&amp;S674&amp;"|"&amp;V674</f>
        <v>ORD-2024-10673|2024-09-04|CUST-8180|Aditi Sen|5|2528.53|12010.52</v>
      </c>
      <c r="AG674" t="str">
        <f>IF(COUNTIF($A$2:$A$913,A674)&gt;1,"TRUE","FALSE")</f>
        <v>FALSE</v>
      </c>
    </row>
    <row r="675" spans="1:33">
      <c r="A675" t="s">
        <v>3278</v>
      </c>
      <c r="B675" t="s">
        <v>1543</v>
      </c>
      <c r="C675" t="s">
        <v>2418</v>
      </c>
      <c r="D675">
        <f>IF(OR(B675="", C675=""), "", (C675 - B675))</f>
        <v>3</v>
      </c>
      <c r="E675" t="str">
        <f>IF(C675&lt;B675, "INVALID: Ship date before order date", "")</f>
        <v/>
      </c>
      <c r="F675" t="str">
        <f>IF(B675="", "", TEXT(B675, "mmmm"))</f>
        <v>February</v>
      </c>
      <c r="G675">
        <f>IF(B675="", "", YEAR(B675))</f>
        <v>2025</v>
      </c>
      <c r="H675" t="s">
        <v>2064</v>
      </c>
      <c r="I675" t="s">
        <v>52</v>
      </c>
      <c r="J675" t="s">
        <v>36</v>
      </c>
      <c r="K675" t="s">
        <v>62</v>
      </c>
      <c r="L675" t="s">
        <v>25</v>
      </c>
      <c r="M675" t="s">
        <v>107</v>
      </c>
      <c r="N675" t="s">
        <v>40</v>
      </c>
      <c r="O675" t="s">
        <v>153</v>
      </c>
      <c r="P675" t="s">
        <v>2065</v>
      </c>
      <c r="Q675" t="s">
        <v>30</v>
      </c>
      <c r="R675">
        <v>4</v>
      </c>
      <c r="S675" s="15">
        <v>4072.9</v>
      </c>
      <c r="T675" s="4">
        <v>0.15</v>
      </c>
      <c r="U675" s="3" t="str">
        <f>IF(T675&lt;0, "negative_discount", IF(AND(T675&gt;0.5, T675&lt;=1), "high_discount", ""))</f>
        <v/>
      </c>
      <c r="V675" s="11">
        <v>13847.86</v>
      </c>
      <c r="W675" s="12">
        <v>13847.86</v>
      </c>
      <c r="X675" s="11">
        <v>8471.7800000000007</v>
      </c>
      <c r="Y675" s="11">
        <v>5376.08</v>
      </c>
      <c r="Z675" s="11">
        <f>ROUND(W675-X675,2)</f>
        <v>5376.08</v>
      </c>
      <c r="AA675" s="4">
        <f>IF(W675=0,0,Z675/W675)</f>
        <v>0.38822460654570451</v>
      </c>
      <c r="AB675" t="s">
        <v>31</v>
      </c>
      <c r="AC675" t="s">
        <v>32</v>
      </c>
      <c r="AD675" t="str">
        <f>IF(AND(E675="", T675&gt;=0, T675&lt;=0.5, K675&lt;&gt;"Unknown", Q675&lt;&gt;"Unknown"), "CLEAN", _xlfn.CONCAT("WARNING: ", IF(E675&lt;&gt;"","invalid_date",""), IF(T675&lt;0,"negative_discount",""), IF(AND(T675&gt;0.5,T675&lt;=1),"high_discount",""), IF(K675="Unknown","missing_region",""), IF(Q675="Unknown","missing_ship_mode","")))</f>
        <v>CLEAN</v>
      </c>
      <c r="AE675" t="str">
        <f>IF(COUNTIF($AF$2:$AF$926,AF675)&gt;1,"DUPLICATE","UNIQUE")</f>
        <v>UNIQUE</v>
      </c>
      <c r="AF675" t="str">
        <f>A675&amp;"|"&amp;B675&amp;"|"&amp;H675&amp;"|"&amp;I675&amp;"|"&amp;R675&amp;"|"&amp;S675&amp;"|"&amp;V675</f>
        <v>ORD-2025-10674|2025-02-13|CUST-2807|Arjun Bose|4|4072.9|13847.86</v>
      </c>
      <c r="AG675" t="str">
        <f>IF(COUNTIF($A$2:$A$913,A675)&gt;1,"TRUE","FALSE")</f>
        <v>FALSE</v>
      </c>
    </row>
    <row r="676" spans="1:33">
      <c r="A676" t="s">
        <v>2066</v>
      </c>
      <c r="B676" t="s">
        <v>2067</v>
      </c>
      <c r="C676" t="s">
        <v>2068</v>
      </c>
      <c r="D676">
        <f>IF(OR(B676="", C676=""), "", (C676 - B676))</f>
        <v>3</v>
      </c>
      <c r="E676" t="str">
        <f>IF(C676&lt;B676, "INVALID: Ship date before order date", "")</f>
        <v/>
      </c>
      <c r="F676" t="str">
        <f>IF(B676="", "", TEXT(B676, "mmmm"))</f>
        <v>May</v>
      </c>
      <c r="G676">
        <f>IF(B676="", "", YEAR(B676))</f>
        <v>2024</v>
      </c>
      <c r="H676" t="s">
        <v>2069</v>
      </c>
      <c r="I676" t="s">
        <v>71</v>
      </c>
      <c r="J676" t="s">
        <v>89</v>
      </c>
      <c r="K676" t="s">
        <v>37</v>
      </c>
      <c r="L676" t="s">
        <v>226</v>
      </c>
      <c r="M676" t="s">
        <v>227</v>
      </c>
      <c r="N676" t="s">
        <v>74</v>
      </c>
      <c r="O676" t="s">
        <v>75</v>
      </c>
      <c r="P676" t="s">
        <v>2070</v>
      </c>
      <c r="Q676" t="s">
        <v>30</v>
      </c>
      <c r="R676">
        <v>1</v>
      </c>
      <c r="S676" s="15">
        <v>1033.71</v>
      </c>
      <c r="T676" s="4">
        <v>0</v>
      </c>
      <c r="U676" s="3" t="str">
        <f>IF(T676&lt;0, "negative_discount", IF(AND(T676&gt;0.5, T676&lt;=1), "high_discount", ""))</f>
        <v/>
      </c>
      <c r="V676" s="11">
        <v>1033.71</v>
      </c>
      <c r="W676" s="12">
        <v>1033.71</v>
      </c>
      <c r="X676" s="11">
        <v>630.82000000000005</v>
      </c>
      <c r="Y676" s="11">
        <v>402.89</v>
      </c>
      <c r="Z676" s="11">
        <f>ROUND(W676-X676,2)</f>
        <v>402.89</v>
      </c>
      <c r="AA676" s="4">
        <f>IF(W676=0,0,Z676/W676)</f>
        <v>0.38975147768716562</v>
      </c>
      <c r="AB676" t="s">
        <v>109</v>
      </c>
      <c r="AC676" t="s">
        <v>100</v>
      </c>
      <c r="AD676" t="str">
        <f>IF(AND(E676="", T676&gt;=0, T676&lt;=0.5, K676&lt;&gt;"Unknown", Q676&lt;&gt;"Unknown"), "CLEAN", _xlfn.CONCAT("WARNING: ", IF(E676&lt;&gt;"","invalid_date",""), IF(T676&lt;0,"negative_discount",""), IF(AND(T676&gt;0.5,T676&lt;=1),"high_discount",""), IF(K676="Unknown","missing_region",""), IF(Q676="Unknown","missing_ship_mode","")))</f>
        <v>CLEAN</v>
      </c>
      <c r="AE676" t="str">
        <f>IF(COUNTIF($AF$2:$AF$926,AF676)&gt;1,"DUPLICATE","UNIQUE")</f>
        <v>UNIQUE</v>
      </c>
      <c r="AF676" t="str">
        <f>A676&amp;"|"&amp;B676&amp;"|"&amp;H676&amp;"|"&amp;I676&amp;"|"&amp;R676&amp;"|"&amp;S676&amp;"|"&amp;V676</f>
        <v>ORD-2024-10675|2024-05-18|CUST-4081|Vikram Iyer|1|1033.71|1033.71</v>
      </c>
      <c r="AG676" t="str">
        <f>IF(COUNTIF($A$2:$A$913,A676)&gt;1,"TRUE","FALSE")</f>
        <v>FALSE</v>
      </c>
    </row>
    <row r="677" spans="1:33">
      <c r="A677" t="s">
        <v>3279</v>
      </c>
      <c r="B677" t="s">
        <v>1555</v>
      </c>
      <c r="C677" t="s">
        <v>796</v>
      </c>
      <c r="D677">
        <f>IF(OR(B677="", C677=""), "", (C677 - B677))</f>
        <v>-26</v>
      </c>
      <c r="E677" t="str">
        <f>IF(C677&lt;B677, "INVALID: Ship date before order date", "")</f>
        <v>INVALID: Ship date before order date</v>
      </c>
      <c r="F677" t="str">
        <f>IF(B677="", "", TEXT(B677, "mmmm"))</f>
        <v>July</v>
      </c>
      <c r="G677">
        <f>IF(B677="", "", YEAR(B677))</f>
        <v>2025</v>
      </c>
      <c r="H677" t="s">
        <v>1974</v>
      </c>
      <c r="I677" t="s">
        <v>126</v>
      </c>
      <c r="J677" t="s">
        <v>23</v>
      </c>
      <c r="K677" t="s">
        <v>24</v>
      </c>
      <c r="L677" t="s">
        <v>25</v>
      </c>
      <c r="M677" t="s">
        <v>26</v>
      </c>
      <c r="N677" t="s">
        <v>40</v>
      </c>
      <c r="O677" t="s">
        <v>56</v>
      </c>
      <c r="P677" t="s">
        <v>2071</v>
      </c>
      <c r="Q677" t="s">
        <v>43</v>
      </c>
      <c r="R677">
        <v>3</v>
      </c>
      <c r="S677" s="15">
        <v>963.26</v>
      </c>
      <c r="T677" s="4">
        <v>0</v>
      </c>
      <c r="U677" s="3" t="str">
        <f>IF(T677&lt;0, "negative_discount", IF(AND(T677&gt;0.5, T677&lt;=1), "high_discount", ""))</f>
        <v/>
      </c>
      <c r="V677" s="11">
        <v>2889.78</v>
      </c>
      <c r="W677" s="12">
        <v>2889.78</v>
      </c>
      <c r="X677" s="11">
        <v>1811.23</v>
      </c>
      <c r="Y677" s="11">
        <v>1078.55</v>
      </c>
      <c r="Z677" s="11">
        <f>ROUND(W677-X677,2)</f>
        <v>1078.55</v>
      </c>
      <c r="AA677" s="4">
        <f>IF(W677=0,0,Z677/W677)</f>
        <v>0.37322910394562903</v>
      </c>
      <c r="AB677" t="s">
        <v>31</v>
      </c>
      <c r="AC677" t="s">
        <v>32</v>
      </c>
      <c r="AD677" t="str">
        <f>IF(AND(E677="", T677&gt;=0, T677&lt;=0.5, K677&lt;&gt;"Unknown", Q677&lt;&gt;"Unknown"), "CLEAN", _xlfn.CONCAT("WARNING: ", IF(E677&lt;&gt;"","invalid_date",""), IF(T677&lt;0,"negative_discount",""), IF(AND(T677&gt;0.5,T677&lt;=1),"high_discount",""), IF(K677="Unknown","missing_region",""), IF(Q677="Unknown","missing_ship_mode","")))</f>
        <v>WARNING: invalid_date</v>
      </c>
      <c r="AE677" t="str">
        <f>IF(COUNTIF($AF$2:$AF$926,AF677)&gt;1,"DUPLICATE","UNIQUE")</f>
        <v>UNIQUE</v>
      </c>
      <c r="AF677" t="str">
        <f>A677&amp;"|"&amp;B677&amp;"|"&amp;H677&amp;"|"&amp;I677&amp;"|"&amp;R677&amp;"|"&amp;S677&amp;"|"&amp;V677</f>
        <v>ORD-2025-10676|2025-07-06|CUST-5061|Aarav Sharma|3|963.26|2889.78</v>
      </c>
      <c r="AG677" t="str">
        <f>IF(COUNTIF($A$2:$A$913,A677)&gt;1,"TRUE","FALSE")</f>
        <v>FALSE</v>
      </c>
    </row>
    <row r="678" spans="1:33">
      <c r="A678" t="s">
        <v>3280</v>
      </c>
      <c r="B678" t="s">
        <v>2860</v>
      </c>
      <c r="C678" t="s">
        <v>2806</v>
      </c>
      <c r="D678">
        <f>IF(OR(B678="", C678=""), "", (C678 - B678))</f>
        <v>7</v>
      </c>
      <c r="E678" t="str">
        <f>IF(C678&lt;B678, "INVALID: Ship date before order date", "")</f>
        <v/>
      </c>
      <c r="F678" t="str">
        <f>IF(B678="", "", TEXT(B678, "mmmm"))</f>
        <v>September</v>
      </c>
      <c r="G678">
        <f>IF(B678="", "", YEAR(B678))</f>
        <v>2025</v>
      </c>
      <c r="H678" t="s">
        <v>2072</v>
      </c>
      <c r="I678" t="s">
        <v>116</v>
      </c>
      <c r="J678" t="s">
        <v>36</v>
      </c>
      <c r="K678" t="s">
        <v>24</v>
      </c>
      <c r="L678" t="s">
        <v>353</v>
      </c>
      <c r="M678" t="s">
        <v>354</v>
      </c>
      <c r="N678" t="s">
        <v>74</v>
      </c>
      <c r="O678" t="s">
        <v>168</v>
      </c>
      <c r="P678" t="s">
        <v>2073</v>
      </c>
      <c r="Q678" t="s">
        <v>43</v>
      </c>
      <c r="R678">
        <v>7</v>
      </c>
      <c r="S678" s="15">
        <v>3411.21</v>
      </c>
      <c r="T678" s="4">
        <v>0</v>
      </c>
      <c r="U678" s="3" t="str">
        <f>IF(T678&lt;0, "negative_discount", IF(AND(T678&gt;0.5, T678&lt;=1), "high_discount", ""))</f>
        <v/>
      </c>
      <c r="V678" s="11">
        <v>20296.7</v>
      </c>
      <c r="W678" s="12">
        <v>23878.47</v>
      </c>
      <c r="X678" s="11">
        <v>14920.87</v>
      </c>
      <c r="Y678" s="11">
        <v>5375.83</v>
      </c>
      <c r="Z678" s="11">
        <f>ROUND(W678-X678,2)</f>
        <v>8957.6</v>
      </c>
      <c r="AA678" s="4">
        <f>IF(W678=0,0,Z678/W678)</f>
        <v>0.3751329126196109</v>
      </c>
      <c r="AB678" t="s">
        <v>31</v>
      </c>
      <c r="AC678" t="s">
        <v>32</v>
      </c>
      <c r="AD678" t="str">
        <f>IF(AND(E678="", T678&gt;=0, T678&lt;=0.5, K678&lt;&gt;"Unknown", Q678&lt;&gt;"Unknown"), "CLEAN", _xlfn.CONCAT("WARNING: ", IF(E678&lt;&gt;"","invalid_date",""), IF(T678&lt;0,"negative_discount",""), IF(AND(T678&gt;0.5,T678&lt;=1),"high_discount",""), IF(K678="Unknown","missing_region",""), IF(Q678="Unknown","missing_ship_mode","")))</f>
        <v>CLEAN</v>
      </c>
      <c r="AE678" t="str">
        <f>IF(COUNTIF($AF$2:$AF$926,AF678)&gt;1,"DUPLICATE","UNIQUE")</f>
        <v>UNIQUE</v>
      </c>
      <c r="AF678" t="str">
        <f>A678&amp;"|"&amp;B678&amp;"|"&amp;H678&amp;"|"&amp;I678&amp;"|"&amp;R678&amp;"|"&amp;S678&amp;"|"&amp;V678</f>
        <v>ORD-2025-10677|2025-09-11|CUST-9212|Rahul Verma|7|3411.21|20296.7</v>
      </c>
      <c r="AG678" t="str">
        <f>IF(COUNTIF($A$2:$A$913,A678)&gt;1,"TRUE","FALSE")</f>
        <v>FALSE</v>
      </c>
    </row>
    <row r="679" spans="1:33">
      <c r="A679" t="s">
        <v>2074</v>
      </c>
      <c r="B679" t="s">
        <v>2075</v>
      </c>
      <c r="C679" t="s">
        <v>2722</v>
      </c>
      <c r="D679">
        <f>IF(OR(B679="", C679=""), "", (C679 - B679))</f>
        <v>5</v>
      </c>
      <c r="E679" t="str">
        <f>IF(C679&lt;B679, "INVALID: Ship date before order date", "")</f>
        <v/>
      </c>
      <c r="F679" t="str">
        <f>IF(B679="", "", TEXT(B679, "mmmm"))</f>
        <v>June</v>
      </c>
      <c r="G679">
        <f>IF(B679="", "", YEAR(B679))</f>
        <v>2024</v>
      </c>
      <c r="H679" t="s">
        <v>21</v>
      </c>
      <c r="I679" t="s">
        <v>46</v>
      </c>
      <c r="J679" t="s">
        <v>93</v>
      </c>
      <c r="K679" t="s">
        <v>53</v>
      </c>
      <c r="L679" t="s">
        <v>171</v>
      </c>
      <c r="M679" t="s">
        <v>172</v>
      </c>
      <c r="N679" t="s">
        <v>40</v>
      </c>
      <c r="O679" t="s">
        <v>65</v>
      </c>
      <c r="P679" t="s">
        <v>2076</v>
      </c>
      <c r="Q679" t="s">
        <v>43</v>
      </c>
      <c r="R679">
        <v>7</v>
      </c>
      <c r="S679" s="15">
        <v>2623.48</v>
      </c>
      <c r="T679" s="4">
        <v>0</v>
      </c>
      <c r="U679" s="3" t="str">
        <f>IF(T679&lt;0, "negative_discount", IF(AND(T679&gt;0.5, T679&lt;=1), "high_discount", ""))</f>
        <v/>
      </c>
      <c r="V679" s="11">
        <v>18364.36</v>
      </c>
      <c r="W679" s="12">
        <v>18364.36</v>
      </c>
      <c r="X679" s="11">
        <v>15445.81</v>
      </c>
      <c r="Y679" s="11">
        <v>2918.55</v>
      </c>
      <c r="Z679" s="11">
        <f>ROUND(W679-X679,2)</f>
        <v>2918.55</v>
      </c>
      <c r="AA679" s="4">
        <f>IF(W679=0,0,Z679/W679)</f>
        <v>0.15892467801763852</v>
      </c>
      <c r="AB679" t="s">
        <v>31</v>
      </c>
      <c r="AC679" t="s">
        <v>32</v>
      </c>
      <c r="AD679" t="str">
        <f>IF(AND(E679="", T679&gt;=0, T679&lt;=0.5, K679&lt;&gt;"Unknown", Q679&lt;&gt;"Unknown"), "CLEAN", _xlfn.CONCAT("WARNING: ", IF(E679&lt;&gt;"","invalid_date",""), IF(T679&lt;0,"negative_discount",""), IF(AND(T679&gt;0.5,T679&lt;=1),"high_discount",""), IF(K679="Unknown","missing_region",""), IF(Q679="Unknown","missing_ship_mode","")))</f>
        <v>CLEAN</v>
      </c>
      <c r="AE679" t="str">
        <f>IF(COUNTIF($AF$2:$AF$926,AF679)&gt;1,"DUPLICATE","UNIQUE")</f>
        <v>UNIQUE</v>
      </c>
      <c r="AF679" t="str">
        <f>A679&amp;"|"&amp;B679&amp;"|"&amp;H679&amp;"|"&amp;I679&amp;"|"&amp;R679&amp;"|"&amp;S679&amp;"|"&amp;V679</f>
        <v>ORD-2024-10678|2024-06-22|CUST-4655|Isha Nair|7|2623.48|18364.36</v>
      </c>
      <c r="AG679" t="str">
        <f>IF(COUNTIF($A$2:$A$913,A679)&gt;1,"TRUE","FALSE")</f>
        <v>FALSE</v>
      </c>
    </row>
    <row r="680" spans="1:33">
      <c r="A680" t="s">
        <v>2077</v>
      </c>
      <c r="B680" t="s">
        <v>2861</v>
      </c>
      <c r="C680" t="s">
        <v>2890</v>
      </c>
      <c r="D680">
        <f>IF(OR(B680="", C680=""), "", (C680 - B680))</f>
        <v>7</v>
      </c>
      <c r="E680" t="str">
        <f>IF(C680&lt;B680, "INVALID: Ship date before order date", "")</f>
        <v/>
      </c>
      <c r="F680" t="str">
        <f>IF(B680="", "", TEXT(B680, "mmmm"))</f>
        <v>November</v>
      </c>
      <c r="G680">
        <f>IF(B680="", "", YEAR(B680))</f>
        <v>2024</v>
      </c>
      <c r="H680" t="s">
        <v>2078</v>
      </c>
      <c r="I680" t="s">
        <v>263</v>
      </c>
      <c r="J680" t="s">
        <v>89</v>
      </c>
      <c r="K680" t="s">
        <v>53</v>
      </c>
      <c r="L680" t="s">
        <v>171</v>
      </c>
      <c r="M680" t="s">
        <v>172</v>
      </c>
      <c r="N680" t="s">
        <v>40</v>
      </c>
      <c r="O680" t="s">
        <v>41</v>
      </c>
      <c r="P680" t="s">
        <v>2079</v>
      </c>
      <c r="Q680" t="s">
        <v>30</v>
      </c>
      <c r="R680">
        <v>9</v>
      </c>
      <c r="S680" s="15">
        <v>2763.61</v>
      </c>
      <c r="T680" s="4">
        <v>0.15</v>
      </c>
      <c r="U680" s="3" t="str">
        <f>IF(T680&lt;0, "negative_discount", IF(AND(T680&gt;0.5, T680&lt;=1), "high_discount", ""))</f>
        <v/>
      </c>
      <c r="V680" s="11">
        <v>21141.62</v>
      </c>
      <c r="W680" s="12">
        <v>21141.62</v>
      </c>
      <c r="X680" s="11">
        <v>11676.33</v>
      </c>
      <c r="Y680" s="11">
        <v>9465.2900000000009</v>
      </c>
      <c r="Z680" s="11">
        <f>ROUND(W680-X680,2)</f>
        <v>9465.2900000000009</v>
      </c>
      <c r="AA680" s="4">
        <f>IF(W680=0,0,Z680/W680)</f>
        <v>0.44770883215193547</v>
      </c>
      <c r="AB680" t="s">
        <v>31</v>
      </c>
      <c r="AC680" t="s">
        <v>32</v>
      </c>
      <c r="AD680" t="str">
        <f>IF(AND(E680="", T680&gt;=0, T680&lt;=0.5, K680&lt;&gt;"Unknown", Q680&lt;&gt;"Unknown"), "CLEAN", _xlfn.CONCAT("WARNING: ", IF(E680&lt;&gt;"","invalid_date",""), IF(T680&lt;0,"negative_discount",""), IF(AND(T680&gt;0.5,T680&lt;=1),"high_discount",""), IF(K680="Unknown","missing_region",""), IF(Q680="Unknown","missing_ship_mode","")))</f>
        <v>CLEAN</v>
      </c>
      <c r="AE680" t="str">
        <f>IF(COUNTIF($AF$2:$AF$926,AF680)&gt;1,"DUPLICATE","UNIQUE")</f>
        <v>UNIQUE</v>
      </c>
      <c r="AF680" t="str">
        <f>A680&amp;"|"&amp;B680&amp;"|"&amp;H680&amp;"|"&amp;I680&amp;"|"&amp;R680&amp;"|"&amp;S680&amp;"|"&amp;V680</f>
        <v>ORD-2024-10679|2024-11-24|CUST-1674|Kabir Singh|9|2763.61|21141.62</v>
      </c>
      <c r="AG680" t="str">
        <f>IF(COUNTIF($A$2:$A$913,A680)&gt;1,"TRUE","FALSE")</f>
        <v>FALSE</v>
      </c>
    </row>
    <row r="681" spans="1:33">
      <c r="A681" t="s">
        <v>3281</v>
      </c>
      <c r="B681" t="s">
        <v>1200</v>
      </c>
      <c r="C681" t="s">
        <v>1307</v>
      </c>
      <c r="D681">
        <f>IF(OR(B681="", C681=""), "", (C681 - B681))</f>
        <v>7</v>
      </c>
      <c r="E681" t="str">
        <f>IF(C681&lt;B681, "INVALID: Ship date before order date", "")</f>
        <v/>
      </c>
      <c r="F681" t="str">
        <f>IF(B681="", "", TEXT(B681, "mmmm"))</f>
        <v>August</v>
      </c>
      <c r="G681">
        <f>IF(B681="", "", YEAR(B681))</f>
        <v>2025</v>
      </c>
      <c r="H681" t="s">
        <v>2080</v>
      </c>
      <c r="I681" t="s">
        <v>139</v>
      </c>
      <c r="J681" t="s">
        <v>89</v>
      </c>
      <c r="K681" t="s">
        <v>24</v>
      </c>
      <c r="L681" t="s">
        <v>120</v>
      </c>
      <c r="M681" t="s">
        <v>121</v>
      </c>
      <c r="N681" t="s">
        <v>74</v>
      </c>
      <c r="O681" t="s">
        <v>79</v>
      </c>
      <c r="P681" t="s">
        <v>2081</v>
      </c>
      <c r="Q681" t="s">
        <v>43</v>
      </c>
      <c r="R681">
        <v>4</v>
      </c>
      <c r="S681" s="15">
        <v>1410.57</v>
      </c>
      <c r="T681" s="4">
        <v>0.7</v>
      </c>
      <c r="U681" s="3" t="str">
        <f>IF(T681&lt;0, "negative_discount", IF(AND(T681&gt;0.5, T681&lt;=1), "high_discount", ""))</f>
        <v>high_discount</v>
      </c>
      <c r="V681" s="11">
        <v>5360.17</v>
      </c>
      <c r="W681" s="12">
        <v>1692.68</v>
      </c>
      <c r="X681" s="11">
        <v>3881.51</v>
      </c>
      <c r="Y681" s="11">
        <v>1478.66</v>
      </c>
      <c r="Z681" s="11">
        <f>ROUND(W681-X681,2)</f>
        <v>-2188.83</v>
      </c>
      <c r="AA681" s="4">
        <f>IF(W681=0,0,Z681/W681)</f>
        <v>-1.2931150601413142</v>
      </c>
      <c r="AB681" t="s">
        <v>99</v>
      </c>
      <c r="AC681" t="s">
        <v>67</v>
      </c>
      <c r="AD681" t="str">
        <f>IF(AND(E681="", T681&gt;=0, T681&lt;=0.5, K681&lt;&gt;"Unknown", Q681&lt;&gt;"Unknown"), "CLEAN", _xlfn.CONCAT("WARNING: ", IF(E681&lt;&gt;"","invalid_date",""), IF(T681&lt;0,"negative_discount",""), IF(AND(T681&gt;0.5,T681&lt;=1),"high_discount",""), IF(K681="Unknown","missing_region",""), IF(Q681="Unknown","missing_ship_mode","")))</f>
        <v>WARNING: high_discount</v>
      </c>
      <c r="AE681" t="str">
        <f>IF(COUNTIF($AF$2:$AF$926,AF681)&gt;1,"DUPLICATE","UNIQUE")</f>
        <v>UNIQUE</v>
      </c>
      <c r="AF681" t="str">
        <f>A681&amp;"|"&amp;B681&amp;"|"&amp;H681&amp;"|"&amp;I681&amp;"|"&amp;R681&amp;"|"&amp;S681&amp;"|"&amp;V681</f>
        <v>ORD-2025-10680|2025-08-16|CUST-2897|Rohan Mehta|4|1410.57|5360.17</v>
      </c>
      <c r="AG681" t="str">
        <f>IF(COUNTIF($A$2:$A$913,A681)&gt;1,"TRUE","FALSE")</f>
        <v>FALSE</v>
      </c>
    </row>
    <row r="682" spans="1:33">
      <c r="A682" t="s">
        <v>2082</v>
      </c>
      <c r="B682" t="s">
        <v>1838</v>
      </c>
      <c r="C682" t="s">
        <v>2704</v>
      </c>
      <c r="D682">
        <f>IF(OR(B682="", C682=""), "", (C682 - B682))</f>
        <v>7</v>
      </c>
      <c r="E682" t="str">
        <f>IF(C682&lt;B682, "INVALID: Ship date before order date", "")</f>
        <v/>
      </c>
      <c r="F682" t="str">
        <f>IF(B682="", "", TEXT(B682, "mmmm"))</f>
        <v>May</v>
      </c>
      <c r="G682">
        <f>IF(B682="", "", YEAR(B682))</f>
        <v>2024</v>
      </c>
      <c r="H682" t="s">
        <v>2083</v>
      </c>
      <c r="I682" t="s">
        <v>263</v>
      </c>
      <c r="J682" t="s">
        <v>89</v>
      </c>
      <c r="K682" t="s">
        <v>53</v>
      </c>
      <c r="L682" t="s">
        <v>246</v>
      </c>
      <c r="M682" t="s">
        <v>247</v>
      </c>
      <c r="N682" t="s">
        <v>74</v>
      </c>
      <c r="O682" t="s">
        <v>75</v>
      </c>
      <c r="P682" t="s">
        <v>2084</v>
      </c>
      <c r="Q682" t="s">
        <v>49</v>
      </c>
      <c r="R682">
        <v>4</v>
      </c>
      <c r="S682" s="15">
        <v>3700.24</v>
      </c>
      <c r="T682" s="4">
        <v>0</v>
      </c>
      <c r="U682" s="3" t="str">
        <f>IF(T682&lt;0, "negative_discount", IF(AND(T682&gt;0.5, T682&lt;=1), "high_discount", ""))</f>
        <v/>
      </c>
      <c r="V682" s="11">
        <v>14800.96</v>
      </c>
      <c r="W682" s="12">
        <v>14800.96</v>
      </c>
      <c r="X682" s="11">
        <v>12048.39</v>
      </c>
      <c r="Y682" s="11">
        <v>2752.57</v>
      </c>
      <c r="Z682" s="11">
        <f>ROUND(W682-X682,2)</f>
        <v>2752.57</v>
      </c>
      <c r="AA682" s="4">
        <f>IF(W682=0,0,Z682/W682)</f>
        <v>0.18597239638509935</v>
      </c>
      <c r="AB682" t="s">
        <v>31</v>
      </c>
      <c r="AC682" t="s">
        <v>32</v>
      </c>
      <c r="AD682" t="str">
        <f>IF(AND(E682="", T682&gt;=0, T682&lt;=0.5, K682&lt;&gt;"Unknown", Q682&lt;&gt;"Unknown"), "CLEAN", _xlfn.CONCAT("WARNING: ", IF(E682&lt;&gt;"","invalid_date",""), IF(T682&lt;0,"negative_discount",""), IF(AND(T682&gt;0.5,T682&lt;=1),"high_discount",""), IF(K682="Unknown","missing_region",""), IF(Q682="Unknown","missing_ship_mode","")))</f>
        <v>CLEAN</v>
      </c>
      <c r="AE682" t="str">
        <f>IF(COUNTIF($AF$2:$AF$926,AF682)&gt;1,"DUPLICATE","UNIQUE")</f>
        <v>UNIQUE</v>
      </c>
      <c r="AF682" t="str">
        <f>A682&amp;"|"&amp;B682&amp;"|"&amp;H682&amp;"|"&amp;I682&amp;"|"&amp;R682&amp;"|"&amp;S682&amp;"|"&amp;V682</f>
        <v>ORD-2024-10681|2024-05-29|CUST-1136|Kabir Singh|4|3700.24|14800.96</v>
      </c>
      <c r="AG682" t="str">
        <f>IF(COUNTIF($A$2:$A$913,A682)&gt;1,"TRUE","FALSE")</f>
        <v>FALSE</v>
      </c>
    </row>
    <row r="683" spans="1:33">
      <c r="A683" t="s">
        <v>2085</v>
      </c>
      <c r="B683" t="s">
        <v>2761</v>
      </c>
      <c r="C683" t="s">
        <v>2086</v>
      </c>
      <c r="D683">
        <f>IF(OR(B683="", C683=""), "", (C683 - B683))</f>
        <v>6</v>
      </c>
      <c r="E683" t="str">
        <f>IF(C683&lt;B683, "INVALID: Ship date before order date", "")</f>
        <v/>
      </c>
      <c r="F683" t="str">
        <f>IF(B683="", "", TEXT(B683, "mmmm"))</f>
        <v>July</v>
      </c>
      <c r="G683">
        <f>IF(B683="", "", YEAR(B683))</f>
        <v>2024</v>
      </c>
      <c r="H683" t="s">
        <v>2087</v>
      </c>
      <c r="I683" t="s">
        <v>71</v>
      </c>
      <c r="J683" t="s">
        <v>89</v>
      </c>
      <c r="K683" t="s">
        <v>24</v>
      </c>
      <c r="L683" t="s">
        <v>353</v>
      </c>
      <c r="M683" t="s">
        <v>354</v>
      </c>
      <c r="N683" t="s">
        <v>40</v>
      </c>
      <c r="O683" t="s">
        <v>41</v>
      </c>
      <c r="P683" t="s">
        <v>2088</v>
      </c>
      <c r="Q683" t="s">
        <v>30</v>
      </c>
      <c r="R683">
        <v>5</v>
      </c>
      <c r="S683" s="15">
        <v>1200.27</v>
      </c>
      <c r="T683" s="4">
        <v>0</v>
      </c>
      <c r="U683" s="3" t="str">
        <f>IF(T683&lt;0, "negative_discount", IF(AND(T683&gt;0.5, T683&lt;=1), "high_discount", ""))</f>
        <v/>
      </c>
      <c r="V683" s="11">
        <v>6001.35</v>
      </c>
      <c r="W683" s="12">
        <v>6001.35</v>
      </c>
      <c r="X683" s="11">
        <v>4182.99</v>
      </c>
      <c r="Y683" s="11">
        <v>1818.36</v>
      </c>
      <c r="Z683" s="11">
        <f>ROUND(W683-X683,2)</f>
        <v>1818.36</v>
      </c>
      <c r="AA683" s="4">
        <f>IF(W683=0,0,Z683/W683)</f>
        <v>0.3029918268389612</v>
      </c>
      <c r="AB683" t="s">
        <v>31</v>
      </c>
      <c r="AC683" t="s">
        <v>67</v>
      </c>
      <c r="AD683" t="str">
        <f>IF(AND(E683="", T683&gt;=0, T683&lt;=0.5, K683&lt;&gt;"Unknown", Q683&lt;&gt;"Unknown"), "CLEAN", _xlfn.CONCAT("WARNING: ", IF(E683&lt;&gt;"","invalid_date",""), IF(T683&lt;0,"negative_discount",""), IF(AND(T683&gt;0.5,T683&lt;=1),"high_discount",""), IF(K683="Unknown","missing_region",""), IF(Q683="Unknown","missing_ship_mode","")))</f>
        <v>CLEAN</v>
      </c>
      <c r="AE683" t="str">
        <f>IF(COUNTIF($AF$2:$AF$926,AF683)&gt;1,"DUPLICATE","UNIQUE")</f>
        <v>UNIQUE</v>
      </c>
      <c r="AF683" t="str">
        <f>A683&amp;"|"&amp;B683&amp;"|"&amp;H683&amp;"|"&amp;I683&amp;"|"&amp;R683&amp;"|"&amp;S683&amp;"|"&amp;V683</f>
        <v>ORD-2024-10682|2024-07-04|CUST-1376|Vikram Iyer|5|1200.27|6001.35</v>
      </c>
      <c r="AG683" t="str">
        <f>IF(COUNTIF($A$2:$A$913,A683)&gt;1,"TRUE","FALSE")</f>
        <v>FALSE</v>
      </c>
    </row>
    <row r="684" spans="1:33">
      <c r="A684" t="s">
        <v>3282</v>
      </c>
      <c r="B684" t="s">
        <v>198</v>
      </c>
      <c r="C684" t="s">
        <v>2708</v>
      </c>
      <c r="D684">
        <f>IF(OR(B684="", C684=""), "", (C684 - B684))</f>
        <v>86</v>
      </c>
      <c r="E684" t="str">
        <f>IF(C684&lt;B684, "INVALID: Ship date before order date", "")</f>
        <v/>
      </c>
      <c r="F684" t="str">
        <f>IF(B684="", "", TEXT(B684, "mmmm"))</f>
        <v>February</v>
      </c>
      <c r="G684">
        <f>IF(B684="", "", YEAR(B684))</f>
        <v>2025</v>
      </c>
      <c r="H684" t="s">
        <v>2089</v>
      </c>
      <c r="I684" t="s">
        <v>61</v>
      </c>
      <c r="J684" t="s">
        <v>89</v>
      </c>
      <c r="K684" t="s">
        <v>24</v>
      </c>
      <c r="L684" t="s">
        <v>234</v>
      </c>
      <c r="M684" t="s">
        <v>235</v>
      </c>
      <c r="N684" t="s">
        <v>27</v>
      </c>
      <c r="O684" t="s">
        <v>122</v>
      </c>
      <c r="P684" t="s">
        <v>2090</v>
      </c>
      <c r="Q684" t="s">
        <v>43</v>
      </c>
      <c r="R684">
        <v>3</v>
      </c>
      <c r="S684" s="15">
        <v>2590.7800000000002</v>
      </c>
      <c r="T684" s="4">
        <v>0</v>
      </c>
      <c r="U684" s="3" t="str">
        <f>IF(T684&lt;0, "negative_discount", IF(AND(T684&gt;0.5, T684&lt;=1), "high_discount", ""))</f>
        <v/>
      </c>
      <c r="V684" s="11">
        <v>7383.72</v>
      </c>
      <c r="W684" s="12">
        <v>7772.34</v>
      </c>
      <c r="X684" s="11">
        <v>4113.66</v>
      </c>
      <c r="Y684" s="11">
        <v>3270.06</v>
      </c>
      <c r="Z684" s="11">
        <f>ROUND(W684-X684,2)</f>
        <v>3658.68</v>
      </c>
      <c r="AA684" s="4">
        <f>IF(W684=0,0,Z684/W684)</f>
        <v>0.47073082237781672</v>
      </c>
      <c r="AB684" t="s">
        <v>31</v>
      </c>
      <c r="AC684" t="s">
        <v>32</v>
      </c>
      <c r="AD684" t="str">
        <f>IF(AND(E684="", T684&gt;=0, T684&lt;=0.5, K684&lt;&gt;"Unknown", Q684&lt;&gt;"Unknown"), "CLEAN", _xlfn.CONCAT("WARNING: ", IF(E684&lt;&gt;"","invalid_date",""), IF(T684&lt;0,"negative_discount",""), IF(AND(T684&gt;0.5,T684&lt;=1),"high_discount",""), IF(K684="Unknown","missing_region",""), IF(Q684="Unknown","missing_ship_mode","")))</f>
        <v>CLEAN</v>
      </c>
      <c r="AE684" t="str">
        <f>IF(COUNTIF($AF$2:$AF$926,AF684)&gt;1,"DUPLICATE","UNIQUE")</f>
        <v>UNIQUE</v>
      </c>
      <c r="AF684" t="str">
        <f>A684&amp;"|"&amp;B684&amp;"|"&amp;H684&amp;"|"&amp;I684&amp;"|"&amp;R684&amp;"|"&amp;S684&amp;"|"&amp;V684</f>
        <v>ORD-2025-10683|2025-02-05|CUST-1553|Ananya Rao|3|2590.78|7383.72</v>
      </c>
      <c r="AG684" t="str">
        <f>IF(COUNTIF($A$2:$A$913,A684)&gt;1,"TRUE","FALSE")</f>
        <v>FALSE</v>
      </c>
    </row>
    <row r="685" spans="1:33">
      <c r="A685" t="s">
        <v>3283</v>
      </c>
      <c r="B685" t="s">
        <v>2091</v>
      </c>
      <c r="C685" t="s">
        <v>595</v>
      </c>
      <c r="D685">
        <f>IF(OR(B685="", C685=""), "", (C685 - B685))</f>
        <v>4</v>
      </c>
      <c r="E685" t="str">
        <f>IF(C685&lt;B685, "INVALID: Ship date before order date", "")</f>
        <v/>
      </c>
      <c r="F685" t="str">
        <f>IF(B685="", "", TEXT(B685, "mmmm"))</f>
        <v>July</v>
      </c>
      <c r="G685">
        <f>IF(B685="", "", YEAR(B685))</f>
        <v>2025</v>
      </c>
      <c r="H685" t="s">
        <v>2092</v>
      </c>
      <c r="I685" t="s">
        <v>52</v>
      </c>
      <c r="J685" t="s">
        <v>36</v>
      </c>
      <c r="K685" t="s">
        <v>53</v>
      </c>
      <c r="L685" t="s">
        <v>54</v>
      </c>
      <c r="M685" t="s">
        <v>55</v>
      </c>
      <c r="N685" t="s">
        <v>40</v>
      </c>
      <c r="O685" t="s">
        <v>56</v>
      </c>
      <c r="P685" t="s">
        <v>2093</v>
      </c>
      <c r="Q685" t="s">
        <v>30</v>
      </c>
      <c r="R685">
        <v>6</v>
      </c>
      <c r="S685" s="15">
        <v>1646.45</v>
      </c>
      <c r="T685" s="4">
        <v>0.2</v>
      </c>
      <c r="U685" s="3" t="str">
        <f>IF(T685&lt;0, "negative_discount", IF(AND(T685&gt;0.5, T685&lt;=1), "high_discount", ""))</f>
        <v/>
      </c>
      <c r="V685" s="11">
        <v>7902.96</v>
      </c>
      <c r="W685" s="12">
        <v>7902.96</v>
      </c>
      <c r="X685" s="11">
        <v>5512.03</v>
      </c>
      <c r="Y685" s="11">
        <v>2390.9299999999998</v>
      </c>
      <c r="Z685" s="11">
        <f>ROUND(W685-X685,2)</f>
        <v>2390.9299999999998</v>
      </c>
      <c r="AA685" s="4">
        <f>IF(W685=0,0,Z685/W685)</f>
        <v>0.30253601182341805</v>
      </c>
      <c r="AB685" t="s">
        <v>99</v>
      </c>
      <c r="AC685" t="s">
        <v>67</v>
      </c>
      <c r="AD685" t="str">
        <f>IF(AND(E685="", T685&gt;=0, T685&lt;=0.5, K685&lt;&gt;"Unknown", Q685&lt;&gt;"Unknown"), "CLEAN", _xlfn.CONCAT("WARNING: ", IF(E685&lt;&gt;"","invalid_date",""), IF(T685&lt;0,"negative_discount",""), IF(AND(T685&gt;0.5,T685&lt;=1),"high_discount",""), IF(K685="Unknown","missing_region",""), IF(Q685="Unknown","missing_ship_mode","")))</f>
        <v>CLEAN</v>
      </c>
      <c r="AE685" t="str">
        <f>IF(COUNTIF($AF$2:$AF$926,AF685)&gt;1,"DUPLICATE","UNIQUE")</f>
        <v>UNIQUE</v>
      </c>
      <c r="AF685" t="str">
        <f>A685&amp;"|"&amp;B685&amp;"|"&amp;H685&amp;"|"&amp;I685&amp;"|"&amp;R685&amp;"|"&amp;S685&amp;"|"&amp;V685</f>
        <v>ORD-2025-10684|2025-07-20|CUST-5704|Arjun Bose|6|1646.45|7902.96</v>
      </c>
      <c r="AG685" t="str">
        <f>IF(COUNTIF($A$2:$A$913,A685)&gt;1,"TRUE","FALSE")</f>
        <v>FALSE</v>
      </c>
    </row>
    <row r="686" spans="1:33">
      <c r="A686" t="s">
        <v>3284</v>
      </c>
      <c r="B686" t="s">
        <v>2094</v>
      </c>
      <c r="C686" t="s">
        <v>2094</v>
      </c>
      <c r="D686">
        <f>IF(OR(B686="", C686=""), "", (C686 - B686))</f>
        <v>0</v>
      </c>
      <c r="E686" t="str">
        <f>IF(C686&lt;B686, "INVALID: Ship date before order date", "")</f>
        <v/>
      </c>
      <c r="F686" t="str">
        <f>IF(B686="", "", TEXT(B686, "mmmm"))</f>
        <v>July</v>
      </c>
      <c r="G686">
        <f>IF(B686="", "", YEAR(B686))</f>
        <v>2025</v>
      </c>
      <c r="H686" t="s">
        <v>2095</v>
      </c>
      <c r="I686" t="s">
        <v>46</v>
      </c>
      <c r="J686" t="s">
        <v>93</v>
      </c>
      <c r="K686" t="s">
        <v>53</v>
      </c>
      <c r="L686" t="s">
        <v>246</v>
      </c>
      <c r="M686" t="s">
        <v>247</v>
      </c>
      <c r="N686" t="s">
        <v>40</v>
      </c>
      <c r="O686" t="s">
        <v>153</v>
      </c>
      <c r="P686" t="s">
        <v>2096</v>
      </c>
      <c r="Q686" t="s">
        <v>49</v>
      </c>
      <c r="R686">
        <v>7</v>
      </c>
      <c r="S686" s="15">
        <v>4396.6499999999996</v>
      </c>
      <c r="T686" s="4">
        <v>0.2</v>
      </c>
      <c r="U686" s="3" t="str">
        <f>IF(T686&lt;0, "negative_discount", IF(AND(T686&gt;0.5, T686&lt;=1), "high_discount", ""))</f>
        <v/>
      </c>
      <c r="V686" s="11">
        <v>24621.24</v>
      </c>
      <c r="W686" s="12">
        <v>24621.24</v>
      </c>
      <c r="X686" s="11">
        <v>17155.48</v>
      </c>
      <c r="Y686" s="11">
        <v>7465.76</v>
      </c>
      <c r="Z686" s="11">
        <f>ROUND(W686-X686,2)</f>
        <v>7465.76</v>
      </c>
      <c r="AA686" s="4">
        <f>IF(W686=0,0,Z686/W686)</f>
        <v>0.3032243705028666</v>
      </c>
      <c r="AB686" t="s">
        <v>99</v>
      </c>
      <c r="AC686" t="s">
        <v>67</v>
      </c>
      <c r="AD686" t="str">
        <f>IF(AND(E686="", T686&gt;=0, T686&lt;=0.5, K686&lt;&gt;"Unknown", Q686&lt;&gt;"Unknown"), "CLEAN", _xlfn.CONCAT("WARNING: ", IF(E686&lt;&gt;"","invalid_date",""), IF(T686&lt;0,"negative_discount",""), IF(AND(T686&gt;0.5,T686&lt;=1),"high_discount",""), IF(K686="Unknown","missing_region",""), IF(Q686="Unknown","missing_ship_mode","")))</f>
        <v>CLEAN</v>
      </c>
      <c r="AE686" t="str">
        <f>IF(COUNTIF($AF$2:$AF$926,AF686)&gt;1,"DUPLICATE","UNIQUE")</f>
        <v>UNIQUE</v>
      </c>
      <c r="AF686" t="str">
        <f>A686&amp;"|"&amp;B686&amp;"|"&amp;H686&amp;"|"&amp;I686&amp;"|"&amp;R686&amp;"|"&amp;S686&amp;"|"&amp;V686</f>
        <v>ORD-2025-10685|2025-07-21|CUST-6738|Isha Nair|7|4396.65|24621.24</v>
      </c>
      <c r="AG686" t="str">
        <f>IF(COUNTIF($A$2:$A$913,A686)&gt;1,"TRUE","FALSE")</f>
        <v>FALSE</v>
      </c>
    </row>
    <row r="687" spans="1:33">
      <c r="A687" t="s">
        <v>3285</v>
      </c>
      <c r="B687" t="s">
        <v>2862</v>
      </c>
      <c r="C687" t="s">
        <v>346</v>
      </c>
      <c r="D687">
        <f>IF(OR(B687="", C687=""), "", (C687 - B687))</f>
        <v>2</v>
      </c>
      <c r="E687" t="str">
        <f>IF(C687&lt;B687, "INVALID: Ship date before order date", "")</f>
        <v/>
      </c>
      <c r="F687" t="str">
        <f>IF(B687="", "", TEXT(B687, "mmmm"))</f>
        <v>October</v>
      </c>
      <c r="G687">
        <f>IF(B687="", "", YEAR(B687))</f>
        <v>2025</v>
      </c>
      <c r="H687" t="s">
        <v>1781</v>
      </c>
      <c r="I687" t="s">
        <v>78</v>
      </c>
      <c r="J687" t="s">
        <v>89</v>
      </c>
      <c r="K687" t="s">
        <v>62</v>
      </c>
      <c r="L687" t="s">
        <v>185</v>
      </c>
      <c r="M687" t="s">
        <v>186</v>
      </c>
      <c r="N687" t="s">
        <v>27</v>
      </c>
      <c r="O687" t="s">
        <v>47</v>
      </c>
      <c r="P687" t="s">
        <v>2097</v>
      </c>
      <c r="Q687" t="s">
        <v>58</v>
      </c>
      <c r="R687">
        <v>9</v>
      </c>
      <c r="S687" s="15">
        <v>818.15</v>
      </c>
      <c r="T687" s="4">
        <v>0.55000000000000004</v>
      </c>
      <c r="U687" s="3" t="str">
        <f>IF(T687&lt;0, "negative_discount", IF(AND(T687&gt;0.5, T687&lt;=1), "high_discount", ""))</f>
        <v>high_discount</v>
      </c>
      <c r="V687" s="11">
        <v>6627.01</v>
      </c>
      <c r="W687" s="12">
        <v>3313.51</v>
      </c>
      <c r="X687" s="11">
        <v>5606.79</v>
      </c>
      <c r="Y687" s="11">
        <v>1020.22</v>
      </c>
      <c r="Z687" s="11">
        <f>ROUND(W687-X687,2)</f>
        <v>-2293.2800000000002</v>
      </c>
      <c r="AA687" s="4">
        <f>IF(W687=0,0,Z687/W687)</f>
        <v>-0.69209991821361638</v>
      </c>
      <c r="AB687" t="s">
        <v>151</v>
      </c>
      <c r="AC687" t="s">
        <v>67</v>
      </c>
      <c r="AD687" t="str">
        <f>IF(AND(E687="", T687&gt;=0, T687&lt;=0.5, K687&lt;&gt;"Unknown", Q687&lt;&gt;"Unknown"), "CLEAN", _xlfn.CONCAT("WARNING: ", IF(E687&lt;&gt;"","invalid_date",""), IF(T687&lt;0,"negative_discount",""), IF(AND(T687&gt;0.5,T687&lt;=1),"high_discount",""), IF(K687="Unknown","missing_region",""), IF(Q687="Unknown","missing_ship_mode","")))</f>
        <v>WARNING: high_discount</v>
      </c>
      <c r="AE687" t="str">
        <f>IF(COUNTIF($AF$2:$AF$926,AF687)&gt;1,"DUPLICATE","UNIQUE")</f>
        <v>UNIQUE</v>
      </c>
      <c r="AF687" t="str">
        <f>A687&amp;"|"&amp;B687&amp;"|"&amp;H687&amp;"|"&amp;I687&amp;"|"&amp;R687&amp;"|"&amp;S687&amp;"|"&amp;V687</f>
        <v>ORD-2025-10686|2025-10-01|CUST-2586|Neha Gupta|9|818.15|6627.01</v>
      </c>
      <c r="AG687" t="str">
        <f>IF(COUNTIF($A$2:$A$913,A687)&gt;1,"TRUE","FALSE")</f>
        <v>FALSE</v>
      </c>
    </row>
    <row r="688" spans="1:33">
      <c r="A688" t="s">
        <v>2098</v>
      </c>
      <c r="B688" t="s">
        <v>2268</v>
      </c>
      <c r="C688" t="s">
        <v>660</v>
      </c>
      <c r="D688">
        <f>IF(OR(B688="", C688=""), "", (C688 - B688))</f>
        <v>8</v>
      </c>
      <c r="E688" t="str">
        <f>IF(C688&lt;B688, "INVALID: Ship date before order date", "")</f>
        <v/>
      </c>
      <c r="F688" t="str">
        <f>IF(B688="", "", TEXT(B688, "mmmm"))</f>
        <v>March</v>
      </c>
      <c r="G688">
        <f>IF(B688="", "", YEAR(B688))</f>
        <v>2024</v>
      </c>
      <c r="H688" t="s">
        <v>2099</v>
      </c>
      <c r="I688" t="s">
        <v>131</v>
      </c>
      <c r="J688" t="s">
        <v>93</v>
      </c>
      <c r="K688" t="s">
        <v>53</v>
      </c>
      <c r="L688" t="s">
        <v>246</v>
      </c>
      <c r="M688" t="s">
        <v>247</v>
      </c>
      <c r="N688" t="s">
        <v>74</v>
      </c>
      <c r="O688" t="s">
        <v>79</v>
      </c>
      <c r="P688" t="s">
        <v>2100</v>
      </c>
      <c r="Q688" t="s">
        <v>58</v>
      </c>
      <c r="R688">
        <v>2</v>
      </c>
      <c r="S688" s="15">
        <v>2349.13</v>
      </c>
      <c r="T688" s="4">
        <v>0</v>
      </c>
      <c r="U688" s="3" t="str">
        <f>IF(T688&lt;0, "negative_discount", IF(AND(T688&gt;0.5, T688&lt;=1), "high_discount", ""))</f>
        <v/>
      </c>
      <c r="V688" s="11">
        <v>4698.26</v>
      </c>
      <c r="W688" s="12">
        <v>4698.26</v>
      </c>
      <c r="X688" s="11">
        <v>2654.92</v>
      </c>
      <c r="Y688" s="11">
        <v>2043.34</v>
      </c>
      <c r="Z688" s="11">
        <f>ROUND(W688-X688,2)</f>
        <v>2043.34</v>
      </c>
      <c r="AA688" s="4">
        <f>IF(W688=0,0,Z688/W688)</f>
        <v>0.43491420227914163</v>
      </c>
      <c r="AB688" t="s">
        <v>31</v>
      </c>
      <c r="AC688" t="s">
        <v>32</v>
      </c>
      <c r="AD688" t="str">
        <f>IF(AND(E688="", T688&gt;=0, T688&lt;=0.5, K688&lt;&gt;"Unknown", Q688&lt;&gt;"Unknown"), "CLEAN", _xlfn.CONCAT("WARNING: ", IF(E688&lt;&gt;"","invalid_date",""), IF(T688&lt;0,"negative_discount",""), IF(AND(T688&gt;0.5,T688&lt;=1),"high_discount",""), IF(K688="Unknown","missing_region",""), IF(Q688="Unknown","missing_ship_mode","")))</f>
        <v>CLEAN</v>
      </c>
      <c r="AE688" t="str">
        <f>IF(COUNTIF($AF$2:$AF$926,AF688)&gt;1,"DUPLICATE","UNIQUE")</f>
        <v>UNIQUE</v>
      </c>
      <c r="AF688" t="str">
        <f>A688&amp;"|"&amp;B688&amp;"|"&amp;H688&amp;"|"&amp;I688&amp;"|"&amp;R688&amp;"|"&amp;S688&amp;"|"&amp;V688</f>
        <v>ORD-2024-10687|2024-03-25|CUST-3127|Sneha Kapoor|2|2349.13|4698.26</v>
      </c>
      <c r="AG688" t="str">
        <f>IF(COUNTIF($A$2:$A$913,A688)&gt;1,"TRUE","FALSE")</f>
        <v>FALSE</v>
      </c>
    </row>
    <row r="689" spans="1:33">
      <c r="A689" t="s">
        <v>3286</v>
      </c>
      <c r="B689" t="s">
        <v>2415</v>
      </c>
      <c r="C689" t="s">
        <v>2192</v>
      </c>
      <c r="D689">
        <f>IF(OR(B689="", C689=""), "", (C689 - B689))</f>
        <v>5</v>
      </c>
      <c r="E689" t="str">
        <f>IF(C689&lt;B689, "INVALID: Ship date before order date", "")</f>
        <v/>
      </c>
      <c r="F689" t="str">
        <f>IF(B689="", "", TEXT(B689, "mmmm"))</f>
        <v>October</v>
      </c>
      <c r="G689">
        <f>IF(B689="", "", YEAR(B689))</f>
        <v>2025</v>
      </c>
      <c r="H689" t="s">
        <v>2101</v>
      </c>
      <c r="I689" t="s">
        <v>35</v>
      </c>
      <c r="J689" t="s">
        <v>93</v>
      </c>
      <c r="K689" t="s">
        <v>24</v>
      </c>
      <c r="L689" t="s">
        <v>120</v>
      </c>
      <c r="M689" t="s">
        <v>121</v>
      </c>
      <c r="N689" t="s">
        <v>40</v>
      </c>
      <c r="O689" t="s">
        <v>41</v>
      </c>
      <c r="P689" t="s">
        <v>2102</v>
      </c>
      <c r="Q689" t="s">
        <v>49</v>
      </c>
      <c r="R689">
        <v>4</v>
      </c>
      <c r="S689" s="15">
        <v>172.05</v>
      </c>
      <c r="T689" s="4">
        <v>0</v>
      </c>
      <c r="U689" s="3" t="str">
        <f>IF(T689&lt;0, "negative_discount", IF(AND(T689&gt;0.5, T689&lt;=1), "high_discount", ""))</f>
        <v/>
      </c>
      <c r="V689" s="11">
        <v>688.2</v>
      </c>
      <c r="W689" s="12">
        <v>688.2</v>
      </c>
      <c r="X689" s="11">
        <v>497.68</v>
      </c>
      <c r="Y689" s="11">
        <v>190.52</v>
      </c>
      <c r="Z689" s="11">
        <f>ROUND(W689-X689,2)</f>
        <v>190.52</v>
      </c>
      <c r="AA689" s="4">
        <f>IF(W689=0,0,Z689/W689)</f>
        <v>0.27683812845103167</v>
      </c>
      <c r="AB689" t="s">
        <v>151</v>
      </c>
      <c r="AC689" t="s">
        <v>67</v>
      </c>
      <c r="AD689" t="str">
        <f>IF(AND(E689="", T689&gt;=0, T689&lt;=0.5, K689&lt;&gt;"Unknown", Q689&lt;&gt;"Unknown"), "CLEAN", _xlfn.CONCAT("WARNING: ", IF(E689&lt;&gt;"","invalid_date",""), IF(T689&lt;0,"negative_discount",""), IF(AND(T689&gt;0.5,T689&lt;=1),"high_discount",""), IF(K689="Unknown","missing_region",""), IF(Q689="Unknown","missing_ship_mode","")))</f>
        <v>CLEAN</v>
      </c>
      <c r="AE689" t="str">
        <f>IF(COUNTIF($AF$2:$AF$926,AF689)&gt;1,"DUPLICATE","UNIQUE")</f>
        <v>UNIQUE</v>
      </c>
      <c r="AF689" t="str">
        <f>A689&amp;"|"&amp;B689&amp;"|"&amp;H689&amp;"|"&amp;I689&amp;"|"&amp;R689&amp;"|"&amp;S689&amp;"|"&amp;V689</f>
        <v>ORD-2025-10688|2025-10-08|CUST-9347|Mira Das|4|172.05|688.2</v>
      </c>
      <c r="AG689" t="str">
        <f>IF(COUNTIF($A$2:$A$913,A689)&gt;1,"TRUE","FALSE")</f>
        <v>FALSE</v>
      </c>
    </row>
    <row r="690" spans="1:33">
      <c r="A690" t="s">
        <v>3287</v>
      </c>
      <c r="B690" t="s">
        <v>2742</v>
      </c>
      <c r="C690" t="s">
        <v>1205</v>
      </c>
      <c r="D690">
        <f>IF(OR(B690="", C690=""), "", (C690 - B690))</f>
        <v>1</v>
      </c>
      <c r="E690" t="str">
        <f>IF(C690&lt;B690, "INVALID: Ship date before order date", "")</f>
        <v/>
      </c>
      <c r="F690" t="str">
        <f>IF(B690="", "", TEXT(B690, "mmmm"))</f>
        <v>February</v>
      </c>
      <c r="G690">
        <f>IF(B690="", "", YEAR(B690))</f>
        <v>2025</v>
      </c>
      <c r="H690" t="s">
        <v>2103</v>
      </c>
      <c r="I690" t="s">
        <v>78</v>
      </c>
      <c r="J690" t="s">
        <v>93</v>
      </c>
      <c r="K690" t="s">
        <v>24</v>
      </c>
      <c r="L690" t="s">
        <v>234</v>
      </c>
      <c r="M690" t="s">
        <v>235</v>
      </c>
      <c r="N690" t="s">
        <v>27</v>
      </c>
      <c r="O690" t="s">
        <v>47</v>
      </c>
      <c r="P690" t="s">
        <v>2104</v>
      </c>
      <c r="Q690" t="s">
        <v>30</v>
      </c>
      <c r="R690">
        <v>6</v>
      </c>
      <c r="S690" s="15">
        <v>3037.66</v>
      </c>
      <c r="T690" s="4">
        <v>0.15</v>
      </c>
      <c r="U690" s="3" t="str">
        <f>IF(T690&lt;0, "negative_discount", IF(AND(T690&gt;0.5, T690&lt;=1), "high_discount", ""))</f>
        <v/>
      </c>
      <c r="V690" s="11">
        <v>15492.07</v>
      </c>
      <c r="W690" s="12">
        <v>15492.07</v>
      </c>
      <c r="X690" s="11">
        <v>12581.23</v>
      </c>
      <c r="Y690" s="11">
        <v>2910.84</v>
      </c>
      <c r="Z690" s="11">
        <f>ROUND(W690-X690,2)</f>
        <v>2910.84</v>
      </c>
      <c r="AA690" s="4">
        <f>IF(W690=0,0,Z690/W690)</f>
        <v>0.18789225713542479</v>
      </c>
      <c r="AB690" t="s">
        <v>31</v>
      </c>
      <c r="AC690" t="s">
        <v>32</v>
      </c>
      <c r="AD690" t="str">
        <f>IF(AND(E690="", T690&gt;=0, T690&lt;=0.5, K690&lt;&gt;"Unknown", Q690&lt;&gt;"Unknown"), "CLEAN", _xlfn.CONCAT("WARNING: ", IF(E690&lt;&gt;"","invalid_date",""), IF(T690&lt;0,"negative_discount",""), IF(AND(T690&gt;0.5,T690&lt;=1),"high_discount",""), IF(K690="Unknown","missing_region",""), IF(Q690="Unknown","missing_ship_mode","")))</f>
        <v>CLEAN</v>
      </c>
      <c r="AE690" t="str">
        <f>IF(COUNTIF($AF$2:$AF$926,AF690)&gt;1,"DUPLICATE","UNIQUE")</f>
        <v>UNIQUE</v>
      </c>
      <c r="AF690" t="str">
        <f>A690&amp;"|"&amp;B690&amp;"|"&amp;H690&amp;"|"&amp;I690&amp;"|"&amp;R690&amp;"|"&amp;S690&amp;"|"&amp;V690</f>
        <v>ORD-2025-10689|2025-02-26|CUST-8575|Neha Gupta|6|3037.66|15492.07</v>
      </c>
      <c r="AG690" t="str">
        <f>IF(COUNTIF($A$2:$A$913,A690)&gt;1,"TRUE","FALSE")</f>
        <v>FALSE</v>
      </c>
    </row>
    <row r="691" spans="1:33">
      <c r="A691" t="s">
        <v>2105</v>
      </c>
      <c r="B691" t="s">
        <v>2836</v>
      </c>
      <c r="C691" t="s">
        <v>2385</v>
      </c>
      <c r="D691">
        <f>IF(OR(B691="", C691=""), "", (C691 - B691))</f>
        <v>149</v>
      </c>
      <c r="E691" t="str">
        <f>IF(C691&lt;B691, "INVALID: Ship date before order date", "")</f>
        <v/>
      </c>
      <c r="F691" t="str">
        <f>IF(B691="", "", TEXT(B691, "mmmm"))</f>
        <v>May</v>
      </c>
      <c r="G691">
        <f>IF(B691="", "", YEAR(B691))</f>
        <v>2024</v>
      </c>
      <c r="H691" t="s">
        <v>2106</v>
      </c>
      <c r="I691" t="s">
        <v>139</v>
      </c>
      <c r="J691" t="s">
        <v>36</v>
      </c>
      <c r="K691" t="s">
        <v>24</v>
      </c>
      <c r="L691" t="s">
        <v>120</v>
      </c>
      <c r="M691" t="s">
        <v>121</v>
      </c>
      <c r="N691" t="s">
        <v>40</v>
      </c>
      <c r="O691" t="s">
        <v>41</v>
      </c>
      <c r="P691" t="s">
        <v>2107</v>
      </c>
      <c r="Q691" t="s">
        <v>58</v>
      </c>
      <c r="R691">
        <v>9</v>
      </c>
      <c r="S691" s="15">
        <v>489.58</v>
      </c>
      <c r="T691" s="4">
        <v>0.15</v>
      </c>
      <c r="U691" s="3" t="str">
        <f>IF(T691&lt;0, "negative_discount", IF(AND(T691&gt;0.5, T691&lt;=1), "high_discount", ""))</f>
        <v/>
      </c>
      <c r="V691" s="11">
        <v>3745.29</v>
      </c>
      <c r="W691" s="12">
        <v>3745.29</v>
      </c>
      <c r="X691" s="11">
        <v>2302.65</v>
      </c>
      <c r="Y691" s="11">
        <v>1442.64</v>
      </c>
      <c r="Z691" s="11">
        <f>ROUND(W691-X691,2)</f>
        <v>1442.64</v>
      </c>
      <c r="AA691" s="4">
        <f>IF(W691=0,0,Z691/W691)</f>
        <v>0.38518779587161478</v>
      </c>
      <c r="AB691" t="s">
        <v>151</v>
      </c>
      <c r="AC691" t="s">
        <v>67</v>
      </c>
      <c r="AD691" t="str">
        <f>IF(AND(E691="", T691&gt;=0, T691&lt;=0.5, K691&lt;&gt;"Unknown", Q691&lt;&gt;"Unknown"), "CLEAN", _xlfn.CONCAT("WARNING: ", IF(E691&lt;&gt;"","invalid_date",""), IF(T691&lt;0,"negative_discount",""), IF(AND(T691&gt;0.5,T691&lt;=1),"high_discount",""), IF(K691="Unknown","missing_region",""), IF(Q691="Unknown","missing_ship_mode","")))</f>
        <v>CLEAN</v>
      </c>
      <c r="AE691" t="str">
        <f>IF(COUNTIF($AF$2:$AF$926,AF691)&gt;1,"DUPLICATE","UNIQUE")</f>
        <v>UNIQUE</v>
      </c>
      <c r="AF691" t="str">
        <f>A691&amp;"|"&amp;B691&amp;"|"&amp;H691&amp;"|"&amp;I691&amp;"|"&amp;R691&amp;"|"&amp;S691&amp;"|"&amp;V691</f>
        <v>ORD-2024-10690|2024-05-10|CUST-4382|Rohan Mehta|9|489.58|3745.29</v>
      </c>
      <c r="AG691" t="str">
        <f>IF(COUNTIF($A$2:$A$913,A691)&gt;1,"TRUE","FALSE")</f>
        <v>FALSE</v>
      </c>
    </row>
    <row r="692" spans="1:33">
      <c r="A692" t="s">
        <v>2108</v>
      </c>
      <c r="B692" t="s">
        <v>2863</v>
      </c>
      <c r="C692" t="s">
        <v>2109</v>
      </c>
      <c r="D692">
        <f>IF(OR(B692="", C692=""), "", (C692 - B692))</f>
        <v>4</v>
      </c>
      <c r="E692" t="str">
        <f>IF(C692&lt;B692, "INVALID: Ship date before order date", "")</f>
        <v/>
      </c>
      <c r="F692" t="str">
        <f>IF(B692="", "", TEXT(B692, "mmmm"))</f>
        <v>September</v>
      </c>
      <c r="G692">
        <f>IF(B692="", "", YEAR(B692))</f>
        <v>2024</v>
      </c>
      <c r="H692" t="s">
        <v>2110</v>
      </c>
      <c r="I692" t="s">
        <v>131</v>
      </c>
      <c r="J692" t="s">
        <v>89</v>
      </c>
      <c r="K692" t="s">
        <v>53</v>
      </c>
      <c r="L692" t="s">
        <v>246</v>
      </c>
      <c r="M692" t="s">
        <v>247</v>
      </c>
      <c r="N692" t="s">
        <v>27</v>
      </c>
      <c r="O692" t="s">
        <v>47</v>
      </c>
      <c r="P692" t="s">
        <v>2111</v>
      </c>
      <c r="Q692" t="s">
        <v>58</v>
      </c>
      <c r="R692">
        <v>4</v>
      </c>
      <c r="S692" s="15">
        <v>865.63</v>
      </c>
      <c r="T692" s="4">
        <v>0</v>
      </c>
      <c r="U692" s="3" t="str">
        <f>IF(T692&lt;0, "negative_discount", IF(AND(T692&gt;0.5, T692&lt;=1), "high_discount", ""))</f>
        <v/>
      </c>
      <c r="V692" s="11">
        <v>3462.52</v>
      </c>
      <c r="W692" s="12">
        <v>3462.52</v>
      </c>
      <c r="X692" s="11">
        <v>2797.29</v>
      </c>
      <c r="Y692" s="11">
        <v>665.23</v>
      </c>
      <c r="Z692" s="11">
        <f>ROUND(W692-X692,2)</f>
        <v>665.23</v>
      </c>
      <c r="AA692" s="4">
        <f>IF(W692=0,0,Z692/W692)</f>
        <v>0.19212307798944123</v>
      </c>
      <c r="AB692" t="s">
        <v>151</v>
      </c>
      <c r="AC692" t="s">
        <v>100</v>
      </c>
      <c r="AD692" t="str">
        <f>IF(AND(E692="", T692&gt;=0, T692&lt;=0.5, K692&lt;&gt;"Unknown", Q692&lt;&gt;"Unknown"), "CLEAN", _xlfn.CONCAT("WARNING: ", IF(E692&lt;&gt;"","invalid_date",""), IF(T692&lt;0,"negative_discount",""), IF(AND(T692&gt;0.5,T692&lt;=1),"high_discount",""), IF(K692="Unknown","missing_region",""), IF(Q692="Unknown","missing_ship_mode","")))</f>
        <v>CLEAN</v>
      </c>
      <c r="AE692" t="str">
        <f>IF(COUNTIF($AF$2:$AF$926,AF692)&gt;1,"DUPLICATE","UNIQUE")</f>
        <v>UNIQUE</v>
      </c>
      <c r="AF692" t="str">
        <f>A692&amp;"|"&amp;B692&amp;"|"&amp;H692&amp;"|"&amp;I692&amp;"|"&amp;R692&amp;"|"&amp;S692&amp;"|"&amp;V692</f>
        <v>ORD-2024-10691|2024-09-11|CUST-6815|Sneha Kapoor|4|865.63|3462.52</v>
      </c>
      <c r="AG692" t="str">
        <f>IF(COUNTIF($A$2:$A$913,A692)&gt;1,"TRUE","FALSE")</f>
        <v>FALSE</v>
      </c>
    </row>
    <row r="693" spans="1:33">
      <c r="A693" t="s">
        <v>2112</v>
      </c>
      <c r="B693" t="s">
        <v>1591</v>
      </c>
      <c r="C693" t="s">
        <v>2908</v>
      </c>
      <c r="D693">
        <f>IF(OR(B693="", C693=""), "", (C693 - B693))</f>
        <v>1</v>
      </c>
      <c r="E693" t="str">
        <f>IF(C693&lt;B693, "INVALID: Ship date before order date", "")</f>
        <v/>
      </c>
      <c r="F693" t="str">
        <f>IF(B693="", "", TEXT(B693, "mmmm"))</f>
        <v>December</v>
      </c>
      <c r="G693">
        <f>IF(B693="", "", YEAR(B693))</f>
        <v>2024</v>
      </c>
      <c r="H693" t="s">
        <v>2113</v>
      </c>
      <c r="I693" t="s">
        <v>139</v>
      </c>
      <c r="J693" t="s">
        <v>23</v>
      </c>
      <c r="K693" t="s">
        <v>37</v>
      </c>
      <c r="L693" t="s">
        <v>38</v>
      </c>
      <c r="M693" t="s">
        <v>39</v>
      </c>
      <c r="N693" t="s">
        <v>74</v>
      </c>
      <c r="O693" t="s">
        <v>79</v>
      </c>
      <c r="P693" t="s">
        <v>2114</v>
      </c>
      <c r="Q693" t="s">
        <v>30</v>
      </c>
      <c r="R693">
        <v>6</v>
      </c>
      <c r="S693" s="15">
        <v>1538.1</v>
      </c>
      <c r="T693" s="4">
        <v>0.05</v>
      </c>
      <c r="U693" s="3" t="str">
        <f>IF(T693&lt;0, "negative_discount", IF(AND(T693&gt;0.5, T693&lt;=1), "high_discount", ""))</f>
        <v/>
      </c>
      <c r="V693" s="11">
        <v>8767.17</v>
      </c>
      <c r="W693" s="12">
        <v>8767.17</v>
      </c>
      <c r="X693" s="11">
        <v>5098.2</v>
      </c>
      <c r="Y693" s="11">
        <v>3668.97</v>
      </c>
      <c r="Z693" s="11">
        <f>ROUND(W693-X693,2)</f>
        <v>3668.97</v>
      </c>
      <c r="AA693" s="4">
        <f>IF(W693=0,0,Z693/W693)</f>
        <v>0.41848966085977568</v>
      </c>
      <c r="AB693" t="s">
        <v>31</v>
      </c>
      <c r="AC693" t="s">
        <v>32</v>
      </c>
      <c r="AD693" t="str">
        <f>IF(AND(E693="", T693&gt;=0, T693&lt;=0.5, K693&lt;&gt;"Unknown", Q693&lt;&gt;"Unknown"), "CLEAN", _xlfn.CONCAT("WARNING: ", IF(E693&lt;&gt;"","invalid_date",""), IF(T693&lt;0,"negative_discount",""), IF(AND(T693&gt;0.5,T693&lt;=1),"high_discount",""), IF(K693="Unknown","missing_region",""), IF(Q693="Unknown","missing_ship_mode","")))</f>
        <v>CLEAN</v>
      </c>
      <c r="AE693" t="str">
        <f>IF(COUNTIF($AF$2:$AF$926,AF693)&gt;1,"DUPLICATE","UNIQUE")</f>
        <v>UNIQUE</v>
      </c>
      <c r="AF693" t="str">
        <f>A693&amp;"|"&amp;B693&amp;"|"&amp;H693&amp;"|"&amp;I693&amp;"|"&amp;R693&amp;"|"&amp;S693&amp;"|"&amp;V693</f>
        <v>ORD-2024-10692|2024-12-15|CUST-7309|Rohan Mehta|6|1538.1|8767.17</v>
      </c>
      <c r="AG693" t="str">
        <f>IF(COUNTIF($A$2:$A$913,A693)&gt;1,"TRUE","FALSE")</f>
        <v>FALSE</v>
      </c>
    </row>
    <row r="694" spans="1:33">
      <c r="A694" t="s">
        <v>3288</v>
      </c>
      <c r="B694" t="s">
        <v>897</v>
      </c>
      <c r="C694" t="s">
        <v>224</v>
      </c>
      <c r="D694">
        <f>IF(OR(B694="", C694=""), "", (C694 - B694))</f>
        <v>153</v>
      </c>
      <c r="E694" t="str">
        <f>IF(C694&lt;B694, "INVALID: Ship date before order date", "")</f>
        <v/>
      </c>
      <c r="F694" t="str">
        <f>IF(B694="", "", TEXT(B694, "mmmm"))</f>
        <v>May</v>
      </c>
      <c r="G694">
        <f>IF(B694="", "", YEAR(B694))</f>
        <v>2025</v>
      </c>
      <c r="H694" t="s">
        <v>2115</v>
      </c>
      <c r="I694" t="s">
        <v>46</v>
      </c>
      <c r="J694" t="s">
        <v>89</v>
      </c>
      <c r="K694" t="s">
        <v>53</v>
      </c>
      <c r="L694" t="s">
        <v>171</v>
      </c>
      <c r="M694" t="s">
        <v>172</v>
      </c>
      <c r="N694" t="s">
        <v>40</v>
      </c>
      <c r="O694" t="s">
        <v>56</v>
      </c>
      <c r="P694" t="s">
        <v>2116</v>
      </c>
      <c r="Q694" t="s">
        <v>30</v>
      </c>
      <c r="R694">
        <v>4</v>
      </c>
      <c r="S694" s="15">
        <v>2365.6799999999998</v>
      </c>
      <c r="T694" s="4">
        <v>0.1</v>
      </c>
      <c r="U694" s="3" t="str">
        <f>IF(T694&lt;0, "negative_discount", IF(AND(T694&gt;0.5, T694&lt;=1), "high_discount", ""))</f>
        <v/>
      </c>
      <c r="V694" s="11">
        <v>8516.4500000000007</v>
      </c>
      <c r="W694" s="12">
        <v>8516.4500000000007</v>
      </c>
      <c r="X694" s="11">
        <v>5903.81</v>
      </c>
      <c r="Y694" s="11">
        <v>2612.64</v>
      </c>
      <c r="Z694" s="11">
        <f>ROUND(W694-X694,2)</f>
        <v>2612.64</v>
      </c>
      <c r="AA694" s="4">
        <f>IF(W694=0,0,Z694/W694)</f>
        <v>0.30677571053666725</v>
      </c>
      <c r="AB694" t="s">
        <v>31</v>
      </c>
      <c r="AC694" t="s">
        <v>32</v>
      </c>
      <c r="AD694" t="str">
        <f>IF(AND(E694="", T694&gt;=0, T694&lt;=0.5, K694&lt;&gt;"Unknown", Q694&lt;&gt;"Unknown"), "CLEAN", _xlfn.CONCAT("WARNING: ", IF(E694&lt;&gt;"","invalid_date",""), IF(T694&lt;0,"negative_discount",""), IF(AND(T694&gt;0.5,T694&lt;=1),"high_discount",""), IF(K694="Unknown","missing_region",""), IF(Q694="Unknown","missing_ship_mode","")))</f>
        <v>CLEAN</v>
      </c>
      <c r="AE694" t="str">
        <f>IF(COUNTIF($AF$2:$AF$926,AF694)&gt;1,"DUPLICATE","UNIQUE")</f>
        <v>UNIQUE</v>
      </c>
      <c r="AF694" t="str">
        <f>A694&amp;"|"&amp;B694&amp;"|"&amp;H694&amp;"|"&amp;I694&amp;"|"&amp;R694&amp;"|"&amp;S694&amp;"|"&amp;V694</f>
        <v>ORD-2025-10693|2025-05-10|CUST-9531|Isha Nair|4|2365.68|8516.45</v>
      </c>
      <c r="AG694" t="str">
        <f>IF(COUNTIF($A$2:$A$913,A694)&gt;1,"TRUE","FALSE")</f>
        <v>FALSE</v>
      </c>
    </row>
    <row r="695" spans="1:33">
      <c r="A695" t="s">
        <v>3289</v>
      </c>
      <c r="B695" t="s">
        <v>2786</v>
      </c>
      <c r="C695" t="s">
        <v>1615</v>
      </c>
      <c r="D695">
        <f>IF(OR(B695="", C695=""), "", (C695 - B695))</f>
        <v>38</v>
      </c>
      <c r="E695" t="str">
        <f>IF(C695&lt;B695, "INVALID: Ship date before order date", "")</f>
        <v/>
      </c>
      <c r="F695" t="str">
        <f>IF(B695="", "", TEXT(B695, "mmmm"))</f>
        <v>March</v>
      </c>
      <c r="G695">
        <f>IF(B695="", "", YEAR(B695))</f>
        <v>2025</v>
      </c>
      <c r="H695" t="s">
        <v>2117</v>
      </c>
      <c r="I695" t="s">
        <v>52</v>
      </c>
      <c r="J695" t="s">
        <v>23</v>
      </c>
      <c r="K695" t="s">
        <v>53</v>
      </c>
      <c r="L695" t="s">
        <v>246</v>
      </c>
      <c r="M695" t="s">
        <v>247</v>
      </c>
      <c r="N695" t="s">
        <v>40</v>
      </c>
      <c r="O695" t="s">
        <v>153</v>
      </c>
      <c r="P695" t="s">
        <v>2118</v>
      </c>
      <c r="Q695" t="s">
        <v>30</v>
      </c>
      <c r="R695">
        <v>3</v>
      </c>
      <c r="S695" s="15">
        <v>4149.7700000000004</v>
      </c>
      <c r="T695" s="4">
        <v>0.05</v>
      </c>
      <c r="U695" s="3" t="str">
        <f>IF(T695&lt;0, "negative_discount", IF(AND(T695&gt;0.5, T695&lt;=1), "high_discount", ""))</f>
        <v/>
      </c>
      <c r="V695" s="11">
        <v>11826.84</v>
      </c>
      <c r="W695" s="12">
        <v>11826.84</v>
      </c>
      <c r="X695" s="11">
        <v>8035.96</v>
      </c>
      <c r="Y695" s="11">
        <v>3790.88</v>
      </c>
      <c r="Z695" s="11">
        <f>ROUND(W695-X695,2)</f>
        <v>3790.88</v>
      </c>
      <c r="AA695" s="4">
        <f>IF(W695=0,0,Z695/W695)</f>
        <v>0.32053194259836104</v>
      </c>
      <c r="AB695" t="s">
        <v>31</v>
      </c>
      <c r="AC695" t="s">
        <v>32</v>
      </c>
      <c r="AD695" t="str">
        <f>IF(AND(E695="", T695&gt;=0, T695&lt;=0.5, K695&lt;&gt;"Unknown", Q695&lt;&gt;"Unknown"), "CLEAN", _xlfn.CONCAT("WARNING: ", IF(E695&lt;&gt;"","invalid_date",""), IF(T695&lt;0,"negative_discount",""), IF(AND(T695&gt;0.5,T695&lt;=1),"high_discount",""), IF(K695="Unknown","missing_region",""), IF(Q695="Unknown","missing_ship_mode","")))</f>
        <v>CLEAN</v>
      </c>
      <c r="AE695" t="str">
        <f>IF(COUNTIF($AF$2:$AF$926,AF695)&gt;1,"DUPLICATE","UNIQUE")</f>
        <v>UNIQUE</v>
      </c>
      <c r="AF695" t="str">
        <f>A695&amp;"|"&amp;B695&amp;"|"&amp;H695&amp;"|"&amp;I695&amp;"|"&amp;R695&amp;"|"&amp;S695&amp;"|"&amp;V695</f>
        <v>ORD-2025-10694|2025-03-04|CUST-6032|Arjun Bose|3|4149.77|11826.84</v>
      </c>
      <c r="AG695" t="str">
        <f>IF(COUNTIF($A$2:$A$913,A695)&gt;1,"TRUE","FALSE")</f>
        <v>FALSE</v>
      </c>
    </row>
    <row r="696" spans="1:33">
      <c r="A696" t="s">
        <v>3290</v>
      </c>
      <c r="B696" t="s">
        <v>1324</v>
      </c>
      <c r="C696" t="s">
        <v>2780</v>
      </c>
      <c r="D696">
        <f>IF(OR(B696="", C696=""), "", (C696 - B696))</f>
        <v>243</v>
      </c>
      <c r="E696" t="str">
        <f>IF(C696&lt;B696, "INVALID: Ship date before order date", "")</f>
        <v/>
      </c>
      <c r="F696" t="str">
        <f>IF(B696="", "", TEXT(B696, "mmmm"))</f>
        <v>January</v>
      </c>
      <c r="G696">
        <f>IF(B696="", "", YEAR(B696))</f>
        <v>2025</v>
      </c>
      <c r="H696" t="s">
        <v>1120</v>
      </c>
      <c r="I696" t="s">
        <v>46</v>
      </c>
      <c r="J696" t="s">
        <v>23</v>
      </c>
      <c r="K696" t="s">
        <v>53</v>
      </c>
      <c r="L696" t="s">
        <v>83</v>
      </c>
      <c r="M696" t="s">
        <v>84</v>
      </c>
      <c r="N696" t="s">
        <v>27</v>
      </c>
      <c r="O696" t="s">
        <v>122</v>
      </c>
      <c r="P696" t="s">
        <v>2119</v>
      </c>
      <c r="Q696" t="s">
        <v>49</v>
      </c>
      <c r="R696">
        <v>5</v>
      </c>
      <c r="S696" s="15">
        <v>2736.24</v>
      </c>
      <c r="T696" s="4">
        <v>0.15</v>
      </c>
      <c r="U696" s="3" t="str">
        <f>IF(T696&lt;0, "negative_discount", IF(AND(T696&gt;0.5, T696&lt;=1), "high_discount", ""))</f>
        <v/>
      </c>
      <c r="V696" s="11">
        <v>11629.02</v>
      </c>
      <c r="W696" s="12">
        <v>11629.02</v>
      </c>
      <c r="X696" s="11">
        <v>9627.2099999999991</v>
      </c>
      <c r="Y696" s="11">
        <v>2001.81</v>
      </c>
      <c r="Z696" s="11">
        <f>ROUND(W696-X696,2)</f>
        <v>2001.81</v>
      </c>
      <c r="AA696" s="4">
        <f>IF(W696=0,0,Z696/W696)</f>
        <v>0.1721391828374188</v>
      </c>
      <c r="AB696" t="s">
        <v>31</v>
      </c>
      <c r="AC696" t="s">
        <v>32</v>
      </c>
      <c r="AD696" t="str">
        <f>IF(AND(E696="", T696&gt;=0, T696&lt;=0.5, K696&lt;&gt;"Unknown", Q696&lt;&gt;"Unknown"), "CLEAN", _xlfn.CONCAT("WARNING: ", IF(E696&lt;&gt;"","invalid_date",""), IF(T696&lt;0,"negative_discount",""), IF(AND(T696&gt;0.5,T696&lt;=1),"high_discount",""), IF(K696="Unknown","missing_region",""), IF(Q696="Unknown","missing_ship_mode","")))</f>
        <v>CLEAN</v>
      </c>
      <c r="AE696" t="str">
        <f>IF(COUNTIF($AF$2:$AF$926,AF696)&gt;1,"DUPLICATE","UNIQUE")</f>
        <v>UNIQUE</v>
      </c>
      <c r="AF696" t="str">
        <f>A696&amp;"|"&amp;B696&amp;"|"&amp;H696&amp;"|"&amp;I696&amp;"|"&amp;R696&amp;"|"&amp;S696&amp;"|"&amp;V696</f>
        <v>ORD-2025-10695|2025-01-08|CUST-8025|Isha Nair|5|2736.24|11629.02</v>
      </c>
      <c r="AG696" t="str">
        <f>IF(COUNTIF($A$2:$A$913,A696)&gt;1,"TRUE","FALSE")</f>
        <v>FALSE</v>
      </c>
    </row>
    <row r="697" spans="1:33">
      <c r="A697" t="s">
        <v>2120</v>
      </c>
      <c r="B697" t="s">
        <v>2121</v>
      </c>
      <c r="C697" t="s">
        <v>2677</v>
      </c>
      <c r="D697">
        <f>IF(OR(B697="", C697=""), "", (C697 - B697))</f>
        <v>-176</v>
      </c>
      <c r="E697" t="str">
        <f>IF(C697&lt;B697, "INVALID: Ship date before order date", "")</f>
        <v>INVALID: Ship date before order date</v>
      </c>
      <c r="F697" t="str">
        <f>IF(B697="", "", TEXT(B697, "mmmm"))</f>
        <v>July</v>
      </c>
      <c r="G697">
        <f>IF(B697="", "", YEAR(B697))</f>
        <v>2024</v>
      </c>
      <c r="H697" t="s">
        <v>2122</v>
      </c>
      <c r="I697" t="s">
        <v>126</v>
      </c>
      <c r="J697" t="s">
        <v>23</v>
      </c>
      <c r="K697" t="s">
        <v>62</v>
      </c>
      <c r="L697" t="s">
        <v>72</v>
      </c>
      <c r="M697" t="s">
        <v>73</v>
      </c>
      <c r="N697" t="s">
        <v>74</v>
      </c>
      <c r="O697" t="s">
        <v>272</v>
      </c>
      <c r="P697" t="s">
        <v>2123</v>
      </c>
      <c r="Q697" t="s">
        <v>58</v>
      </c>
      <c r="R697">
        <v>4</v>
      </c>
      <c r="S697" s="15">
        <v>257.39</v>
      </c>
      <c r="T697" s="4">
        <v>0</v>
      </c>
      <c r="U697" s="3" t="str">
        <f>IF(T697&lt;0, "negative_discount", IF(AND(T697&gt;0.5, T697&lt;=1), "high_discount", ""))</f>
        <v/>
      </c>
      <c r="V697" s="11">
        <v>1029.56</v>
      </c>
      <c r="W697" s="12">
        <v>1029.56</v>
      </c>
      <c r="X697" s="11">
        <v>626.33000000000004</v>
      </c>
      <c r="Y697" s="11">
        <v>403.23</v>
      </c>
      <c r="Z697" s="11">
        <f>ROUND(W697-X697,2)</f>
        <v>403.23</v>
      </c>
      <c r="AA697" s="4">
        <f>IF(W697=0,0,Z697/W697)</f>
        <v>0.39165274486188278</v>
      </c>
      <c r="AB697" t="s">
        <v>31</v>
      </c>
      <c r="AC697" t="s">
        <v>32</v>
      </c>
      <c r="AD697" t="str">
        <f>IF(AND(E697="", T697&gt;=0, T697&lt;=0.5, K697&lt;&gt;"Unknown", Q697&lt;&gt;"Unknown"), "CLEAN", _xlfn.CONCAT("WARNING: ", IF(E697&lt;&gt;"","invalid_date",""), IF(T697&lt;0,"negative_discount",""), IF(AND(T697&gt;0.5,T697&lt;=1),"high_discount",""), IF(K697="Unknown","missing_region",""), IF(Q697="Unknown","missing_ship_mode","")))</f>
        <v>WARNING: invalid_date</v>
      </c>
      <c r="AE697" t="str">
        <f>IF(COUNTIF($AF$2:$AF$926,AF697)&gt;1,"DUPLICATE","UNIQUE")</f>
        <v>UNIQUE</v>
      </c>
      <c r="AF697" t="str">
        <f>A697&amp;"|"&amp;B697&amp;"|"&amp;H697&amp;"|"&amp;I697&amp;"|"&amp;R697&amp;"|"&amp;S697&amp;"|"&amp;V697</f>
        <v>ORD-2024-10696|2024-07-01|CUST-6257|Aarav Sharma|4|257.39|1029.56</v>
      </c>
      <c r="AG697" t="str">
        <f>IF(COUNTIF($A$2:$A$913,A697)&gt;1,"TRUE","FALSE")</f>
        <v>FALSE</v>
      </c>
    </row>
    <row r="698" spans="1:33">
      <c r="A698" t="s">
        <v>3291</v>
      </c>
      <c r="B698" t="s">
        <v>1065</v>
      </c>
      <c r="C698" t="s">
        <v>574</v>
      </c>
      <c r="D698">
        <f>IF(OR(B698="", C698=""), "", (C698 - B698))</f>
        <v>3</v>
      </c>
      <c r="E698" t="str">
        <f>IF(C698&lt;B698, "INVALID: Ship date before order date", "")</f>
        <v/>
      </c>
      <c r="F698" t="str">
        <f>IF(B698="", "", TEXT(B698, "mmmm"))</f>
        <v>September</v>
      </c>
      <c r="G698">
        <f>IF(B698="", "", YEAR(B698))</f>
        <v>2025</v>
      </c>
      <c r="H698" t="s">
        <v>2124</v>
      </c>
      <c r="I698" t="s">
        <v>46</v>
      </c>
      <c r="J698" t="s">
        <v>36</v>
      </c>
      <c r="K698" t="s">
        <v>53</v>
      </c>
      <c r="L698" t="s">
        <v>180</v>
      </c>
      <c r="M698" t="s">
        <v>181</v>
      </c>
      <c r="N698" t="s">
        <v>74</v>
      </c>
      <c r="O698" t="s">
        <v>168</v>
      </c>
      <c r="P698" t="s">
        <v>2125</v>
      </c>
      <c r="Q698" t="s">
        <v>2970</v>
      </c>
      <c r="R698">
        <v>4</v>
      </c>
      <c r="S698" s="15">
        <v>1178.8399999999999</v>
      </c>
      <c r="T698" s="4">
        <v>0.25</v>
      </c>
      <c r="U698" s="3" t="str">
        <f>IF(T698&lt;0, "negative_discount", IF(AND(T698&gt;0.5, T698&lt;=1), "high_discount", ""))</f>
        <v/>
      </c>
      <c r="V698" s="11">
        <v>3536.52</v>
      </c>
      <c r="W698" s="12">
        <v>3536.52</v>
      </c>
      <c r="X698" s="11">
        <v>2102.41</v>
      </c>
      <c r="Y698" s="11">
        <v>1363.28</v>
      </c>
      <c r="Z698" s="11">
        <f>ROUND(W698-X698,2)</f>
        <v>1434.11</v>
      </c>
      <c r="AA698" s="4">
        <f>IF(W698=0,0,Z698/W698)</f>
        <v>0.40551446054313278</v>
      </c>
      <c r="AB698" t="s">
        <v>31</v>
      </c>
      <c r="AC698" t="s">
        <v>32</v>
      </c>
      <c r="AD698" t="str">
        <f>IF(AND(E698="", T698&gt;=0, T698&lt;=0.5, K698&lt;&gt;"Unknown", Q698&lt;&gt;"Unknown"), "CLEAN", _xlfn.CONCAT("WARNING: ", IF(E698&lt;&gt;"","invalid_date",""), IF(T698&lt;0,"negative_discount",""), IF(AND(T698&gt;0.5,T698&lt;=1),"high_discount",""), IF(K698="Unknown","missing_region",""), IF(Q698="Unknown","missing_ship_mode","")))</f>
        <v>WARNING: missing_ship_mode</v>
      </c>
      <c r="AE698" t="str">
        <f>IF(COUNTIF($AF$2:$AF$926,AF698)&gt;1,"DUPLICATE","UNIQUE")</f>
        <v>UNIQUE</v>
      </c>
      <c r="AF698" t="str">
        <f>A698&amp;"|"&amp;B698&amp;"|"&amp;H698&amp;"|"&amp;I698&amp;"|"&amp;R698&amp;"|"&amp;S698&amp;"|"&amp;V698</f>
        <v>ORD-2025-10697|2025-09-22|CUST-7812|Isha Nair|4|1178.84|3536.52</v>
      </c>
      <c r="AG698" t="str">
        <f>IF(COUNTIF($A$2:$A$913,A698)&gt;1,"TRUE","FALSE")</f>
        <v>FALSE</v>
      </c>
    </row>
    <row r="699" spans="1:33">
      <c r="A699" t="s">
        <v>3292</v>
      </c>
      <c r="B699" t="s">
        <v>333</v>
      </c>
      <c r="C699" t="s">
        <v>2309</v>
      </c>
      <c r="D699">
        <f>IF(OR(B699="", C699=""), "", (C699 - B699))</f>
        <v>124</v>
      </c>
      <c r="E699" t="str">
        <f>IF(C699&lt;B699, "INVALID: Ship date before order date", "")</f>
        <v/>
      </c>
      <c r="F699" t="str">
        <f>IF(B699="", "", TEXT(B699, "mmmm"))</f>
        <v>March</v>
      </c>
      <c r="G699">
        <f>IF(B699="", "", YEAR(B699))</f>
        <v>2025</v>
      </c>
      <c r="H699" t="s">
        <v>2126</v>
      </c>
      <c r="I699" t="s">
        <v>52</v>
      </c>
      <c r="J699" t="s">
        <v>89</v>
      </c>
      <c r="K699" t="s">
        <v>53</v>
      </c>
      <c r="L699" t="s">
        <v>83</v>
      </c>
      <c r="M699" t="s">
        <v>84</v>
      </c>
      <c r="N699" t="s">
        <v>27</v>
      </c>
      <c r="O699" t="s">
        <v>90</v>
      </c>
      <c r="P699" t="s">
        <v>2127</v>
      </c>
      <c r="Q699" t="s">
        <v>49</v>
      </c>
      <c r="R699">
        <v>7</v>
      </c>
      <c r="S699" s="15">
        <v>567.15</v>
      </c>
      <c r="T699" s="4">
        <v>0</v>
      </c>
      <c r="U699" s="3" t="str">
        <f>IF(T699&lt;0, "negative_discount", IF(AND(T699&gt;0.5, T699&lt;=1), "high_discount", ""))</f>
        <v/>
      </c>
      <c r="V699" s="11">
        <v>2977.54</v>
      </c>
      <c r="W699" s="12">
        <v>3970.05</v>
      </c>
      <c r="X699" s="11">
        <v>1849.3</v>
      </c>
      <c r="Y699" s="11">
        <v>1128.24</v>
      </c>
      <c r="Z699" s="11">
        <f>ROUND(W699-X699,2)</f>
        <v>2120.75</v>
      </c>
      <c r="AA699" s="4">
        <f>IF(W699=0,0,Z699/W699)</f>
        <v>0.53418722686112263</v>
      </c>
      <c r="AB699" t="s">
        <v>99</v>
      </c>
      <c r="AC699" t="s">
        <v>100</v>
      </c>
      <c r="AD699" t="str">
        <f>IF(AND(E699="", T699&gt;=0, T699&lt;=0.5, K699&lt;&gt;"Unknown", Q699&lt;&gt;"Unknown"), "CLEAN", _xlfn.CONCAT("WARNING: ", IF(E699&lt;&gt;"","invalid_date",""), IF(T699&lt;0,"negative_discount",""), IF(AND(T699&gt;0.5,T699&lt;=1),"high_discount",""), IF(K699="Unknown","missing_region",""), IF(Q699="Unknown","missing_ship_mode","")))</f>
        <v>CLEAN</v>
      </c>
      <c r="AE699" t="str">
        <f>IF(COUNTIF($AF$2:$AF$926,AF699)&gt;1,"DUPLICATE","UNIQUE")</f>
        <v>UNIQUE</v>
      </c>
      <c r="AF699" t="str">
        <f>A699&amp;"|"&amp;B699&amp;"|"&amp;H699&amp;"|"&amp;I699&amp;"|"&amp;R699&amp;"|"&amp;S699&amp;"|"&amp;V699</f>
        <v>ORD-2025-10698|2025-03-01|CUST-6205|Arjun Bose|7|567.15|2977.54</v>
      </c>
      <c r="AG699" t="str">
        <f>IF(COUNTIF($A$2:$A$913,A699)&gt;1,"TRUE","FALSE")</f>
        <v>FALSE</v>
      </c>
    </row>
    <row r="700" spans="1:33">
      <c r="A700" t="s">
        <v>2128</v>
      </c>
      <c r="B700" t="s">
        <v>1123</v>
      </c>
      <c r="C700" t="s">
        <v>1123</v>
      </c>
      <c r="D700">
        <f>IF(OR(B700="", C700=""), "", (C700 - B700))</f>
        <v>0</v>
      </c>
      <c r="E700" t="str">
        <f>IF(C700&lt;B700, "INVALID: Ship date before order date", "")</f>
        <v/>
      </c>
      <c r="F700" t="str">
        <f>IF(B700="", "", TEXT(B700, "mmmm"))</f>
        <v>September</v>
      </c>
      <c r="G700">
        <f>IF(B700="", "", YEAR(B700))</f>
        <v>2024</v>
      </c>
      <c r="H700" t="s">
        <v>2129</v>
      </c>
      <c r="I700" t="s">
        <v>35</v>
      </c>
      <c r="J700" t="s">
        <v>89</v>
      </c>
      <c r="K700" t="s">
        <v>24</v>
      </c>
      <c r="L700" t="s">
        <v>25</v>
      </c>
      <c r="M700" t="s">
        <v>26</v>
      </c>
      <c r="N700" t="s">
        <v>74</v>
      </c>
      <c r="O700" t="s">
        <v>272</v>
      </c>
      <c r="P700" t="s">
        <v>2130</v>
      </c>
      <c r="Q700" t="s">
        <v>58</v>
      </c>
      <c r="R700">
        <v>8</v>
      </c>
      <c r="S700" s="15">
        <v>4081.66</v>
      </c>
      <c r="T700" s="4">
        <v>0.15</v>
      </c>
      <c r="U700" s="3" t="str">
        <f>IF(T700&lt;0, "negative_discount", IF(AND(T700&gt;0.5, T700&lt;=1), "high_discount", ""))</f>
        <v/>
      </c>
      <c r="V700" s="11">
        <v>28208.1</v>
      </c>
      <c r="W700" s="12">
        <v>27755.29</v>
      </c>
      <c r="X700" s="11">
        <v>23751.91</v>
      </c>
      <c r="Y700" s="11">
        <v>4003.38</v>
      </c>
      <c r="Z700" s="11">
        <f>ROUND(W700-X700,2)</f>
        <v>4003.38</v>
      </c>
      <c r="AA700" s="4">
        <f>IF(W700=0,0,Z700/W700)</f>
        <v>0.14423844967932239</v>
      </c>
      <c r="AB700" t="s">
        <v>31</v>
      </c>
      <c r="AC700" t="s">
        <v>100</v>
      </c>
      <c r="AD700" t="str">
        <f>IF(AND(E700="", T700&gt;=0, T700&lt;=0.5, K700&lt;&gt;"Unknown", Q700&lt;&gt;"Unknown"), "CLEAN", _xlfn.CONCAT("WARNING: ", IF(E700&lt;&gt;"","invalid_date",""), IF(T700&lt;0,"negative_discount",""), IF(AND(T700&gt;0.5,T700&lt;=1),"high_discount",""), IF(K700="Unknown","missing_region",""), IF(Q700="Unknown","missing_ship_mode","")))</f>
        <v>CLEAN</v>
      </c>
      <c r="AE700" t="str">
        <f>IF(COUNTIF($AF$2:$AF$926,AF700)&gt;1,"DUPLICATE","UNIQUE")</f>
        <v>UNIQUE</v>
      </c>
      <c r="AF700" t="str">
        <f>A700&amp;"|"&amp;B700&amp;"|"&amp;H700&amp;"|"&amp;I700&amp;"|"&amp;R700&amp;"|"&amp;S700&amp;"|"&amp;V700</f>
        <v>ORD-2024-10699|2024-09-14|CUST-5357|Mira Das|8|4081.66|28208.1</v>
      </c>
      <c r="AG700" t="str">
        <f>IF(COUNTIF($A$2:$A$913,A700)&gt;1,"TRUE","FALSE")</f>
        <v>FALSE</v>
      </c>
    </row>
    <row r="701" spans="1:33">
      <c r="A701" t="s">
        <v>2131</v>
      </c>
      <c r="B701" t="s">
        <v>2132</v>
      </c>
      <c r="C701" t="s">
        <v>2132</v>
      </c>
      <c r="D701">
        <f>IF(OR(B701="", C701=""), "", (C701 - B701))</f>
        <v>0</v>
      </c>
      <c r="E701" t="str">
        <f>IF(C701&lt;B701, "INVALID: Ship date before order date", "")</f>
        <v/>
      </c>
      <c r="F701" t="str">
        <f>IF(B701="", "", TEXT(B701, "mmmm"))</f>
        <v>June</v>
      </c>
      <c r="G701">
        <f>IF(B701="", "", YEAR(B701))</f>
        <v>2024</v>
      </c>
      <c r="H701" t="s">
        <v>2133</v>
      </c>
      <c r="I701" t="s">
        <v>52</v>
      </c>
      <c r="J701" t="s">
        <v>36</v>
      </c>
      <c r="K701" t="s">
        <v>53</v>
      </c>
      <c r="L701" t="s">
        <v>171</v>
      </c>
      <c r="M701" t="s">
        <v>172</v>
      </c>
      <c r="N701" t="s">
        <v>40</v>
      </c>
      <c r="O701" t="s">
        <v>153</v>
      </c>
      <c r="P701" t="s">
        <v>2134</v>
      </c>
      <c r="Q701" t="s">
        <v>58</v>
      </c>
      <c r="R701">
        <v>9</v>
      </c>
      <c r="S701" s="15">
        <v>1400.11</v>
      </c>
      <c r="T701" s="4">
        <v>0.25</v>
      </c>
      <c r="U701" s="3" t="str">
        <f>IF(T701&lt;0, "negative_discount", IF(AND(T701&gt;0.5, T701&lt;=1), "high_discount", ""))</f>
        <v/>
      </c>
      <c r="V701" s="11">
        <v>9450.74</v>
      </c>
      <c r="W701" s="12">
        <v>9450.74</v>
      </c>
      <c r="X701" s="11">
        <v>7798.56</v>
      </c>
      <c r="Y701" s="11">
        <v>1652.18</v>
      </c>
      <c r="Z701" s="11">
        <f>ROUND(W701-X701,2)</f>
        <v>1652.18</v>
      </c>
      <c r="AA701" s="4">
        <f>IF(W701=0,0,Z701/W701)</f>
        <v>0.17482017281186449</v>
      </c>
      <c r="AB701" t="s">
        <v>31</v>
      </c>
      <c r="AC701" t="s">
        <v>32</v>
      </c>
      <c r="AD701" t="str">
        <f>IF(AND(E701="", T701&gt;=0, T701&lt;=0.5, K701&lt;&gt;"Unknown", Q701&lt;&gt;"Unknown"), "CLEAN", _xlfn.CONCAT("WARNING: ", IF(E701&lt;&gt;"","invalid_date",""), IF(T701&lt;0,"negative_discount",""), IF(AND(T701&gt;0.5,T701&lt;=1),"high_discount",""), IF(K701="Unknown","missing_region",""), IF(Q701="Unknown","missing_ship_mode","")))</f>
        <v>CLEAN</v>
      </c>
      <c r="AE701" t="str">
        <f>IF(COUNTIF($AF$2:$AF$926,AF701)&gt;1,"DUPLICATE","UNIQUE")</f>
        <v>UNIQUE</v>
      </c>
      <c r="AF701" t="str">
        <f>A701&amp;"|"&amp;B701&amp;"|"&amp;H701&amp;"|"&amp;I701&amp;"|"&amp;R701&amp;"|"&amp;S701&amp;"|"&amp;V701</f>
        <v>ORD-2024-10700|2024-06-11|CUST-9802|Arjun Bose|9|1400.11|9450.74</v>
      </c>
      <c r="AG701" t="str">
        <f>IF(COUNTIF($A$2:$A$913,A701)&gt;1,"TRUE","FALSE")</f>
        <v>FALSE</v>
      </c>
    </row>
    <row r="702" spans="1:33">
      <c r="A702" t="s">
        <v>2135</v>
      </c>
      <c r="B702" t="s">
        <v>2372</v>
      </c>
      <c r="C702" t="s">
        <v>739</v>
      </c>
      <c r="D702">
        <f>IF(OR(B702="", C702=""), "", (C702 - B702))</f>
        <v>3</v>
      </c>
      <c r="E702" t="str">
        <f>IF(C702&lt;B702, "INVALID: Ship date before order date", "")</f>
        <v/>
      </c>
      <c r="F702" t="str">
        <f>IF(B702="", "", TEXT(B702, "mmmm"))</f>
        <v>September</v>
      </c>
      <c r="G702">
        <f>IF(B702="", "", YEAR(B702))</f>
        <v>2024</v>
      </c>
      <c r="H702" t="s">
        <v>2136</v>
      </c>
      <c r="I702" t="s">
        <v>78</v>
      </c>
      <c r="J702" t="s">
        <v>89</v>
      </c>
      <c r="K702" t="s">
        <v>37</v>
      </c>
      <c r="L702" t="s">
        <v>96</v>
      </c>
      <c r="M702" t="s">
        <v>97</v>
      </c>
      <c r="N702" t="s">
        <v>74</v>
      </c>
      <c r="O702" t="s">
        <v>272</v>
      </c>
      <c r="P702" t="s">
        <v>2137</v>
      </c>
      <c r="Q702" t="s">
        <v>58</v>
      </c>
      <c r="R702">
        <v>3</v>
      </c>
      <c r="S702" s="15">
        <v>3055.9</v>
      </c>
      <c r="T702" s="4">
        <v>0.15</v>
      </c>
      <c r="U702" s="3" t="str">
        <f>IF(T702&lt;0, "negative_discount", IF(AND(T702&gt;0.5, T702&lt;=1), "high_discount", ""))</f>
        <v/>
      </c>
      <c r="V702" s="11">
        <v>7792.55</v>
      </c>
      <c r="W702" s="12">
        <v>7792.55</v>
      </c>
      <c r="X702" s="11">
        <v>4691.7299999999996</v>
      </c>
      <c r="Y702" s="11">
        <v>3100.82</v>
      </c>
      <c r="Z702" s="11">
        <f>ROUND(W702-X702,2)</f>
        <v>3100.82</v>
      </c>
      <c r="AA702" s="4">
        <f>IF(W702=0,0,Z702/W702)</f>
        <v>0.39792109129874048</v>
      </c>
      <c r="AB702" t="s">
        <v>31</v>
      </c>
      <c r="AC702" t="s">
        <v>32</v>
      </c>
      <c r="AD702" t="str">
        <f>IF(AND(E702="", T702&gt;=0, T702&lt;=0.5, K702&lt;&gt;"Unknown", Q702&lt;&gt;"Unknown"), "CLEAN", _xlfn.CONCAT("WARNING: ", IF(E702&lt;&gt;"","invalid_date",""), IF(T702&lt;0,"negative_discount",""), IF(AND(T702&gt;0.5,T702&lt;=1),"high_discount",""), IF(K702="Unknown","missing_region",""), IF(Q702="Unknown","missing_ship_mode","")))</f>
        <v>CLEAN</v>
      </c>
      <c r="AE702" t="str">
        <f>IF(COUNTIF($AF$2:$AF$926,AF702)&gt;1,"DUPLICATE","UNIQUE")</f>
        <v>UNIQUE</v>
      </c>
      <c r="AF702" t="str">
        <f>A702&amp;"|"&amp;B702&amp;"|"&amp;H702&amp;"|"&amp;I702&amp;"|"&amp;R702&amp;"|"&amp;S702&amp;"|"&amp;V702</f>
        <v>ORD-2024-10701|2024-09-18|CUST-5646|Neha Gupta|3|3055.9|7792.55</v>
      </c>
      <c r="AG702" t="str">
        <f>IF(COUNTIF($A$2:$A$913,A702)&gt;1,"TRUE","FALSE")</f>
        <v>FALSE</v>
      </c>
    </row>
    <row r="703" spans="1:33">
      <c r="A703" t="s">
        <v>2138</v>
      </c>
      <c r="B703" t="s">
        <v>2864</v>
      </c>
      <c r="C703" t="s">
        <v>1438</v>
      </c>
      <c r="D703">
        <f>IF(OR(B703="", C703=""), "", (C703 - B703))</f>
        <v>4</v>
      </c>
      <c r="E703" t="str">
        <f>IF(C703&lt;B703, "INVALID: Ship date before order date", "")</f>
        <v/>
      </c>
      <c r="F703" t="str">
        <f>IF(B703="", "", TEXT(B703, "mmmm"))</f>
        <v>April</v>
      </c>
      <c r="G703">
        <f>IF(B703="", "", YEAR(B703))</f>
        <v>2024</v>
      </c>
      <c r="H703" t="s">
        <v>2139</v>
      </c>
      <c r="I703" t="s">
        <v>139</v>
      </c>
      <c r="J703" t="s">
        <v>36</v>
      </c>
      <c r="K703" t="s">
        <v>62</v>
      </c>
      <c r="L703" t="s">
        <v>176</v>
      </c>
      <c r="M703" t="s">
        <v>177</v>
      </c>
      <c r="N703" t="s">
        <v>27</v>
      </c>
      <c r="O703" t="s">
        <v>47</v>
      </c>
      <c r="P703" t="s">
        <v>2140</v>
      </c>
      <c r="Q703" t="s">
        <v>43</v>
      </c>
      <c r="R703">
        <v>7</v>
      </c>
      <c r="S703" s="15">
        <v>1224.94</v>
      </c>
      <c r="T703" s="4">
        <v>0</v>
      </c>
      <c r="U703" s="3" t="str">
        <f>IF(T703&lt;0, "negative_discount", IF(AND(T703&gt;0.5, T703&lt;=1), "high_discount", ""))</f>
        <v/>
      </c>
      <c r="V703" s="11">
        <v>8574.58</v>
      </c>
      <c r="W703" s="12">
        <v>8574.58</v>
      </c>
      <c r="X703" s="11">
        <v>6685.81</v>
      </c>
      <c r="Y703" s="11">
        <v>1888.77</v>
      </c>
      <c r="Z703" s="11">
        <f>ROUND(W703-X703,2)</f>
        <v>1888.77</v>
      </c>
      <c r="AA703" s="4">
        <f>IF(W703=0,0,Z703/W703)</f>
        <v>0.22027551203674114</v>
      </c>
      <c r="AB703" t="s">
        <v>31</v>
      </c>
      <c r="AC703" t="s">
        <v>100</v>
      </c>
      <c r="AD703" t="str">
        <f>IF(AND(E703="", T703&gt;=0, T703&lt;=0.5, K703&lt;&gt;"Unknown", Q703&lt;&gt;"Unknown"), "CLEAN", _xlfn.CONCAT("WARNING: ", IF(E703&lt;&gt;"","invalid_date",""), IF(T703&lt;0,"negative_discount",""), IF(AND(T703&gt;0.5,T703&lt;=1),"high_discount",""), IF(K703="Unknown","missing_region",""), IF(Q703="Unknown","missing_ship_mode","")))</f>
        <v>CLEAN</v>
      </c>
      <c r="AE703" t="str">
        <f>IF(COUNTIF($AF$2:$AF$926,AF703)&gt;1,"DUPLICATE","UNIQUE")</f>
        <v>UNIQUE</v>
      </c>
      <c r="AF703" t="str">
        <f>A703&amp;"|"&amp;B703&amp;"|"&amp;H703&amp;"|"&amp;I703&amp;"|"&amp;R703&amp;"|"&amp;S703&amp;"|"&amp;V703</f>
        <v>ORD-2024-10702|2024-04-30|CUST-7171|Rohan Mehta|7|1224.94|8574.58</v>
      </c>
      <c r="AG703" t="str">
        <f>IF(COUNTIF($A$2:$A$913,A703)&gt;1,"TRUE","FALSE")</f>
        <v>FALSE</v>
      </c>
    </row>
    <row r="704" spans="1:33">
      <c r="A704" t="s">
        <v>3293</v>
      </c>
      <c r="B704" t="s">
        <v>2141</v>
      </c>
      <c r="C704" t="s">
        <v>2519</v>
      </c>
      <c r="D704">
        <f>IF(OR(B704="", C704=""), "", (C704 - B704))</f>
        <v>4</v>
      </c>
      <c r="E704" t="str">
        <f>IF(C704&lt;B704, "INVALID: Ship date before order date", "")</f>
        <v/>
      </c>
      <c r="F704" t="str">
        <f>IF(B704="", "", TEXT(B704, "mmmm"))</f>
        <v>February</v>
      </c>
      <c r="G704">
        <f>IF(B704="", "", YEAR(B704))</f>
        <v>2025</v>
      </c>
      <c r="H704" t="s">
        <v>2142</v>
      </c>
      <c r="I704" t="s">
        <v>22</v>
      </c>
      <c r="J704" t="s">
        <v>36</v>
      </c>
      <c r="K704" t="s">
        <v>62</v>
      </c>
      <c r="L704" t="s">
        <v>25</v>
      </c>
      <c r="M704" t="s">
        <v>107</v>
      </c>
      <c r="N704" t="s">
        <v>40</v>
      </c>
      <c r="O704" t="s">
        <v>41</v>
      </c>
      <c r="P704" t="s">
        <v>2143</v>
      </c>
      <c r="Q704" t="s">
        <v>30</v>
      </c>
      <c r="R704">
        <v>3</v>
      </c>
      <c r="S704" s="15">
        <v>997.34</v>
      </c>
      <c r="T704" s="4">
        <v>0.1</v>
      </c>
      <c r="U704" s="3" t="str">
        <f>IF(T704&lt;0, "negative_discount", IF(AND(T704&gt;0.5, T704&lt;=1), "high_discount", ""))</f>
        <v/>
      </c>
      <c r="V704" s="11">
        <v>2692.82</v>
      </c>
      <c r="W704" s="12">
        <v>2692.82</v>
      </c>
      <c r="X704" s="11">
        <v>1820.08</v>
      </c>
      <c r="Y704" s="11">
        <v>872.74</v>
      </c>
      <c r="Z704" s="11">
        <f>ROUND(W704-X704,2)</f>
        <v>872.74</v>
      </c>
      <c r="AA704" s="4">
        <f>IF(W704=0,0,Z704/W704)</f>
        <v>0.3240989000378785</v>
      </c>
      <c r="AB704" t="s">
        <v>31</v>
      </c>
      <c r="AC704" t="s">
        <v>32</v>
      </c>
      <c r="AD704" t="str">
        <f>IF(AND(E704="", T704&gt;=0, T704&lt;=0.5, K704&lt;&gt;"Unknown", Q704&lt;&gt;"Unknown"), "CLEAN", _xlfn.CONCAT("WARNING: ", IF(E704&lt;&gt;"","invalid_date",""), IF(T704&lt;0,"negative_discount",""), IF(AND(T704&gt;0.5,T704&lt;=1),"high_discount",""), IF(K704="Unknown","missing_region",""), IF(Q704="Unknown","missing_ship_mode","")))</f>
        <v>CLEAN</v>
      </c>
      <c r="AE704" t="str">
        <f>IF(COUNTIF($AF$2:$AF$926,AF704)&gt;1,"DUPLICATE","UNIQUE")</f>
        <v>UNIQUE</v>
      </c>
      <c r="AF704" t="str">
        <f>A704&amp;"|"&amp;B704&amp;"|"&amp;H704&amp;"|"&amp;I704&amp;"|"&amp;R704&amp;"|"&amp;S704&amp;"|"&amp;V704</f>
        <v>ORD-2025-10703|2025-02-02|CUST-5231|Karan Malhotra|3|997.34|2692.82</v>
      </c>
      <c r="AG704" t="str">
        <f>IF(COUNTIF($A$2:$A$913,A704)&gt;1,"TRUE","FALSE")</f>
        <v>FALSE</v>
      </c>
    </row>
    <row r="705" spans="1:33">
      <c r="A705" t="s">
        <v>2144</v>
      </c>
      <c r="B705" t="s">
        <v>161</v>
      </c>
      <c r="C705" t="s">
        <v>1528</v>
      </c>
      <c r="D705">
        <f>IF(OR(B705="", C705=""), "", (C705 - B705))</f>
        <v>1</v>
      </c>
      <c r="E705" t="str">
        <f>IF(C705&lt;B705, "INVALID: Ship date before order date", "")</f>
        <v/>
      </c>
      <c r="F705" t="str">
        <f>IF(B705="", "", TEXT(B705, "mmmm"))</f>
        <v>October</v>
      </c>
      <c r="G705">
        <f>IF(B705="", "", YEAR(B705))</f>
        <v>2024</v>
      </c>
      <c r="H705" t="s">
        <v>2145</v>
      </c>
      <c r="I705" t="s">
        <v>88</v>
      </c>
      <c r="J705" t="s">
        <v>89</v>
      </c>
      <c r="K705" t="s">
        <v>24</v>
      </c>
      <c r="L705" t="s">
        <v>25</v>
      </c>
      <c r="M705" t="s">
        <v>26</v>
      </c>
      <c r="N705" t="s">
        <v>40</v>
      </c>
      <c r="O705" t="s">
        <v>41</v>
      </c>
      <c r="P705" t="s">
        <v>2146</v>
      </c>
      <c r="Q705" t="s">
        <v>49</v>
      </c>
      <c r="R705">
        <v>1</v>
      </c>
      <c r="S705" s="15">
        <v>1150.03</v>
      </c>
      <c r="T705" s="4">
        <v>0.1</v>
      </c>
      <c r="U705" s="3" t="str">
        <f>IF(T705&lt;0, "negative_discount", IF(AND(T705&gt;0.5, T705&lt;=1), "high_discount", ""))</f>
        <v/>
      </c>
      <c r="V705" s="11">
        <v>1035.03</v>
      </c>
      <c r="W705" s="12">
        <v>1035.03</v>
      </c>
      <c r="X705" s="11">
        <v>854.35</v>
      </c>
      <c r="Y705" s="11">
        <v>180.68</v>
      </c>
      <c r="Z705" s="11">
        <f>ROUND(W705-X705,2)</f>
        <v>180.68</v>
      </c>
      <c r="AA705" s="4">
        <f>IF(W705=0,0,Z705/W705)</f>
        <v>0.17456498845444093</v>
      </c>
      <c r="AB705" t="s">
        <v>31</v>
      </c>
      <c r="AC705" t="s">
        <v>32</v>
      </c>
      <c r="AD705" t="str">
        <f>IF(AND(E705="", T705&gt;=0, T705&lt;=0.5, K705&lt;&gt;"Unknown", Q705&lt;&gt;"Unknown"), "CLEAN", _xlfn.CONCAT("WARNING: ", IF(E705&lt;&gt;"","invalid_date",""), IF(T705&lt;0,"negative_discount",""), IF(AND(T705&gt;0.5,T705&lt;=1),"high_discount",""), IF(K705="Unknown","missing_region",""), IF(Q705="Unknown","missing_ship_mode","")))</f>
        <v>CLEAN</v>
      </c>
      <c r="AE705" t="str">
        <f>IF(COUNTIF($AF$2:$AF$926,AF705)&gt;1,"DUPLICATE","UNIQUE")</f>
        <v>UNIQUE</v>
      </c>
      <c r="AF705" t="str">
        <f>A705&amp;"|"&amp;B705&amp;"|"&amp;H705&amp;"|"&amp;I705&amp;"|"&amp;R705&amp;"|"&amp;S705&amp;"|"&amp;V705</f>
        <v>ORD-2024-10704|2024-10-19|CUST-8734|Aditi Sen|1|1150.03|1035.03</v>
      </c>
      <c r="AG705" t="str">
        <f>IF(COUNTIF($A$2:$A$913,A705)&gt;1,"TRUE","FALSE")</f>
        <v>FALSE</v>
      </c>
    </row>
    <row r="706" spans="1:33">
      <c r="A706" t="s">
        <v>2147</v>
      </c>
      <c r="B706" t="s">
        <v>1004</v>
      </c>
      <c r="C706" t="s">
        <v>1231</v>
      </c>
      <c r="D706">
        <f>IF(OR(B706="", C706=""), "", (C706 - B706))</f>
        <v>7</v>
      </c>
      <c r="E706" t="str">
        <f>IF(C706&lt;B706, "INVALID: Ship date before order date", "")</f>
        <v/>
      </c>
      <c r="F706" t="str">
        <f>IF(B706="", "", TEXT(B706, "mmmm"))</f>
        <v>March</v>
      </c>
      <c r="G706">
        <f>IF(B706="", "", YEAR(B706))</f>
        <v>2024</v>
      </c>
      <c r="H706" t="s">
        <v>2148</v>
      </c>
      <c r="I706" t="s">
        <v>112</v>
      </c>
      <c r="J706" t="s">
        <v>93</v>
      </c>
      <c r="K706" t="s">
        <v>53</v>
      </c>
      <c r="L706" t="s">
        <v>246</v>
      </c>
      <c r="M706" t="s">
        <v>247</v>
      </c>
      <c r="N706" t="s">
        <v>40</v>
      </c>
      <c r="O706" t="s">
        <v>153</v>
      </c>
      <c r="P706" t="s">
        <v>2149</v>
      </c>
      <c r="Q706" t="s">
        <v>2970</v>
      </c>
      <c r="R706">
        <v>1</v>
      </c>
      <c r="S706" s="15">
        <v>2825.63</v>
      </c>
      <c r="T706" s="4">
        <v>0.15</v>
      </c>
      <c r="U706" s="3" t="str">
        <f>IF(T706&lt;0, "negative_discount", IF(AND(T706&gt;0.5, T706&lt;=1), "high_discount", ""))</f>
        <v/>
      </c>
      <c r="V706" s="11">
        <v>2401.79</v>
      </c>
      <c r="W706" s="12">
        <v>2401.79</v>
      </c>
      <c r="X706" s="11">
        <v>1820.34</v>
      </c>
      <c r="Y706" s="11">
        <v>581.45000000000005</v>
      </c>
      <c r="Z706" s="11">
        <f>ROUND(W706-X706,2)</f>
        <v>581.45000000000005</v>
      </c>
      <c r="AA706" s="4">
        <f>IF(W706=0,0,Z706/W706)</f>
        <v>0.24209027433705696</v>
      </c>
      <c r="AB706" t="s">
        <v>31</v>
      </c>
      <c r="AC706" t="s">
        <v>32</v>
      </c>
      <c r="AD706" t="str">
        <f>IF(AND(E706="", T706&gt;=0, T706&lt;=0.5, K706&lt;&gt;"Unknown", Q706&lt;&gt;"Unknown"), "CLEAN", _xlfn.CONCAT("WARNING: ", IF(E706&lt;&gt;"","invalid_date",""), IF(T706&lt;0,"negative_discount",""), IF(AND(T706&gt;0.5,T706&lt;=1),"high_discount",""), IF(K706="Unknown","missing_region",""), IF(Q706="Unknown","missing_ship_mode","")))</f>
        <v>WARNING: missing_ship_mode</v>
      </c>
      <c r="AE706" t="str">
        <f>IF(COUNTIF($AF$2:$AF$926,AF706)&gt;1,"DUPLICATE","UNIQUE")</f>
        <v>UNIQUE</v>
      </c>
      <c r="AF706" t="str">
        <f>A706&amp;"|"&amp;B706&amp;"|"&amp;H706&amp;"|"&amp;I706&amp;"|"&amp;R706&amp;"|"&amp;S706&amp;"|"&amp;V706</f>
        <v>ORD-2024-10705|2024-03-13|CUST-4916|Priya Menon|1|2825.63|2401.79</v>
      </c>
      <c r="AG706" t="str">
        <f>IF(COUNTIF($A$2:$A$913,A706)&gt;1,"TRUE","FALSE")</f>
        <v>FALSE</v>
      </c>
    </row>
    <row r="707" spans="1:33">
      <c r="A707" t="s">
        <v>2150</v>
      </c>
      <c r="B707" t="s">
        <v>2865</v>
      </c>
      <c r="C707" t="s">
        <v>1123</v>
      </c>
      <c r="D707">
        <f>IF(OR(B707="", C707=""), "", (C707 - B707))</f>
        <v>6</v>
      </c>
      <c r="E707" t="str">
        <f>IF(C707&lt;B707, "INVALID: Ship date before order date", "")</f>
        <v/>
      </c>
      <c r="F707" t="str">
        <f>IF(B707="", "", TEXT(B707, "mmmm"))</f>
        <v>September</v>
      </c>
      <c r="G707">
        <f>IF(B707="", "", YEAR(B707))</f>
        <v>2024</v>
      </c>
      <c r="H707" t="s">
        <v>2151</v>
      </c>
      <c r="I707" t="s">
        <v>139</v>
      </c>
      <c r="J707" t="s">
        <v>23</v>
      </c>
      <c r="K707" t="s">
        <v>24</v>
      </c>
      <c r="L707" t="s">
        <v>25</v>
      </c>
      <c r="M707" t="s">
        <v>26</v>
      </c>
      <c r="N707" t="s">
        <v>27</v>
      </c>
      <c r="O707" t="s">
        <v>149</v>
      </c>
      <c r="P707" t="s">
        <v>2152</v>
      </c>
      <c r="Q707" t="s">
        <v>58</v>
      </c>
      <c r="R707">
        <v>5</v>
      </c>
      <c r="S707" s="15">
        <v>3371.75</v>
      </c>
      <c r="T707" s="4">
        <v>0.05</v>
      </c>
      <c r="U707" s="3" t="str">
        <f>IF(T707&lt;0, "negative_discount", IF(AND(T707&gt;0.5, T707&lt;=1), "high_discount", ""))</f>
        <v/>
      </c>
      <c r="V707" s="11">
        <v>16015.81</v>
      </c>
      <c r="W707" s="12">
        <v>16015.81</v>
      </c>
      <c r="X707" s="11">
        <v>11352.38</v>
      </c>
      <c r="Y707" s="11">
        <v>4663.43</v>
      </c>
      <c r="Z707" s="11">
        <f>ROUND(W707-X707,2)</f>
        <v>4663.43</v>
      </c>
      <c r="AA707" s="4">
        <f>IF(W707=0,0,Z707/W707)</f>
        <v>0.2911766560667241</v>
      </c>
      <c r="AB707" t="s">
        <v>31</v>
      </c>
      <c r="AC707" t="s">
        <v>32</v>
      </c>
      <c r="AD707" t="str">
        <f>IF(AND(E707="", T707&gt;=0, T707&lt;=0.5, K707&lt;&gt;"Unknown", Q707&lt;&gt;"Unknown"), "CLEAN", _xlfn.CONCAT("WARNING: ", IF(E707&lt;&gt;"","invalid_date",""), IF(T707&lt;0,"negative_discount",""), IF(AND(T707&gt;0.5,T707&lt;=1),"high_discount",""), IF(K707="Unknown","missing_region",""), IF(Q707="Unknown","missing_ship_mode","")))</f>
        <v>CLEAN</v>
      </c>
      <c r="AE707" t="str">
        <f>IF(COUNTIF($AF$2:$AF$926,AF707)&gt;1,"DUPLICATE","UNIQUE")</f>
        <v>UNIQUE</v>
      </c>
      <c r="AF707" t="str">
        <f>A707&amp;"|"&amp;B707&amp;"|"&amp;H707&amp;"|"&amp;I707&amp;"|"&amp;R707&amp;"|"&amp;S707&amp;"|"&amp;V707</f>
        <v>ORD-2024-10706|2024-09-08|CUST-3289|Rohan Mehta|5|3371.75|16015.81</v>
      </c>
      <c r="AG707" t="str">
        <f>IF(COUNTIF($A$2:$A$913,A707)&gt;1,"TRUE","FALSE")</f>
        <v>FALSE</v>
      </c>
    </row>
    <row r="708" spans="1:33">
      <c r="A708" t="s">
        <v>2153</v>
      </c>
      <c r="B708" t="s">
        <v>958</v>
      </c>
      <c r="C708" t="s">
        <v>2915</v>
      </c>
      <c r="D708">
        <f>IF(OR(B708="", C708=""), "", (C708 - B708))</f>
        <v>4</v>
      </c>
      <c r="E708" t="str">
        <f>IF(C708&lt;B708, "INVALID: Ship date before order date", "")</f>
        <v/>
      </c>
      <c r="F708" t="str">
        <f>IF(B708="", "", TEXT(B708, "mmmm"))</f>
        <v>June</v>
      </c>
      <c r="G708">
        <f>IF(B708="", "", YEAR(B708))</f>
        <v>2024</v>
      </c>
      <c r="H708" t="s">
        <v>2154</v>
      </c>
      <c r="I708" t="s">
        <v>46</v>
      </c>
      <c r="J708" t="s">
        <v>36</v>
      </c>
      <c r="K708" t="s">
        <v>37</v>
      </c>
      <c r="L708" t="s">
        <v>38</v>
      </c>
      <c r="M708" t="s">
        <v>39</v>
      </c>
      <c r="N708" t="s">
        <v>27</v>
      </c>
      <c r="O708" t="s">
        <v>28</v>
      </c>
      <c r="P708" t="s">
        <v>2155</v>
      </c>
      <c r="Q708" t="s">
        <v>43</v>
      </c>
      <c r="R708">
        <v>1</v>
      </c>
      <c r="S708" s="15">
        <v>2112.75</v>
      </c>
      <c r="T708" s="4">
        <v>0.1</v>
      </c>
      <c r="U708" s="3" t="str">
        <f>IF(T708&lt;0, "negative_discount", IF(AND(T708&gt;0.5, T708&lt;=1), "high_discount", ""))</f>
        <v/>
      </c>
      <c r="V708" s="11">
        <v>1901.48</v>
      </c>
      <c r="W708" s="12">
        <v>1901.48</v>
      </c>
      <c r="X708" s="11">
        <v>1354.28</v>
      </c>
      <c r="Y708" s="11">
        <v>547.20000000000005</v>
      </c>
      <c r="Z708" s="11">
        <f>ROUND(W708-X708,2)</f>
        <v>547.20000000000005</v>
      </c>
      <c r="AA708" s="4">
        <f>IF(W708=0,0,Z708/W708)</f>
        <v>0.2877758377684751</v>
      </c>
      <c r="AB708" t="s">
        <v>31</v>
      </c>
      <c r="AC708" t="s">
        <v>32</v>
      </c>
      <c r="AD708" t="str">
        <f>IF(AND(E708="", T708&gt;=0, T708&lt;=0.5, K708&lt;&gt;"Unknown", Q708&lt;&gt;"Unknown"), "CLEAN", _xlfn.CONCAT("WARNING: ", IF(E708&lt;&gt;"","invalid_date",""), IF(T708&lt;0,"negative_discount",""), IF(AND(T708&gt;0.5,T708&lt;=1),"high_discount",""), IF(K708="Unknown","missing_region",""), IF(Q708="Unknown","missing_ship_mode","")))</f>
        <v>CLEAN</v>
      </c>
      <c r="AE708" t="str">
        <f>IF(COUNTIF($AF$2:$AF$926,AF708)&gt;1,"DUPLICATE","UNIQUE")</f>
        <v>UNIQUE</v>
      </c>
      <c r="AF708" t="str">
        <f>A708&amp;"|"&amp;B708&amp;"|"&amp;H708&amp;"|"&amp;I708&amp;"|"&amp;R708&amp;"|"&amp;S708&amp;"|"&amp;V708</f>
        <v>ORD-2024-10707|2024-06-24|CUST-4928|Isha Nair|1|2112.75|1901.48</v>
      </c>
      <c r="AG708" t="str">
        <f>IF(COUNTIF($A$2:$A$913,A708)&gt;1,"TRUE","FALSE")</f>
        <v>FALSE</v>
      </c>
    </row>
    <row r="709" spans="1:33">
      <c r="A709" t="s">
        <v>3294</v>
      </c>
      <c r="B709" t="s">
        <v>656</v>
      </c>
      <c r="C709" t="s">
        <v>2942</v>
      </c>
      <c r="D709">
        <f>IF(OR(B709="", C709=""), "", (C709 - B709))</f>
        <v>2</v>
      </c>
      <c r="E709" t="str">
        <f>IF(C709&lt;B709, "INVALID: Ship date before order date", "")</f>
        <v/>
      </c>
      <c r="F709" t="str">
        <f>IF(B709="", "", TEXT(B709, "mmmm"))</f>
        <v>June</v>
      </c>
      <c r="G709">
        <f>IF(B709="", "", YEAR(B709))</f>
        <v>2025</v>
      </c>
      <c r="H709" t="s">
        <v>2156</v>
      </c>
      <c r="I709" t="s">
        <v>71</v>
      </c>
      <c r="J709" t="s">
        <v>23</v>
      </c>
      <c r="K709" t="s">
        <v>24</v>
      </c>
      <c r="L709" t="s">
        <v>25</v>
      </c>
      <c r="M709" t="s">
        <v>26</v>
      </c>
      <c r="N709" t="s">
        <v>74</v>
      </c>
      <c r="O709" t="s">
        <v>75</v>
      </c>
      <c r="P709" t="s">
        <v>2157</v>
      </c>
      <c r="Q709" t="s">
        <v>43</v>
      </c>
      <c r="R709">
        <v>5</v>
      </c>
      <c r="S709" s="15">
        <v>3722.66</v>
      </c>
      <c r="T709" s="4">
        <v>0.55000000000000004</v>
      </c>
      <c r="U709" s="3" t="str">
        <f>IF(T709&lt;0, "negative_discount", IF(AND(T709&gt;0.5, T709&lt;=1), "high_discount", ""))</f>
        <v>high_discount</v>
      </c>
      <c r="V709" s="11">
        <v>16751.97</v>
      </c>
      <c r="W709" s="12">
        <v>8375.99</v>
      </c>
      <c r="X709" s="11">
        <v>11678.32</v>
      </c>
      <c r="Y709" s="11">
        <v>5073.6499999999996</v>
      </c>
      <c r="Z709" s="11">
        <f>ROUND(W709-X709,2)</f>
        <v>-3302.33</v>
      </c>
      <c r="AA709" s="4">
        <f>IF(W709=0,0,Z709/W709)</f>
        <v>-0.39426145446687494</v>
      </c>
      <c r="AB709" t="s">
        <v>31</v>
      </c>
      <c r="AC709" t="s">
        <v>32</v>
      </c>
      <c r="AD709" t="str">
        <f>IF(AND(E709="", T709&gt;=0, T709&lt;=0.5, K709&lt;&gt;"Unknown", Q709&lt;&gt;"Unknown"), "CLEAN", _xlfn.CONCAT("WARNING: ", IF(E709&lt;&gt;"","invalid_date",""), IF(T709&lt;0,"negative_discount",""), IF(AND(T709&gt;0.5,T709&lt;=1),"high_discount",""), IF(K709="Unknown","missing_region",""), IF(Q709="Unknown","missing_ship_mode","")))</f>
        <v>WARNING: high_discount</v>
      </c>
      <c r="AE709" t="str">
        <f>IF(COUNTIF($AF$2:$AF$926,AF709)&gt;1,"DUPLICATE","UNIQUE")</f>
        <v>UNIQUE</v>
      </c>
      <c r="AF709" t="str">
        <f>A709&amp;"|"&amp;B709&amp;"|"&amp;H709&amp;"|"&amp;I709&amp;"|"&amp;R709&amp;"|"&amp;S709&amp;"|"&amp;V709</f>
        <v>ORD-2025-10708|2025-06-24|CUST-4902|Vikram Iyer|5|3722.66|16751.97</v>
      </c>
      <c r="AG709" t="str">
        <f>IF(COUNTIF($A$2:$A$913,A709)&gt;1,"TRUE","FALSE")</f>
        <v>FALSE</v>
      </c>
    </row>
    <row r="710" spans="1:33">
      <c r="A710" t="s">
        <v>3295</v>
      </c>
      <c r="B710" t="s">
        <v>2866</v>
      </c>
      <c r="C710" t="s">
        <v>2158</v>
      </c>
      <c r="D710">
        <f>IF(OR(B710="", C710=""), "", (C710 - B710))</f>
        <v>6</v>
      </c>
      <c r="E710" t="str">
        <f>IF(C710&lt;B710, "INVALID: Ship date before order date", "")</f>
        <v/>
      </c>
      <c r="F710" t="str">
        <f>IF(B710="", "", TEXT(B710, "mmmm"))</f>
        <v>March</v>
      </c>
      <c r="G710">
        <f>IF(B710="", "", YEAR(B710))</f>
        <v>2025</v>
      </c>
      <c r="H710" t="s">
        <v>2159</v>
      </c>
      <c r="I710" t="s">
        <v>131</v>
      </c>
      <c r="J710" t="s">
        <v>23</v>
      </c>
      <c r="K710" t="s">
        <v>37</v>
      </c>
      <c r="L710" t="s">
        <v>163</v>
      </c>
      <c r="M710" t="s">
        <v>164</v>
      </c>
      <c r="N710" t="s">
        <v>40</v>
      </c>
      <c r="O710" t="s">
        <v>153</v>
      </c>
      <c r="P710" t="s">
        <v>2160</v>
      </c>
      <c r="Q710" t="s">
        <v>49</v>
      </c>
      <c r="R710">
        <v>4</v>
      </c>
      <c r="S710" s="15">
        <v>4357.66</v>
      </c>
      <c r="T710" s="4">
        <v>0.05</v>
      </c>
      <c r="U710" s="3" t="str">
        <f>IF(T710&lt;0, "negative_discount", IF(AND(T710&gt;0.5, T710&lt;=1), "high_discount", ""))</f>
        <v/>
      </c>
      <c r="V710" s="11">
        <v>16559.11</v>
      </c>
      <c r="W710" s="12">
        <v>16559.11</v>
      </c>
      <c r="X710" s="11">
        <v>13233.79</v>
      </c>
      <c r="Y710" s="11">
        <v>3325.32</v>
      </c>
      <c r="Z710" s="11">
        <f>ROUND(W710-X710,2)</f>
        <v>3325.32</v>
      </c>
      <c r="AA710" s="4">
        <f>IF(W710=0,0,Z710/W710)</f>
        <v>0.20081514042723311</v>
      </c>
      <c r="AB710" t="s">
        <v>31</v>
      </c>
      <c r="AC710" t="s">
        <v>32</v>
      </c>
      <c r="AD710" t="str">
        <f>IF(AND(E710="", T710&gt;=0, T710&lt;=0.5, K710&lt;&gt;"Unknown", Q710&lt;&gt;"Unknown"), "CLEAN", _xlfn.CONCAT("WARNING: ", IF(E710&lt;&gt;"","invalid_date",""), IF(T710&lt;0,"negative_discount",""), IF(AND(T710&gt;0.5,T710&lt;=1),"high_discount",""), IF(K710="Unknown","missing_region",""), IF(Q710="Unknown","missing_ship_mode","")))</f>
        <v>CLEAN</v>
      </c>
      <c r="AE710" t="str">
        <f>IF(COUNTIF($AF$2:$AF$926,AF710)&gt;1,"DUPLICATE","UNIQUE")</f>
        <v>UNIQUE</v>
      </c>
      <c r="AF710" t="str">
        <f>A710&amp;"|"&amp;B710&amp;"|"&amp;H710&amp;"|"&amp;I710&amp;"|"&amp;R710&amp;"|"&amp;S710&amp;"|"&amp;V710</f>
        <v>ORD-2025-10709|2025-03-20|CUST-6504|Sneha Kapoor|4|4357.66|16559.11</v>
      </c>
      <c r="AG710" t="str">
        <f>IF(COUNTIF($A$2:$A$913,A710)&gt;1,"TRUE","FALSE")</f>
        <v>FALSE</v>
      </c>
    </row>
    <row r="711" spans="1:33">
      <c r="A711" t="s">
        <v>3296</v>
      </c>
      <c r="B711" t="s">
        <v>1397</v>
      </c>
      <c r="C711" t="s">
        <v>2701</v>
      </c>
      <c r="D711">
        <f>IF(OR(B711="", C711=""), "", (C711 - B711))</f>
        <v>4</v>
      </c>
      <c r="E711" t="str">
        <f>IF(C711&lt;B711, "INVALID: Ship date before order date", "")</f>
        <v/>
      </c>
      <c r="F711" t="str">
        <f>IF(B711="", "", TEXT(B711, "mmmm"))</f>
        <v>January</v>
      </c>
      <c r="G711">
        <f>IF(B711="", "", YEAR(B711))</f>
        <v>2025</v>
      </c>
      <c r="H711" t="s">
        <v>2161</v>
      </c>
      <c r="I711" t="s">
        <v>263</v>
      </c>
      <c r="J711" t="s">
        <v>93</v>
      </c>
      <c r="K711" t="s">
        <v>24</v>
      </c>
      <c r="L711" t="s">
        <v>120</v>
      </c>
      <c r="M711" t="s">
        <v>121</v>
      </c>
      <c r="N711" t="s">
        <v>74</v>
      </c>
      <c r="O711" t="s">
        <v>168</v>
      </c>
      <c r="P711" t="s">
        <v>2162</v>
      </c>
      <c r="Q711" t="s">
        <v>43</v>
      </c>
      <c r="R711">
        <v>7</v>
      </c>
      <c r="S711" s="15">
        <v>1363.04</v>
      </c>
      <c r="T711" s="4">
        <v>0.15</v>
      </c>
      <c r="U711" s="3" t="str">
        <f>IF(T711&lt;0, "negative_discount", IF(AND(T711&gt;0.5, T711&lt;=1), "high_discount", ""))</f>
        <v/>
      </c>
      <c r="V711" s="11">
        <v>8110.09</v>
      </c>
      <c r="W711" s="12">
        <v>8110.09</v>
      </c>
      <c r="X711" s="11">
        <v>6417.32</v>
      </c>
      <c r="Y711" s="11">
        <v>1692.77</v>
      </c>
      <c r="Z711" s="11">
        <f>ROUND(W711-X711,2)</f>
        <v>1692.77</v>
      </c>
      <c r="AA711" s="4">
        <f>IF(W711=0,0,Z711/W711)</f>
        <v>0.20872394757641408</v>
      </c>
      <c r="AB711" t="s">
        <v>31</v>
      </c>
      <c r="AC711" t="s">
        <v>67</v>
      </c>
      <c r="AD711" t="str">
        <f>IF(AND(E711="", T711&gt;=0, T711&lt;=0.5, K711&lt;&gt;"Unknown", Q711&lt;&gt;"Unknown"), "CLEAN", _xlfn.CONCAT("WARNING: ", IF(E711&lt;&gt;"","invalid_date",""), IF(T711&lt;0,"negative_discount",""), IF(AND(T711&gt;0.5,T711&lt;=1),"high_discount",""), IF(K711="Unknown","missing_region",""), IF(Q711="Unknown","missing_ship_mode","")))</f>
        <v>CLEAN</v>
      </c>
      <c r="AE711" t="str">
        <f>IF(COUNTIF($AF$2:$AF$926,AF711)&gt;1,"DUPLICATE","UNIQUE")</f>
        <v>UNIQUE</v>
      </c>
      <c r="AF711" t="str">
        <f>A711&amp;"|"&amp;B711&amp;"|"&amp;H711&amp;"|"&amp;I711&amp;"|"&amp;R711&amp;"|"&amp;S711&amp;"|"&amp;V711</f>
        <v>ORD-2025-10710|2025-01-19|CUST-8036|Kabir Singh|7|1363.04|8110.09</v>
      </c>
      <c r="AG711" t="str">
        <f>IF(COUNTIF($A$2:$A$913,A711)&gt;1,"TRUE","FALSE")</f>
        <v>FALSE</v>
      </c>
    </row>
    <row r="712" spans="1:33">
      <c r="A712" t="s">
        <v>2163</v>
      </c>
      <c r="B712" t="s">
        <v>2328</v>
      </c>
      <c r="C712" t="s">
        <v>290</v>
      </c>
      <c r="D712">
        <f>IF(OR(B712="", C712=""), "", (C712 - B712))</f>
        <v>7</v>
      </c>
      <c r="E712" t="str">
        <f>IF(C712&lt;B712, "INVALID: Ship date before order date", "")</f>
        <v/>
      </c>
      <c r="F712" t="str">
        <f>IF(B712="", "", TEXT(B712, "mmmm"))</f>
        <v>July</v>
      </c>
      <c r="G712">
        <f>IF(B712="", "", YEAR(B712))</f>
        <v>2024</v>
      </c>
      <c r="H712" t="s">
        <v>2164</v>
      </c>
      <c r="I712" t="s">
        <v>71</v>
      </c>
      <c r="J712" t="s">
        <v>89</v>
      </c>
      <c r="K712" t="s">
        <v>24</v>
      </c>
      <c r="L712" t="s">
        <v>120</v>
      </c>
      <c r="M712" t="s">
        <v>121</v>
      </c>
      <c r="N712" t="s">
        <v>27</v>
      </c>
      <c r="O712" t="s">
        <v>47</v>
      </c>
      <c r="P712" t="s">
        <v>2165</v>
      </c>
      <c r="Q712" t="s">
        <v>30</v>
      </c>
      <c r="R712">
        <v>5</v>
      </c>
      <c r="S712" s="15">
        <v>1559.16</v>
      </c>
      <c r="T712" s="4">
        <v>0.05</v>
      </c>
      <c r="U712" s="3" t="str">
        <f>IF(T712&lt;0, "negative_discount", IF(AND(T712&gt;0.5, T712&lt;=1), "high_discount", ""))</f>
        <v/>
      </c>
      <c r="V712" s="11">
        <v>7406.01</v>
      </c>
      <c r="W712" s="12">
        <v>7406.01</v>
      </c>
      <c r="X712" s="11">
        <v>5941.74</v>
      </c>
      <c r="Y712" s="11">
        <v>1464.27</v>
      </c>
      <c r="Z712" s="11">
        <f>ROUND(W712-X712,2)</f>
        <v>1464.27</v>
      </c>
      <c r="AA712" s="4">
        <f>IF(W712=0,0,Z712/W712)</f>
        <v>0.19771374869869199</v>
      </c>
      <c r="AB712" t="s">
        <v>31</v>
      </c>
      <c r="AC712" t="s">
        <v>32</v>
      </c>
      <c r="AD712" t="str">
        <f>IF(AND(E712="", T712&gt;=0, T712&lt;=0.5, K712&lt;&gt;"Unknown", Q712&lt;&gt;"Unknown"), "CLEAN", _xlfn.CONCAT("WARNING: ", IF(E712&lt;&gt;"","invalid_date",""), IF(T712&lt;0,"negative_discount",""), IF(AND(T712&gt;0.5,T712&lt;=1),"high_discount",""), IF(K712="Unknown","missing_region",""), IF(Q712="Unknown","missing_ship_mode","")))</f>
        <v>CLEAN</v>
      </c>
      <c r="AE712" t="str">
        <f>IF(COUNTIF($AF$2:$AF$926,AF712)&gt;1,"DUPLICATE","UNIQUE")</f>
        <v>UNIQUE</v>
      </c>
      <c r="AF712" t="str">
        <f>A712&amp;"|"&amp;B712&amp;"|"&amp;H712&amp;"|"&amp;I712&amp;"|"&amp;R712&amp;"|"&amp;S712&amp;"|"&amp;V712</f>
        <v>ORD-2024-10711|2024-07-12|CUST-7199|Vikram Iyer|5|1559.16|7406.01</v>
      </c>
      <c r="AG712" t="str">
        <f>IF(COUNTIF($A$2:$A$913,A712)&gt;1,"TRUE","FALSE")</f>
        <v>FALSE</v>
      </c>
    </row>
    <row r="713" spans="1:33">
      <c r="A713" t="s">
        <v>3297</v>
      </c>
      <c r="B713" t="s">
        <v>2141</v>
      </c>
      <c r="C713" t="s">
        <v>2141</v>
      </c>
      <c r="D713">
        <f>IF(OR(B713="", C713=""), "", (C713 - B713))</f>
        <v>0</v>
      </c>
      <c r="E713" t="str">
        <f>IF(C713&lt;B713, "INVALID: Ship date before order date", "")</f>
        <v/>
      </c>
      <c r="F713" t="str">
        <f>IF(B713="", "", TEXT(B713, "mmmm"))</f>
        <v>February</v>
      </c>
      <c r="G713">
        <f>IF(B713="", "", YEAR(B713))</f>
        <v>2025</v>
      </c>
      <c r="H713" t="s">
        <v>2166</v>
      </c>
      <c r="I713" t="s">
        <v>263</v>
      </c>
      <c r="J713" t="s">
        <v>89</v>
      </c>
      <c r="K713" t="s">
        <v>37</v>
      </c>
      <c r="L713" t="s">
        <v>96</v>
      </c>
      <c r="M713" t="s">
        <v>97</v>
      </c>
      <c r="N713" t="s">
        <v>74</v>
      </c>
      <c r="O713" t="s">
        <v>272</v>
      </c>
      <c r="P713" t="s">
        <v>2167</v>
      </c>
      <c r="Q713" t="s">
        <v>49</v>
      </c>
      <c r="R713">
        <v>1</v>
      </c>
      <c r="S713" s="15">
        <v>4326.75</v>
      </c>
      <c r="T713" s="4">
        <v>0.05</v>
      </c>
      <c r="U713" s="3" t="str">
        <f>IF(T713&lt;0, "negative_discount", IF(AND(T713&gt;0.5, T713&lt;=1), "high_discount", ""))</f>
        <v/>
      </c>
      <c r="V713" s="11">
        <v>4110.41</v>
      </c>
      <c r="W713" s="12">
        <v>4110.41</v>
      </c>
      <c r="X713" s="11">
        <v>2394.14</v>
      </c>
      <c r="Y713" s="11">
        <v>1716.27</v>
      </c>
      <c r="Z713" s="11">
        <f>ROUND(W713-X713,2)</f>
        <v>1716.27</v>
      </c>
      <c r="AA713" s="4">
        <f>IF(W713=0,0,Z713/W713)</f>
        <v>0.41754228896874035</v>
      </c>
      <c r="AB713" t="s">
        <v>109</v>
      </c>
      <c r="AC713" t="s">
        <v>100</v>
      </c>
      <c r="AD713" t="str">
        <f>IF(AND(E713="", T713&gt;=0, T713&lt;=0.5, K713&lt;&gt;"Unknown", Q713&lt;&gt;"Unknown"), "CLEAN", _xlfn.CONCAT("WARNING: ", IF(E713&lt;&gt;"","invalid_date",""), IF(T713&lt;0,"negative_discount",""), IF(AND(T713&gt;0.5,T713&lt;=1),"high_discount",""), IF(K713="Unknown","missing_region",""), IF(Q713="Unknown","missing_ship_mode","")))</f>
        <v>CLEAN</v>
      </c>
      <c r="AE713" t="str">
        <f>IF(COUNTIF($AF$2:$AF$926,AF713)&gt;1,"DUPLICATE","UNIQUE")</f>
        <v>UNIQUE</v>
      </c>
      <c r="AF713" t="str">
        <f>A713&amp;"|"&amp;B713&amp;"|"&amp;H713&amp;"|"&amp;I713&amp;"|"&amp;R713&amp;"|"&amp;S713&amp;"|"&amp;V713</f>
        <v>ORD-2025-10712|2025-02-02|CUST-6176|Kabir Singh|1|4326.75|4110.41</v>
      </c>
      <c r="AG713" t="str">
        <f>IF(COUNTIF($A$2:$A$913,A713)&gt;1,"TRUE","FALSE")</f>
        <v>FALSE</v>
      </c>
    </row>
    <row r="714" spans="1:33">
      <c r="A714" t="s">
        <v>2168</v>
      </c>
      <c r="B714" t="s">
        <v>1442</v>
      </c>
      <c r="C714" t="s">
        <v>1385</v>
      </c>
      <c r="D714">
        <f>IF(OR(B714="", C714=""), "", (C714 - B714))</f>
        <v>8</v>
      </c>
      <c r="E714" t="str">
        <f>IF(C714&lt;B714, "INVALID: Ship date before order date", "")</f>
        <v/>
      </c>
      <c r="F714" t="str">
        <f>IF(B714="", "", TEXT(B714, "mmmm"))</f>
        <v>February</v>
      </c>
      <c r="G714">
        <f>IF(B714="", "", YEAR(B714))</f>
        <v>2024</v>
      </c>
      <c r="H714" t="s">
        <v>2169</v>
      </c>
      <c r="I714" t="s">
        <v>46</v>
      </c>
      <c r="J714" t="s">
        <v>93</v>
      </c>
      <c r="K714" t="s">
        <v>62</v>
      </c>
      <c r="L714" t="s">
        <v>72</v>
      </c>
      <c r="M714" t="s">
        <v>73</v>
      </c>
      <c r="N714" t="s">
        <v>40</v>
      </c>
      <c r="O714" t="s">
        <v>65</v>
      </c>
      <c r="P714" t="s">
        <v>2170</v>
      </c>
      <c r="Q714" t="s">
        <v>49</v>
      </c>
      <c r="R714">
        <v>7</v>
      </c>
      <c r="S714" s="15">
        <v>1382.86</v>
      </c>
      <c r="T714" s="4">
        <v>0</v>
      </c>
      <c r="U714" s="3" t="str">
        <f>IF(T714&lt;0, "negative_discount", IF(AND(T714&gt;0.5, T714&lt;=1), "high_discount", ""))</f>
        <v/>
      </c>
      <c r="V714" s="11">
        <v>9680.02</v>
      </c>
      <c r="W714" s="12">
        <v>9680.02</v>
      </c>
      <c r="X714" s="11">
        <v>6876.66</v>
      </c>
      <c r="Y714" s="11">
        <v>2803.36</v>
      </c>
      <c r="Z714" s="11">
        <f>ROUND(W714-X714,2)</f>
        <v>2803.36</v>
      </c>
      <c r="AA714" s="4">
        <f>IF(W714=0,0,Z714/W714)</f>
        <v>0.28960270743242267</v>
      </c>
      <c r="AB714" t="s">
        <v>31</v>
      </c>
      <c r="AC714" t="s">
        <v>32</v>
      </c>
      <c r="AD714" t="str">
        <f>IF(AND(E714="", T714&gt;=0, T714&lt;=0.5, K714&lt;&gt;"Unknown", Q714&lt;&gt;"Unknown"), "CLEAN", _xlfn.CONCAT("WARNING: ", IF(E714&lt;&gt;"","invalid_date",""), IF(T714&lt;0,"negative_discount",""), IF(AND(T714&gt;0.5,T714&lt;=1),"high_discount",""), IF(K714="Unknown","missing_region",""), IF(Q714="Unknown","missing_ship_mode","")))</f>
        <v>CLEAN</v>
      </c>
      <c r="AE714" t="str">
        <f>IF(COUNTIF($AF$2:$AF$926,AF714)&gt;1,"DUPLICATE","UNIQUE")</f>
        <v>UNIQUE</v>
      </c>
      <c r="AF714" t="str">
        <f>A714&amp;"|"&amp;B714&amp;"|"&amp;H714&amp;"|"&amp;I714&amp;"|"&amp;R714&amp;"|"&amp;S714&amp;"|"&amp;V714</f>
        <v>ORD-2024-10713|2024-02-10|CUST-5127|Isha Nair|7|1382.86|9680.02</v>
      </c>
      <c r="AG714" t="str">
        <f>IF(COUNTIF($A$2:$A$913,A714)&gt;1,"TRUE","FALSE")</f>
        <v>FALSE</v>
      </c>
    </row>
    <row r="715" spans="1:33">
      <c r="A715" t="s">
        <v>3298</v>
      </c>
      <c r="B715" t="s">
        <v>2791</v>
      </c>
      <c r="C715" t="s">
        <v>796</v>
      </c>
      <c r="D715">
        <f>IF(OR(B715="", C715=""), "", (C715 - B715))</f>
        <v>4</v>
      </c>
      <c r="E715" t="str">
        <f>IF(C715&lt;B715, "INVALID: Ship date before order date", "")</f>
        <v/>
      </c>
      <c r="F715" t="str">
        <f>IF(B715="", "", TEXT(B715, "mmmm"))</f>
        <v>June</v>
      </c>
      <c r="G715">
        <f>IF(B715="", "", YEAR(B715))</f>
        <v>2025</v>
      </c>
      <c r="H715" t="s">
        <v>602</v>
      </c>
      <c r="I715" t="s">
        <v>35</v>
      </c>
      <c r="J715" t="s">
        <v>23</v>
      </c>
      <c r="K715" t="s">
        <v>62</v>
      </c>
      <c r="L715" t="s">
        <v>25</v>
      </c>
      <c r="M715" t="s">
        <v>107</v>
      </c>
      <c r="N715" t="s">
        <v>74</v>
      </c>
      <c r="O715" t="s">
        <v>272</v>
      </c>
      <c r="P715" t="s">
        <v>2171</v>
      </c>
      <c r="Q715" t="s">
        <v>30</v>
      </c>
      <c r="R715">
        <v>1</v>
      </c>
      <c r="S715" s="15">
        <v>289.97000000000003</v>
      </c>
      <c r="T715" s="4">
        <v>0.25</v>
      </c>
      <c r="U715" s="3" t="str">
        <f>IF(T715&lt;0, "negative_discount", IF(AND(T715&gt;0.5, T715&lt;=1), "high_discount", ""))</f>
        <v/>
      </c>
      <c r="V715" s="11">
        <v>217.48</v>
      </c>
      <c r="W715" s="12">
        <v>217.48</v>
      </c>
      <c r="X715" s="11">
        <v>132.13</v>
      </c>
      <c r="Y715" s="11">
        <v>85.35</v>
      </c>
      <c r="Z715" s="11">
        <f>ROUND(W715-X715,2)</f>
        <v>85.35</v>
      </c>
      <c r="AA715" s="4">
        <f>IF(W715=0,0,Z715/W715)</f>
        <v>0.39244988044877688</v>
      </c>
      <c r="AB715" t="s">
        <v>31</v>
      </c>
      <c r="AC715" t="s">
        <v>32</v>
      </c>
      <c r="AD715" t="str">
        <f>IF(AND(E715="", T715&gt;=0, T715&lt;=0.5, K715&lt;&gt;"Unknown", Q715&lt;&gt;"Unknown"), "CLEAN", _xlfn.CONCAT("WARNING: ", IF(E715&lt;&gt;"","invalid_date",""), IF(T715&lt;0,"negative_discount",""), IF(AND(T715&gt;0.5,T715&lt;=1),"high_discount",""), IF(K715="Unknown","missing_region",""), IF(Q715="Unknown","missing_ship_mode","")))</f>
        <v>CLEAN</v>
      </c>
      <c r="AE715" t="str">
        <f>IF(COUNTIF($AF$2:$AF$926,AF715)&gt;1,"DUPLICATE","UNIQUE")</f>
        <v>UNIQUE</v>
      </c>
      <c r="AF715" t="str">
        <f>A715&amp;"|"&amp;B715&amp;"|"&amp;H715&amp;"|"&amp;I715&amp;"|"&amp;R715&amp;"|"&amp;S715&amp;"|"&amp;V715</f>
        <v>ORD-2025-10714|2025-06-06|CUST-2548|Mira Das|1|289.97|217.48</v>
      </c>
      <c r="AG715" t="str">
        <f>IF(COUNTIF($A$2:$A$913,A715)&gt;1,"TRUE","FALSE")</f>
        <v>FALSE</v>
      </c>
    </row>
    <row r="716" spans="1:33">
      <c r="A716" t="s">
        <v>3299</v>
      </c>
      <c r="B716" t="s">
        <v>2867</v>
      </c>
      <c r="C716" t="s">
        <v>1428</v>
      </c>
      <c r="D716">
        <f>IF(OR(B716="", C716=""), "", (C716 - B716))</f>
        <v>1</v>
      </c>
      <c r="E716" t="str">
        <f>IF(C716&lt;B716, "INVALID: Ship date before order date", "")</f>
        <v/>
      </c>
      <c r="F716" t="str">
        <f>IF(B716="", "", TEXT(B716, "mmmm"))</f>
        <v>March</v>
      </c>
      <c r="G716">
        <f>IF(B716="", "", YEAR(B716))</f>
        <v>2025</v>
      </c>
      <c r="H716" t="s">
        <v>2172</v>
      </c>
      <c r="I716" t="s">
        <v>22</v>
      </c>
      <c r="J716" t="s">
        <v>93</v>
      </c>
      <c r="K716" t="s">
        <v>24</v>
      </c>
      <c r="L716" t="s">
        <v>353</v>
      </c>
      <c r="M716" t="s">
        <v>354</v>
      </c>
      <c r="N716" t="s">
        <v>74</v>
      </c>
      <c r="O716" t="s">
        <v>79</v>
      </c>
      <c r="P716" t="s">
        <v>2173</v>
      </c>
      <c r="Q716" t="s">
        <v>58</v>
      </c>
      <c r="R716">
        <v>9</v>
      </c>
      <c r="S716" s="15">
        <v>2075.02</v>
      </c>
      <c r="T716" s="4">
        <v>0</v>
      </c>
      <c r="U716" s="3" t="str">
        <f>IF(T716&lt;0, "negative_discount", IF(AND(T716&gt;0.5, T716&lt;=1), "high_discount", ""))</f>
        <v/>
      </c>
      <c r="V716" s="11">
        <v>18675.18</v>
      </c>
      <c r="W716" s="12">
        <v>18675.18</v>
      </c>
      <c r="X716" s="11">
        <v>13974.7</v>
      </c>
      <c r="Y716" s="11">
        <v>4700.4799999999996</v>
      </c>
      <c r="Z716" s="11">
        <f>ROUND(W716-X716,2)</f>
        <v>4700.4799999999996</v>
      </c>
      <c r="AA716" s="4">
        <f>IF(W716=0,0,Z716/W716)</f>
        <v>0.25169663692665878</v>
      </c>
      <c r="AB716" t="s">
        <v>31</v>
      </c>
      <c r="AC716" t="s">
        <v>32</v>
      </c>
      <c r="AD716" t="str">
        <f>IF(AND(E716="", T716&gt;=0, T716&lt;=0.5, K716&lt;&gt;"Unknown", Q716&lt;&gt;"Unknown"), "CLEAN", _xlfn.CONCAT("WARNING: ", IF(E716&lt;&gt;"","invalid_date",""), IF(T716&lt;0,"negative_discount",""), IF(AND(T716&gt;0.5,T716&lt;=1),"high_discount",""), IF(K716="Unknown","missing_region",""), IF(Q716="Unknown","missing_ship_mode","")))</f>
        <v>CLEAN</v>
      </c>
      <c r="AE716" t="str">
        <f>IF(COUNTIF($AF$2:$AF$926,AF716)&gt;1,"DUPLICATE","UNIQUE")</f>
        <v>UNIQUE</v>
      </c>
      <c r="AF716" t="str">
        <f>A716&amp;"|"&amp;B716&amp;"|"&amp;H716&amp;"|"&amp;I716&amp;"|"&amp;R716&amp;"|"&amp;S716&amp;"|"&amp;V716</f>
        <v>ORD-2025-10715|2025-03-22|CUST-9902|Karan Malhotra|9|2075.02|18675.18</v>
      </c>
      <c r="AG716" t="str">
        <f>IF(COUNTIF($A$2:$A$913,A716)&gt;1,"TRUE","FALSE")</f>
        <v>FALSE</v>
      </c>
    </row>
    <row r="717" spans="1:33">
      <c r="A717" t="s">
        <v>3300</v>
      </c>
      <c r="B717" t="s">
        <v>321</v>
      </c>
      <c r="C717" t="s">
        <v>2617</v>
      </c>
      <c r="D717">
        <f>IF(OR(B717="", C717=""), "", (C717 - B717))</f>
        <v>5</v>
      </c>
      <c r="E717" t="str">
        <f>IF(C717&lt;B717, "INVALID: Ship date before order date", "")</f>
        <v/>
      </c>
      <c r="F717" t="str">
        <f>IF(B717="", "", TEXT(B717, "mmmm"))</f>
        <v>August</v>
      </c>
      <c r="G717">
        <f>IF(B717="", "", YEAR(B717))</f>
        <v>2025</v>
      </c>
      <c r="H717" t="s">
        <v>2174</v>
      </c>
      <c r="I717" t="s">
        <v>112</v>
      </c>
      <c r="J717" t="s">
        <v>23</v>
      </c>
      <c r="K717" t="s">
        <v>24</v>
      </c>
      <c r="L717" t="s">
        <v>234</v>
      </c>
      <c r="M717" t="s">
        <v>235</v>
      </c>
      <c r="N717" t="s">
        <v>40</v>
      </c>
      <c r="O717" t="s">
        <v>65</v>
      </c>
      <c r="P717" t="s">
        <v>2175</v>
      </c>
      <c r="Q717" t="s">
        <v>30</v>
      </c>
      <c r="R717">
        <v>7</v>
      </c>
      <c r="S717" s="15">
        <v>2843.09</v>
      </c>
      <c r="T717" s="4">
        <v>0</v>
      </c>
      <c r="U717" s="3" t="str">
        <f>IF(T717&lt;0, "negative_discount", IF(AND(T717&gt;0.5, T717&lt;=1), "high_discount", ""))</f>
        <v/>
      </c>
      <c r="V717" s="11">
        <v>19901.63</v>
      </c>
      <c r="W717" s="12">
        <v>19901.63</v>
      </c>
      <c r="X717" s="11">
        <v>15492.03</v>
      </c>
      <c r="Y717" s="11">
        <v>4409.6000000000004</v>
      </c>
      <c r="Z717" s="11">
        <f>ROUND(W717-X717,2)</f>
        <v>4409.6000000000004</v>
      </c>
      <c r="AA717" s="4">
        <f>IF(W717=0,0,Z717/W717)</f>
        <v>0.22156979101711771</v>
      </c>
      <c r="AB717" t="s">
        <v>99</v>
      </c>
      <c r="AC717" t="s">
        <v>67</v>
      </c>
      <c r="AD717" t="str">
        <f>IF(AND(E717="", T717&gt;=0, T717&lt;=0.5, K717&lt;&gt;"Unknown", Q717&lt;&gt;"Unknown"), "CLEAN", _xlfn.CONCAT("WARNING: ", IF(E717&lt;&gt;"","invalid_date",""), IF(T717&lt;0,"negative_discount",""), IF(AND(T717&gt;0.5,T717&lt;=1),"high_discount",""), IF(K717="Unknown","missing_region",""), IF(Q717="Unknown","missing_ship_mode","")))</f>
        <v>CLEAN</v>
      </c>
      <c r="AE717" t="str">
        <f>IF(COUNTIF($AF$2:$AF$926,AF717)&gt;1,"DUPLICATE","UNIQUE")</f>
        <v>UNIQUE</v>
      </c>
      <c r="AF717" t="str">
        <f>A717&amp;"|"&amp;B717&amp;"|"&amp;H717&amp;"|"&amp;I717&amp;"|"&amp;R717&amp;"|"&amp;S717&amp;"|"&amp;V717</f>
        <v>ORD-2025-10716|2025-08-22|CUST-7446|Priya Menon|7|2843.09|19901.63</v>
      </c>
      <c r="AG717" t="str">
        <f>IF(COUNTIF($A$2:$A$913,A717)&gt;1,"TRUE","FALSE")</f>
        <v>FALSE</v>
      </c>
    </row>
    <row r="718" spans="1:33">
      <c r="A718" t="s">
        <v>3301</v>
      </c>
      <c r="B718" t="s">
        <v>963</v>
      </c>
      <c r="C718" t="s">
        <v>2432</v>
      </c>
      <c r="D718">
        <f>IF(OR(B718="", C718=""), "", (C718 - B718))</f>
        <v>5</v>
      </c>
      <c r="E718" t="str">
        <f>IF(C718&lt;B718, "INVALID: Ship date before order date", "")</f>
        <v/>
      </c>
      <c r="F718" t="str">
        <f>IF(B718="", "", TEXT(B718, "mmmm"))</f>
        <v>August</v>
      </c>
      <c r="G718">
        <f>IF(B718="", "", YEAR(B718))</f>
        <v>2025</v>
      </c>
      <c r="H718" t="s">
        <v>2176</v>
      </c>
      <c r="I718" t="s">
        <v>158</v>
      </c>
      <c r="J718" t="s">
        <v>36</v>
      </c>
      <c r="K718" t="s">
        <v>24</v>
      </c>
      <c r="L718" t="s">
        <v>234</v>
      </c>
      <c r="M718" t="s">
        <v>235</v>
      </c>
      <c r="N718" t="s">
        <v>74</v>
      </c>
      <c r="O718" t="s">
        <v>168</v>
      </c>
      <c r="P718" t="s">
        <v>2177</v>
      </c>
      <c r="Q718" t="s">
        <v>49</v>
      </c>
      <c r="R718">
        <v>1</v>
      </c>
      <c r="S718" s="15">
        <v>3388.02</v>
      </c>
      <c r="T718" s="4">
        <v>0.15</v>
      </c>
      <c r="U718" s="3" t="str">
        <f>IF(T718&lt;0, "negative_discount", IF(AND(T718&gt;0.5, T718&lt;=1), "high_discount", ""))</f>
        <v/>
      </c>
      <c r="V718" s="11">
        <v>2879.82</v>
      </c>
      <c r="W718" s="12">
        <v>2879.82</v>
      </c>
      <c r="X718" s="11">
        <v>1824.88</v>
      </c>
      <c r="Y718" s="11">
        <v>1054.94</v>
      </c>
      <c r="Z718" s="11">
        <f>ROUND(W718-X718,2)</f>
        <v>1054.94</v>
      </c>
      <c r="AA718" s="4">
        <f>IF(W718=0,0,Z718/W718)</f>
        <v>0.36632150620524895</v>
      </c>
      <c r="AB718" t="s">
        <v>31</v>
      </c>
      <c r="AC718" t="s">
        <v>32</v>
      </c>
      <c r="AD718" t="str">
        <f>IF(AND(E718="", T718&gt;=0, T718&lt;=0.5, K718&lt;&gt;"Unknown", Q718&lt;&gt;"Unknown"), "CLEAN", _xlfn.CONCAT("WARNING: ", IF(E718&lt;&gt;"","invalid_date",""), IF(T718&lt;0,"negative_discount",""), IF(AND(T718&gt;0.5,T718&lt;=1),"high_discount",""), IF(K718="Unknown","missing_region",""), IF(Q718="Unknown","missing_ship_mode","")))</f>
        <v>CLEAN</v>
      </c>
      <c r="AE718" t="str">
        <f>IF(COUNTIF($AF$2:$AF$926,AF718)&gt;1,"DUPLICATE","UNIQUE")</f>
        <v>UNIQUE</v>
      </c>
      <c r="AF718" t="str">
        <f>A718&amp;"|"&amp;B718&amp;"|"&amp;H718&amp;"|"&amp;I718&amp;"|"&amp;R718&amp;"|"&amp;S718&amp;"|"&amp;V718</f>
        <v>ORD-2025-10717|2025-08-26|CUST-7540|Diya Patel|1|3388.02|2879.82</v>
      </c>
      <c r="AG718" t="str">
        <f>IF(COUNTIF($A$2:$A$913,A718)&gt;1,"TRUE","FALSE")</f>
        <v>FALSE</v>
      </c>
    </row>
    <row r="719" spans="1:33">
      <c r="A719" t="s">
        <v>3302</v>
      </c>
      <c r="B719" t="s">
        <v>2868</v>
      </c>
      <c r="C719" t="s">
        <v>2899</v>
      </c>
      <c r="D719">
        <f>IF(OR(B719="", C719=""), "", (C719 - B719))</f>
        <v>-56</v>
      </c>
      <c r="E719" t="str">
        <f>IF(C719&lt;B719, "INVALID: Ship date before order date", "")</f>
        <v>INVALID: Ship date before order date</v>
      </c>
      <c r="F719" t="str">
        <f>IF(B719="", "", TEXT(B719, "mmmm"))</f>
        <v>December</v>
      </c>
      <c r="G719">
        <f>IF(B719="", "", YEAR(B719))</f>
        <v>2025</v>
      </c>
      <c r="H719" t="s">
        <v>2178</v>
      </c>
      <c r="I719" t="s">
        <v>263</v>
      </c>
      <c r="J719" t="s">
        <v>36</v>
      </c>
      <c r="K719" t="s">
        <v>24</v>
      </c>
      <c r="L719" t="s">
        <v>234</v>
      </c>
      <c r="M719" t="s">
        <v>235</v>
      </c>
      <c r="N719" t="s">
        <v>74</v>
      </c>
      <c r="O719" t="s">
        <v>272</v>
      </c>
      <c r="P719" t="s">
        <v>2179</v>
      </c>
      <c r="Q719" t="s">
        <v>58</v>
      </c>
      <c r="R719">
        <v>9</v>
      </c>
      <c r="S719" s="15">
        <v>2598.92</v>
      </c>
      <c r="T719" s="4">
        <v>0.2</v>
      </c>
      <c r="U719" s="3" t="str">
        <f>IF(T719&lt;0, "negative_discount", IF(AND(T719&gt;0.5, T719&lt;=1), "high_discount", ""))</f>
        <v/>
      </c>
      <c r="V719" s="11">
        <v>18712.22</v>
      </c>
      <c r="W719" s="12">
        <v>18712.22</v>
      </c>
      <c r="X719" s="11">
        <v>11852.22</v>
      </c>
      <c r="Y719" s="11">
        <v>6860</v>
      </c>
      <c r="Z719" s="11">
        <f>ROUND(W719-X719,2)</f>
        <v>6860</v>
      </c>
      <c r="AA719" s="4">
        <f>IF(W719=0,0,Z719/W719)</f>
        <v>0.36660535201061123</v>
      </c>
      <c r="AB719" t="s">
        <v>109</v>
      </c>
      <c r="AC719" t="s">
        <v>67</v>
      </c>
      <c r="AD719" t="str">
        <f>IF(AND(E719="", T719&gt;=0, T719&lt;=0.5, K719&lt;&gt;"Unknown", Q719&lt;&gt;"Unknown"), "CLEAN", _xlfn.CONCAT("WARNING: ", IF(E719&lt;&gt;"","invalid_date",""), IF(T719&lt;0,"negative_discount",""), IF(AND(T719&gt;0.5,T719&lt;=1),"high_discount",""), IF(K719="Unknown","missing_region",""), IF(Q719="Unknown","missing_ship_mode","")))</f>
        <v>WARNING: invalid_date</v>
      </c>
      <c r="AE719" t="str">
        <f>IF(COUNTIF($AF$2:$AF$926,AF719)&gt;1,"DUPLICATE","UNIQUE")</f>
        <v>UNIQUE</v>
      </c>
      <c r="AF719" t="str">
        <f>A719&amp;"|"&amp;B719&amp;"|"&amp;H719&amp;"|"&amp;I719&amp;"|"&amp;R719&amp;"|"&amp;S719&amp;"|"&amp;V719</f>
        <v>ORD-2025-10718|2025-12-10|CUST-8351|Kabir Singh|9|2598.92|18712.22</v>
      </c>
      <c r="AG719" t="str">
        <f>IF(COUNTIF($A$2:$A$913,A719)&gt;1,"TRUE","FALSE")</f>
        <v>FALSE</v>
      </c>
    </row>
    <row r="720" spans="1:33">
      <c r="A720" t="s">
        <v>2180</v>
      </c>
      <c r="B720" t="s">
        <v>2702</v>
      </c>
      <c r="C720" t="s">
        <v>587</v>
      </c>
      <c r="D720">
        <f>IF(OR(B720="", C720=""), "", (C720 - B720))</f>
        <v>3</v>
      </c>
      <c r="E720" t="str">
        <f>IF(C720&lt;B720, "INVALID: Ship date before order date", "")</f>
        <v/>
      </c>
      <c r="F720" t="str">
        <f>IF(B720="", "", TEXT(B720, "mmmm"))</f>
        <v>September</v>
      </c>
      <c r="G720">
        <f>IF(B720="", "", YEAR(B720))</f>
        <v>2024</v>
      </c>
      <c r="H720" t="s">
        <v>2181</v>
      </c>
      <c r="I720" t="s">
        <v>35</v>
      </c>
      <c r="J720" t="s">
        <v>23</v>
      </c>
      <c r="K720" t="s">
        <v>62</v>
      </c>
      <c r="L720" t="s">
        <v>63</v>
      </c>
      <c r="M720" t="s">
        <v>64</v>
      </c>
      <c r="N720" t="s">
        <v>27</v>
      </c>
      <c r="O720" t="s">
        <v>47</v>
      </c>
      <c r="P720" t="s">
        <v>2182</v>
      </c>
      <c r="Q720" t="s">
        <v>43</v>
      </c>
      <c r="R720">
        <v>3</v>
      </c>
      <c r="S720" s="15">
        <v>1972.27</v>
      </c>
      <c r="T720" s="4">
        <v>0.2</v>
      </c>
      <c r="U720" s="3" t="str">
        <f>IF(T720&lt;0, "negative_discount", IF(AND(T720&gt;0.5, T720&lt;=1), "high_discount", ""))</f>
        <v/>
      </c>
      <c r="V720" s="11">
        <v>4733.45</v>
      </c>
      <c r="W720" s="12">
        <v>4733.45</v>
      </c>
      <c r="X720" s="11">
        <v>3672.32</v>
      </c>
      <c r="Y720" s="11">
        <v>1061.1300000000001</v>
      </c>
      <c r="Z720" s="11">
        <f>ROUND(W720-X720,2)</f>
        <v>1061.1300000000001</v>
      </c>
      <c r="AA720" s="4">
        <f>IF(W720=0,0,Z720/W720)</f>
        <v>0.22417686887999241</v>
      </c>
      <c r="AB720" t="s">
        <v>31</v>
      </c>
      <c r="AC720" t="s">
        <v>32</v>
      </c>
      <c r="AD720" t="str">
        <f>IF(AND(E720="", T720&gt;=0, T720&lt;=0.5, K720&lt;&gt;"Unknown", Q720&lt;&gt;"Unknown"), "CLEAN", _xlfn.CONCAT("WARNING: ", IF(E720&lt;&gt;"","invalid_date",""), IF(T720&lt;0,"negative_discount",""), IF(AND(T720&gt;0.5,T720&lt;=1),"high_discount",""), IF(K720="Unknown","missing_region",""), IF(Q720="Unknown","missing_ship_mode","")))</f>
        <v>CLEAN</v>
      </c>
      <c r="AE720" t="str">
        <f>IF(COUNTIF($AF$2:$AF$926,AF720)&gt;1,"DUPLICATE","UNIQUE")</f>
        <v>UNIQUE</v>
      </c>
      <c r="AF720" t="str">
        <f>A720&amp;"|"&amp;B720&amp;"|"&amp;H720&amp;"|"&amp;I720&amp;"|"&amp;R720&amp;"|"&amp;S720&amp;"|"&amp;V720</f>
        <v>ORD-2024-10719|2024-09-06|CUST-3918|Mira Das|3|1972.27|4733.45</v>
      </c>
      <c r="AG720" t="str">
        <f>IF(COUNTIF($A$2:$A$913,A720)&gt;1,"TRUE","FALSE")</f>
        <v>FALSE</v>
      </c>
    </row>
    <row r="721" spans="1:33">
      <c r="A721" t="s">
        <v>3303</v>
      </c>
      <c r="B721" t="s">
        <v>2780</v>
      </c>
      <c r="C721" t="s">
        <v>1112</v>
      </c>
      <c r="D721">
        <f>IF(OR(B721="", C721=""), "", (C721 - B721))</f>
        <v>1</v>
      </c>
      <c r="E721" t="str">
        <f>IF(C721&lt;B721, "INVALID: Ship date before order date", "")</f>
        <v/>
      </c>
      <c r="F721" t="str">
        <f>IF(B721="", "", TEXT(B721, "mmmm"))</f>
        <v>September</v>
      </c>
      <c r="G721">
        <f>IF(B721="", "", YEAR(B721))</f>
        <v>2025</v>
      </c>
      <c r="H721" t="s">
        <v>141</v>
      </c>
      <c r="I721" t="s">
        <v>263</v>
      </c>
      <c r="J721" t="s">
        <v>89</v>
      </c>
      <c r="K721" t="s">
        <v>62</v>
      </c>
      <c r="L721" t="s">
        <v>176</v>
      </c>
      <c r="M721" t="s">
        <v>177</v>
      </c>
      <c r="N721" t="s">
        <v>27</v>
      </c>
      <c r="O721" t="s">
        <v>47</v>
      </c>
      <c r="P721" t="s">
        <v>2183</v>
      </c>
      <c r="Q721" t="s">
        <v>43</v>
      </c>
      <c r="R721">
        <v>2</v>
      </c>
      <c r="S721" s="15">
        <v>2372.41</v>
      </c>
      <c r="T721" s="4">
        <v>0.2</v>
      </c>
      <c r="U721" s="3" t="str">
        <f>IF(T721&lt;0, "negative_discount", IF(AND(T721&gt;0.5, T721&lt;=1), "high_discount", ""))</f>
        <v/>
      </c>
      <c r="V721" s="11">
        <v>3795.86</v>
      </c>
      <c r="W721" s="12">
        <v>3795.86</v>
      </c>
      <c r="X721" s="11">
        <v>2264.92</v>
      </c>
      <c r="Y721" s="11">
        <v>1530.94</v>
      </c>
      <c r="Z721" s="11">
        <f>ROUND(W721-X721,2)</f>
        <v>1530.94</v>
      </c>
      <c r="AA721" s="4">
        <f>IF(W721=0,0,Z721/W721)</f>
        <v>0.40331835209939249</v>
      </c>
      <c r="AB721" t="s">
        <v>31</v>
      </c>
      <c r="AC721" t="s">
        <v>32</v>
      </c>
      <c r="AD721" t="str">
        <f>IF(AND(E721="", T721&gt;=0, T721&lt;=0.5, K721&lt;&gt;"Unknown", Q721&lt;&gt;"Unknown"), "CLEAN", _xlfn.CONCAT("WARNING: ", IF(E721&lt;&gt;"","invalid_date",""), IF(T721&lt;0,"negative_discount",""), IF(AND(T721&gt;0.5,T721&lt;=1),"high_discount",""), IF(K721="Unknown","missing_region",""), IF(Q721="Unknown","missing_ship_mode","")))</f>
        <v>CLEAN</v>
      </c>
      <c r="AE721" t="str">
        <f>IF(COUNTIF($AF$2:$AF$926,AF721)&gt;1,"DUPLICATE","UNIQUE")</f>
        <v>UNIQUE</v>
      </c>
      <c r="AF721" t="str">
        <f>A721&amp;"|"&amp;B721&amp;"|"&amp;H721&amp;"|"&amp;I721&amp;"|"&amp;R721&amp;"|"&amp;S721&amp;"|"&amp;V721</f>
        <v>ORD-2025-10720|2025-09-08|CUST-3190|Kabir Singh|2|2372.41|3795.86</v>
      </c>
      <c r="AG721" t="str">
        <f>IF(COUNTIF($A$2:$A$913,A721)&gt;1,"TRUE","FALSE")</f>
        <v>FALSE</v>
      </c>
    </row>
    <row r="722" spans="1:33">
      <c r="A722" t="s">
        <v>2184</v>
      </c>
      <c r="B722" t="s">
        <v>725</v>
      </c>
      <c r="C722" t="s">
        <v>725</v>
      </c>
      <c r="D722">
        <f>IF(OR(B722="", C722=""), "", (C722 - B722))</f>
        <v>0</v>
      </c>
      <c r="E722" t="str">
        <f>IF(C722&lt;B722, "INVALID: Ship date before order date", "")</f>
        <v/>
      </c>
      <c r="F722" t="str">
        <f>IF(B722="", "", TEXT(B722, "mmmm"))</f>
        <v>July</v>
      </c>
      <c r="G722">
        <f>IF(B722="", "", YEAR(B722))</f>
        <v>2024</v>
      </c>
      <c r="H722" t="s">
        <v>2185</v>
      </c>
      <c r="I722" t="s">
        <v>88</v>
      </c>
      <c r="J722" t="s">
        <v>93</v>
      </c>
      <c r="K722" t="s">
        <v>62</v>
      </c>
      <c r="L722" t="s">
        <v>72</v>
      </c>
      <c r="M722" t="s">
        <v>73</v>
      </c>
      <c r="N722" t="s">
        <v>74</v>
      </c>
      <c r="O722" t="s">
        <v>79</v>
      </c>
      <c r="P722" t="s">
        <v>2186</v>
      </c>
      <c r="Q722" t="s">
        <v>43</v>
      </c>
      <c r="R722">
        <v>4</v>
      </c>
      <c r="S722" s="15">
        <v>4479.92</v>
      </c>
      <c r="T722" s="4">
        <v>0</v>
      </c>
      <c r="U722" s="3" t="str">
        <f>IF(T722&lt;0, "negative_discount", IF(AND(T722&gt;0.5, T722&lt;=1), "high_discount", ""))</f>
        <v/>
      </c>
      <c r="V722" s="11">
        <v>15231.73</v>
      </c>
      <c r="W722" s="12">
        <v>17919.68</v>
      </c>
      <c r="X722" s="11">
        <v>12451.46</v>
      </c>
      <c r="Y722" s="11">
        <v>2780.27</v>
      </c>
      <c r="Z722" s="11">
        <f>ROUND(W722-X722,2)</f>
        <v>5468.22</v>
      </c>
      <c r="AA722" s="4">
        <f>IF(W722=0,0,Z722/W722)</f>
        <v>0.30515165449383025</v>
      </c>
      <c r="AB722" t="s">
        <v>31</v>
      </c>
      <c r="AC722" t="s">
        <v>32</v>
      </c>
      <c r="AD722" t="str">
        <f>IF(AND(E722="", T722&gt;=0, T722&lt;=0.5, K722&lt;&gt;"Unknown", Q722&lt;&gt;"Unknown"), "CLEAN", _xlfn.CONCAT("WARNING: ", IF(E722&lt;&gt;"","invalid_date",""), IF(T722&lt;0,"negative_discount",""), IF(AND(T722&gt;0.5,T722&lt;=1),"high_discount",""), IF(K722="Unknown","missing_region",""), IF(Q722="Unknown","missing_ship_mode","")))</f>
        <v>CLEAN</v>
      </c>
      <c r="AE722" t="str">
        <f>IF(COUNTIF($AF$2:$AF$926,AF722)&gt;1,"DUPLICATE","UNIQUE")</f>
        <v>UNIQUE</v>
      </c>
      <c r="AF722" t="str">
        <f>A722&amp;"|"&amp;B722&amp;"|"&amp;H722&amp;"|"&amp;I722&amp;"|"&amp;R722&amp;"|"&amp;S722&amp;"|"&amp;V722</f>
        <v>ORD-2024-10721|2024-07-16|CUST-1991|Aditi Sen|4|4479.92|15231.73</v>
      </c>
      <c r="AG722" t="str">
        <f>IF(COUNTIF($A$2:$A$913,A722)&gt;1,"TRUE","FALSE")</f>
        <v>FALSE</v>
      </c>
    </row>
    <row r="723" spans="1:33">
      <c r="A723" t="s">
        <v>3304</v>
      </c>
      <c r="B723" t="s">
        <v>1016</v>
      </c>
      <c r="C723" t="s">
        <v>2953</v>
      </c>
      <c r="D723">
        <f>IF(OR(B723="", C723=""), "", (C723 - B723))</f>
        <v>4</v>
      </c>
      <c r="E723" t="str">
        <f>IF(C723&lt;B723, "INVALID: Ship date before order date", "")</f>
        <v/>
      </c>
      <c r="F723" t="str">
        <f>IF(B723="", "", TEXT(B723, "mmmm"))</f>
        <v>June</v>
      </c>
      <c r="G723">
        <f>IF(B723="", "", YEAR(B723))</f>
        <v>2025</v>
      </c>
      <c r="H723" t="s">
        <v>2187</v>
      </c>
      <c r="I723" t="s">
        <v>131</v>
      </c>
      <c r="J723" t="s">
        <v>23</v>
      </c>
      <c r="K723" t="s">
        <v>53</v>
      </c>
      <c r="L723" t="s">
        <v>171</v>
      </c>
      <c r="M723" t="s">
        <v>172</v>
      </c>
      <c r="N723" t="s">
        <v>74</v>
      </c>
      <c r="O723" t="s">
        <v>79</v>
      </c>
      <c r="P723" t="s">
        <v>2188</v>
      </c>
      <c r="Q723" t="s">
        <v>49</v>
      </c>
      <c r="R723">
        <v>5</v>
      </c>
      <c r="S723" s="15">
        <v>2729.95</v>
      </c>
      <c r="T723" s="4">
        <v>0</v>
      </c>
      <c r="U723" s="3" t="str">
        <f>IF(T723&lt;0, "negative_discount", IF(AND(T723&gt;0.5, T723&lt;=1), "high_discount", ""))</f>
        <v/>
      </c>
      <c r="V723" s="11">
        <v>13649.75</v>
      </c>
      <c r="W723" s="12">
        <v>13649.75</v>
      </c>
      <c r="X723" s="11">
        <v>10288.030000000001</v>
      </c>
      <c r="Y723" s="11">
        <v>3361.72</v>
      </c>
      <c r="Z723" s="11">
        <f>ROUND(W723-X723,2)</f>
        <v>3361.72</v>
      </c>
      <c r="AA723" s="4">
        <f>IF(W723=0,0,Z723/W723)</f>
        <v>0.24628436418249416</v>
      </c>
      <c r="AB723" t="s">
        <v>31</v>
      </c>
      <c r="AC723" t="s">
        <v>32</v>
      </c>
      <c r="AD723" t="str">
        <f>IF(AND(E723="", T723&gt;=0, T723&lt;=0.5, K723&lt;&gt;"Unknown", Q723&lt;&gt;"Unknown"), "CLEAN", _xlfn.CONCAT("WARNING: ", IF(E723&lt;&gt;"","invalid_date",""), IF(T723&lt;0,"negative_discount",""), IF(AND(T723&gt;0.5,T723&lt;=1),"high_discount",""), IF(K723="Unknown","missing_region",""), IF(Q723="Unknown","missing_ship_mode","")))</f>
        <v>CLEAN</v>
      </c>
      <c r="AE723" t="str">
        <f>IF(COUNTIF($AF$2:$AF$926,AF723)&gt;1,"DUPLICATE","UNIQUE")</f>
        <v>UNIQUE</v>
      </c>
      <c r="AF723" t="str">
        <f>A723&amp;"|"&amp;B723&amp;"|"&amp;H723&amp;"|"&amp;I723&amp;"|"&amp;R723&amp;"|"&amp;S723&amp;"|"&amp;V723</f>
        <v>ORD-2025-10722|2025-06-19|CUST-7606|Sneha Kapoor|5|2729.95|13649.75</v>
      </c>
      <c r="AG723" t="str">
        <f>IF(COUNTIF($A$2:$A$913,A723)&gt;1,"TRUE","FALSE")</f>
        <v>FALSE</v>
      </c>
    </row>
    <row r="724" spans="1:33">
      <c r="A724" t="s">
        <v>2189</v>
      </c>
      <c r="B724" t="s">
        <v>1656</v>
      </c>
      <c r="C724" t="s">
        <v>2687</v>
      </c>
      <c r="D724">
        <f>IF(OR(B724="", C724=""), "", (C724 - B724))</f>
        <v>3</v>
      </c>
      <c r="E724" t="str">
        <f>IF(C724&lt;B724, "INVALID: Ship date before order date", "")</f>
        <v/>
      </c>
      <c r="F724" t="str">
        <f>IF(B724="", "", TEXT(B724, "mmmm"))</f>
        <v>October</v>
      </c>
      <c r="G724">
        <f>IF(B724="", "", YEAR(B724))</f>
        <v>2024</v>
      </c>
      <c r="H724" t="s">
        <v>2190</v>
      </c>
      <c r="I724" t="s">
        <v>71</v>
      </c>
      <c r="J724" t="s">
        <v>23</v>
      </c>
      <c r="K724" t="s">
        <v>37</v>
      </c>
      <c r="L724" t="s">
        <v>96</v>
      </c>
      <c r="M724" t="s">
        <v>97</v>
      </c>
      <c r="N724" t="s">
        <v>40</v>
      </c>
      <c r="O724" t="s">
        <v>65</v>
      </c>
      <c r="P724" t="s">
        <v>2191</v>
      </c>
      <c r="Q724" t="s">
        <v>30</v>
      </c>
      <c r="R724">
        <v>9</v>
      </c>
      <c r="S724" s="15">
        <v>481.51</v>
      </c>
      <c r="T724" s="4">
        <v>0</v>
      </c>
      <c r="U724" s="3" t="str">
        <f>IF(T724&lt;0, "negative_discount", IF(AND(T724&gt;0.5, T724&lt;=1), "high_discount", ""))</f>
        <v/>
      </c>
      <c r="V724" s="11">
        <v>4333.59</v>
      </c>
      <c r="W724" s="12">
        <v>4333.59</v>
      </c>
      <c r="X724" s="11">
        <v>2533.59</v>
      </c>
      <c r="Y724" s="11">
        <v>1800</v>
      </c>
      <c r="Z724" s="11">
        <f>ROUND(W724-X724,2)</f>
        <v>1800</v>
      </c>
      <c r="AA724" s="4">
        <f>IF(W724=0,0,Z724/W724)</f>
        <v>0.41536001329152039</v>
      </c>
      <c r="AB724" t="s">
        <v>99</v>
      </c>
      <c r="AC724" t="s">
        <v>67</v>
      </c>
      <c r="AD724" t="str">
        <f>IF(AND(E724="", T724&gt;=0, T724&lt;=0.5, K724&lt;&gt;"Unknown", Q724&lt;&gt;"Unknown"), "CLEAN", _xlfn.CONCAT("WARNING: ", IF(E724&lt;&gt;"","invalid_date",""), IF(T724&lt;0,"negative_discount",""), IF(AND(T724&gt;0.5,T724&lt;=1),"high_discount",""), IF(K724="Unknown","missing_region",""), IF(Q724="Unknown","missing_ship_mode","")))</f>
        <v>CLEAN</v>
      </c>
      <c r="AE724" t="str">
        <f>IF(COUNTIF($AF$2:$AF$926,AF724)&gt;1,"DUPLICATE","UNIQUE")</f>
        <v>UNIQUE</v>
      </c>
      <c r="AF724" t="str">
        <f>A724&amp;"|"&amp;B724&amp;"|"&amp;H724&amp;"|"&amp;I724&amp;"|"&amp;R724&amp;"|"&amp;S724&amp;"|"&amp;V724</f>
        <v>ORD-2024-10723|2024-10-07|CUST-8844|Vikram Iyer|9|481.51|4333.59</v>
      </c>
      <c r="AG724" t="str">
        <f>IF(COUNTIF($A$2:$A$913,A724)&gt;1,"TRUE","FALSE")</f>
        <v>FALSE</v>
      </c>
    </row>
    <row r="725" spans="1:33">
      <c r="A725" t="s">
        <v>3305</v>
      </c>
      <c r="B725" t="s">
        <v>2869</v>
      </c>
      <c r="C725" t="s">
        <v>2192</v>
      </c>
      <c r="D725">
        <f>IF(OR(B725="", C725=""), "", (C725 - B725))</f>
        <v>7</v>
      </c>
      <c r="E725" t="str">
        <f>IF(C725&lt;B725, "INVALID: Ship date before order date", "")</f>
        <v/>
      </c>
      <c r="F725" t="str">
        <f>IF(B725="", "", TEXT(B725, "mmmm"))</f>
        <v>October</v>
      </c>
      <c r="G725">
        <f>IF(B725="", "", YEAR(B725))</f>
        <v>2025</v>
      </c>
      <c r="H725" t="s">
        <v>2193</v>
      </c>
      <c r="I725" t="s">
        <v>263</v>
      </c>
      <c r="J725" t="s">
        <v>93</v>
      </c>
      <c r="K725" t="s">
        <v>37</v>
      </c>
      <c r="L725" t="s">
        <v>226</v>
      </c>
      <c r="M725" t="s">
        <v>227</v>
      </c>
      <c r="N725" t="s">
        <v>74</v>
      </c>
      <c r="O725" t="s">
        <v>75</v>
      </c>
      <c r="P725" t="s">
        <v>2194</v>
      </c>
      <c r="Q725" t="s">
        <v>58</v>
      </c>
      <c r="R725">
        <v>6</v>
      </c>
      <c r="S725" s="15">
        <v>2391.9299999999998</v>
      </c>
      <c r="T725" s="4">
        <v>0.05</v>
      </c>
      <c r="U725" s="3" t="str">
        <f>IF(T725&lt;0, "negative_discount", IF(AND(T725&gt;0.5, T725&lt;=1), "high_discount", ""))</f>
        <v/>
      </c>
      <c r="V725" s="11">
        <v>13634</v>
      </c>
      <c r="W725" s="12">
        <v>13634</v>
      </c>
      <c r="X725" s="11">
        <v>9589.81</v>
      </c>
      <c r="Y725" s="11">
        <v>4044.19</v>
      </c>
      <c r="Z725" s="11">
        <f>ROUND(W725-X725,2)</f>
        <v>4044.19</v>
      </c>
      <c r="AA725" s="4">
        <f>IF(W725=0,0,Z725/W725)</f>
        <v>0.29662534839372157</v>
      </c>
      <c r="AB725" t="s">
        <v>151</v>
      </c>
      <c r="AC725" t="s">
        <v>100</v>
      </c>
      <c r="AD725" t="str">
        <f>IF(AND(E725="", T725&gt;=0, T725&lt;=0.5, K725&lt;&gt;"Unknown", Q725&lt;&gt;"Unknown"), "CLEAN", _xlfn.CONCAT("WARNING: ", IF(E725&lt;&gt;"","invalid_date",""), IF(T725&lt;0,"negative_discount",""), IF(AND(T725&gt;0.5,T725&lt;=1),"high_discount",""), IF(K725="Unknown","missing_region",""), IF(Q725="Unknown","missing_ship_mode","")))</f>
        <v>CLEAN</v>
      </c>
      <c r="AE725" t="str">
        <f>IF(COUNTIF($AF$2:$AF$926,AF725)&gt;1,"DUPLICATE","UNIQUE")</f>
        <v>UNIQUE</v>
      </c>
      <c r="AF725" t="str">
        <f>A725&amp;"|"&amp;B725&amp;"|"&amp;H725&amp;"|"&amp;I725&amp;"|"&amp;R725&amp;"|"&amp;S725&amp;"|"&amp;V725</f>
        <v>ORD-2025-10724|2025-10-06|CUST-4335|Kabir Singh|6|2391.93|13634</v>
      </c>
      <c r="AG725" t="str">
        <f>IF(COUNTIF($A$2:$A$913,A725)&gt;1,"TRUE","FALSE")</f>
        <v>FALSE</v>
      </c>
    </row>
    <row r="726" spans="1:33">
      <c r="A726" t="s">
        <v>2195</v>
      </c>
      <c r="B726" t="s">
        <v>1442</v>
      </c>
      <c r="C726" t="s">
        <v>2771</v>
      </c>
      <c r="D726">
        <f>IF(OR(B726="", C726=""), "", (C726 - B726))</f>
        <v>6</v>
      </c>
      <c r="E726" t="str">
        <f>IF(C726&lt;B726, "INVALID: Ship date before order date", "")</f>
        <v/>
      </c>
      <c r="F726" t="str">
        <f>IF(B726="", "", TEXT(B726, "mmmm"))</f>
        <v>February</v>
      </c>
      <c r="G726">
        <f>IF(B726="", "", YEAR(B726))</f>
        <v>2024</v>
      </c>
      <c r="H726" t="s">
        <v>2196</v>
      </c>
      <c r="I726" t="s">
        <v>22</v>
      </c>
      <c r="J726" t="s">
        <v>23</v>
      </c>
      <c r="K726" t="s">
        <v>62</v>
      </c>
      <c r="L726" t="s">
        <v>185</v>
      </c>
      <c r="M726" t="s">
        <v>186</v>
      </c>
      <c r="N726" t="s">
        <v>40</v>
      </c>
      <c r="O726" t="s">
        <v>56</v>
      </c>
      <c r="P726" t="s">
        <v>2197</v>
      </c>
      <c r="Q726" t="s">
        <v>30</v>
      </c>
      <c r="R726">
        <v>3</v>
      </c>
      <c r="S726" s="15">
        <v>253.43</v>
      </c>
      <c r="T726" s="4">
        <v>0</v>
      </c>
      <c r="U726" s="3" t="str">
        <f>IF(T726&lt;0, "negative_discount", IF(AND(T726&gt;0.5, T726&lt;=1), "high_discount", ""))</f>
        <v/>
      </c>
      <c r="V726" s="11">
        <v>760.29</v>
      </c>
      <c r="W726" s="12">
        <v>760.29</v>
      </c>
      <c r="X726" s="11">
        <v>497.77</v>
      </c>
      <c r="Y726" s="11">
        <v>262.52</v>
      </c>
      <c r="Z726" s="11">
        <f>ROUND(W726-X726,2)</f>
        <v>262.52</v>
      </c>
      <c r="AA726" s="4">
        <f>IF(W726=0,0,Z726/W726)</f>
        <v>0.34528929750489945</v>
      </c>
      <c r="AB726" t="s">
        <v>31</v>
      </c>
      <c r="AC726" t="s">
        <v>32</v>
      </c>
      <c r="AD726" t="str">
        <f>IF(AND(E726="", T726&gt;=0, T726&lt;=0.5, K726&lt;&gt;"Unknown", Q726&lt;&gt;"Unknown"), "CLEAN", _xlfn.CONCAT("WARNING: ", IF(E726&lt;&gt;"","invalid_date",""), IF(T726&lt;0,"negative_discount",""), IF(AND(T726&gt;0.5,T726&lt;=1),"high_discount",""), IF(K726="Unknown","missing_region",""), IF(Q726="Unknown","missing_ship_mode","")))</f>
        <v>CLEAN</v>
      </c>
      <c r="AE726" t="str">
        <f>IF(COUNTIF($AF$2:$AF$926,AF726)&gt;1,"DUPLICATE","UNIQUE")</f>
        <v>UNIQUE</v>
      </c>
      <c r="AF726" t="str">
        <f>A726&amp;"|"&amp;B726&amp;"|"&amp;H726&amp;"|"&amp;I726&amp;"|"&amp;R726&amp;"|"&amp;S726&amp;"|"&amp;V726</f>
        <v>ORD-2024-10725|2024-02-10|CUST-5891|Karan Malhotra|3|253.43|760.29</v>
      </c>
      <c r="AG726" t="str">
        <f>IF(COUNTIF($A$2:$A$913,A726)&gt;1,"TRUE","FALSE")</f>
        <v>FALSE</v>
      </c>
    </row>
    <row r="727" spans="1:33">
      <c r="A727" t="s">
        <v>3306</v>
      </c>
      <c r="B727" t="s">
        <v>1652</v>
      </c>
      <c r="C727" t="s">
        <v>110</v>
      </c>
      <c r="D727">
        <f>IF(OR(B727="", C727=""), "", (C727 - B727))</f>
        <v>7</v>
      </c>
      <c r="E727" t="str">
        <f>IF(C727&lt;B727, "INVALID: Ship date before order date", "")</f>
        <v/>
      </c>
      <c r="F727" t="str">
        <f>IF(B727="", "", TEXT(B727, "mmmm"))</f>
        <v>October</v>
      </c>
      <c r="G727">
        <f>IF(B727="", "", YEAR(B727))</f>
        <v>2025</v>
      </c>
      <c r="H727" t="s">
        <v>2198</v>
      </c>
      <c r="I727" t="s">
        <v>112</v>
      </c>
      <c r="J727" t="s">
        <v>89</v>
      </c>
      <c r="K727" t="s">
        <v>53</v>
      </c>
      <c r="L727" t="s">
        <v>171</v>
      </c>
      <c r="M727" t="s">
        <v>172</v>
      </c>
      <c r="N727" t="s">
        <v>40</v>
      </c>
      <c r="O727" t="s">
        <v>41</v>
      </c>
      <c r="P727" t="s">
        <v>2199</v>
      </c>
      <c r="Q727" t="s">
        <v>30</v>
      </c>
      <c r="R727">
        <v>7</v>
      </c>
      <c r="S727" s="15">
        <v>2134.73</v>
      </c>
      <c r="T727" s="4">
        <v>0</v>
      </c>
      <c r="U727" s="3" t="str">
        <f>IF(T727&lt;0, "negative_discount", IF(AND(T727&gt;0.5, T727&lt;=1), "high_discount", ""))</f>
        <v/>
      </c>
      <c r="V727" s="11">
        <v>14943.11</v>
      </c>
      <c r="W727" s="12">
        <v>14943.11</v>
      </c>
      <c r="X727" s="11">
        <v>8521.5</v>
      </c>
      <c r="Y727" s="11">
        <v>6421.61</v>
      </c>
      <c r="Z727" s="11">
        <f>ROUND(W727-X727,2)</f>
        <v>6421.61</v>
      </c>
      <c r="AA727" s="4">
        <f>IF(W727=0,0,Z727/W727)</f>
        <v>0.42973718322357257</v>
      </c>
      <c r="AB727" t="s">
        <v>31</v>
      </c>
      <c r="AC727" t="s">
        <v>32</v>
      </c>
      <c r="AD727" t="str">
        <f>IF(AND(E727="", T727&gt;=0, T727&lt;=0.5, K727&lt;&gt;"Unknown", Q727&lt;&gt;"Unknown"), "CLEAN", _xlfn.CONCAT("WARNING: ", IF(E727&lt;&gt;"","invalid_date",""), IF(T727&lt;0,"negative_discount",""), IF(AND(T727&gt;0.5,T727&lt;=1),"high_discount",""), IF(K727="Unknown","missing_region",""), IF(Q727="Unknown","missing_ship_mode","")))</f>
        <v>CLEAN</v>
      </c>
      <c r="AE727" t="str">
        <f>IF(COUNTIF($AF$2:$AF$926,AF727)&gt;1,"DUPLICATE","UNIQUE")</f>
        <v>UNIQUE</v>
      </c>
      <c r="AF727" t="str">
        <f>A727&amp;"|"&amp;B727&amp;"|"&amp;H727&amp;"|"&amp;I727&amp;"|"&amp;R727&amp;"|"&amp;S727&amp;"|"&amp;V727</f>
        <v>ORD-2025-10726|2025-10-05|CUST-6371|Priya Menon|7|2134.73|14943.11</v>
      </c>
      <c r="AG727" t="str">
        <f>IF(COUNTIF($A$2:$A$913,A727)&gt;1,"TRUE","FALSE")</f>
        <v>FALSE</v>
      </c>
    </row>
    <row r="728" spans="1:33">
      <c r="A728" t="s">
        <v>2200</v>
      </c>
      <c r="B728" t="s">
        <v>2201</v>
      </c>
      <c r="C728" t="s">
        <v>2923</v>
      </c>
      <c r="D728">
        <f>IF(OR(B728="", C728=""), "", (C728 - B728))</f>
        <v>6</v>
      </c>
      <c r="E728" t="str">
        <f>IF(C728&lt;B728, "INVALID: Ship date before order date", "")</f>
        <v/>
      </c>
      <c r="F728" t="str">
        <f>IF(B728="", "", TEXT(B728, "mmmm"))</f>
        <v>January</v>
      </c>
      <c r="G728">
        <f>IF(B728="", "", YEAR(B728))</f>
        <v>2024</v>
      </c>
      <c r="H728" t="s">
        <v>2202</v>
      </c>
      <c r="I728" t="s">
        <v>263</v>
      </c>
      <c r="J728" t="s">
        <v>93</v>
      </c>
      <c r="K728" t="s">
        <v>62</v>
      </c>
      <c r="L728" t="s">
        <v>176</v>
      </c>
      <c r="M728" t="s">
        <v>177</v>
      </c>
      <c r="N728" t="s">
        <v>74</v>
      </c>
      <c r="O728" t="s">
        <v>168</v>
      </c>
      <c r="P728" t="s">
        <v>2203</v>
      </c>
      <c r="Q728" t="s">
        <v>58</v>
      </c>
      <c r="R728">
        <v>5</v>
      </c>
      <c r="S728" s="15">
        <v>2018</v>
      </c>
      <c r="T728" s="4">
        <v>0.2</v>
      </c>
      <c r="U728" s="3" t="str">
        <f>IF(T728&lt;0, "negative_discount", IF(AND(T728&gt;0.5, T728&lt;=1), "high_discount", ""))</f>
        <v/>
      </c>
      <c r="V728" s="11">
        <v>8072</v>
      </c>
      <c r="W728" s="12">
        <v>8072</v>
      </c>
      <c r="X728" s="11">
        <v>5379.22</v>
      </c>
      <c r="Y728" s="11">
        <v>2692.78</v>
      </c>
      <c r="Z728" s="11">
        <f>ROUND(W728-X728,2)</f>
        <v>2692.78</v>
      </c>
      <c r="AA728" s="4">
        <f>IF(W728=0,0,Z728/W728)</f>
        <v>0.33359514370664028</v>
      </c>
      <c r="AB728" t="s">
        <v>109</v>
      </c>
      <c r="AC728" t="s">
        <v>100</v>
      </c>
      <c r="AD728" t="str">
        <f>IF(AND(E728="", T728&gt;=0, T728&lt;=0.5, K728&lt;&gt;"Unknown", Q728&lt;&gt;"Unknown"), "CLEAN", _xlfn.CONCAT("WARNING: ", IF(E728&lt;&gt;"","invalid_date",""), IF(T728&lt;0,"negative_discount",""), IF(AND(T728&gt;0.5,T728&lt;=1),"high_discount",""), IF(K728="Unknown","missing_region",""), IF(Q728="Unknown","missing_ship_mode","")))</f>
        <v>CLEAN</v>
      </c>
      <c r="AE728" t="str">
        <f>IF(COUNTIF($AF$2:$AF$926,AF728)&gt;1,"DUPLICATE","UNIQUE")</f>
        <v>UNIQUE</v>
      </c>
      <c r="AF728" t="str">
        <f>A728&amp;"|"&amp;B728&amp;"|"&amp;H728&amp;"|"&amp;I728&amp;"|"&amp;R728&amp;"|"&amp;S728&amp;"|"&amp;V728</f>
        <v>ORD-2024-10727|2024-01-17|CUST-6655|Kabir Singh|5|2018|8072</v>
      </c>
      <c r="AG728" t="str">
        <f>IF(COUNTIF($A$2:$A$913,A728)&gt;1,"TRUE","FALSE")</f>
        <v>FALSE</v>
      </c>
    </row>
    <row r="729" spans="1:33">
      <c r="A729" t="s">
        <v>2204</v>
      </c>
      <c r="B729" t="s">
        <v>2870</v>
      </c>
      <c r="C729" t="s">
        <v>2870</v>
      </c>
      <c r="D729">
        <f>IF(OR(B729="", C729=""), "", (C729 - B729))</f>
        <v>0</v>
      </c>
      <c r="E729" t="str">
        <f>IF(C729&lt;B729, "INVALID: Ship date before order date", "")</f>
        <v/>
      </c>
      <c r="F729" t="str">
        <f>IF(B729="", "", TEXT(B729, "mmmm"))</f>
        <v>October</v>
      </c>
      <c r="G729">
        <f>IF(B729="", "", YEAR(B729))</f>
        <v>2024</v>
      </c>
      <c r="H729" t="s">
        <v>2205</v>
      </c>
      <c r="I729" t="s">
        <v>126</v>
      </c>
      <c r="J729" t="s">
        <v>36</v>
      </c>
      <c r="K729" t="s">
        <v>37</v>
      </c>
      <c r="L729" t="s">
        <v>163</v>
      </c>
      <c r="M729" t="s">
        <v>164</v>
      </c>
      <c r="N729" t="s">
        <v>74</v>
      </c>
      <c r="O729" t="s">
        <v>75</v>
      </c>
      <c r="P729" t="s">
        <v>2206</v>
      </c>
      <c r="Q729" t="s">
        <v>30</v>
      </c>
      <c r="R729">
        <v>8</v>
      </c>
      <c r="S729" s="15">
        <v>3730.66</v>
      </c>
      <c r="T729" s="4">
        <v>0.05</v>
      </c>
      <c r="U729" s="3" t="str">
        <f>IF(T729&lt;0, "negative_discount", IF(AND(T729&gt;0.5, T729&lt;=1), "high_discount", ""))</f>
        <v/>
      </c>
      <c r="V729" s="11">
        <v>28353.02</v>
      </c>
      <c r="W729" s="12">
        <v>28353.02</v>
      </c>
      <c r="X729" s="11">
        <v>19257.849999999999</v>
      </c>
      <c r="Y729" s="11">
        <v>9095.17</v>
      </c>
      <c r="Z729" s="11">
        <f>ROUND(W729-X729,2)</f>
        <v>9095.17</v>
      </c>
      <c r="AA729" s="4">
        <f>IF(W729=0,0,Z729/W729)</f>
        <v>0.32078311234570428</v>
      </c>
      <c r="AB729" t="s">
        <v>31</v>
      </c>
      <c r="AC729" t="s">
        <v>32</v>
      </c>
      <c r="AD729" t="str">
        <f>IF(AND(E729="", T729&gt;=0, T729&lt;=0.5, K729&lt;&gt;"Unknown", Q729&lt;&gt;"Unknown"), "CLEAN", _xlfn.CONCAT("WARNING: ", IF(E729&lt;&gt;"","invalid_date",""), IF(T729&lt;0,"negative_discount",""), IF(AND(T729&gt;0.5,T729&lt;=1),"high_discount",""), IF(K729="Unknown","missing_region",""), IF(Q729="Unknown","missing_ship_mode","")))</f>
        <v>CLEAN</v>
      </c>
      <c r="AE729" t="str">
        <f>IF(COUNTIF($AF$2:$AF$926,AF729)&gt;1,"DUPLICATE","UNIQUE")</f>
        <v>UNIQUE</v>
      </c>
      <c r="AF729" t="str">
        <f>A729&amp;"|"&amp;B729&amp;"|"&amp;H729&amp;"|"&amp;I729&amp;"|"&amp;R729&amp;"|"&amp;S729&amp;"|"&amp;V729</f>
        <v>ORD-2024-10728|2024-10-13|CUST-6492|Aarav Sharma|8|3730.66|28353.02</v>
      </c>
      <c r="AG729" t="str">
        <f>IF(COUNTIF($A$2:$A$913,A729)&gt;1,"TRUE","FALSE")</f>
        <v>FALSE</v>
      </c>
    </row>
    <row r="730" spans="1:33">
      <c r="A730" t="s">
        <v>2207</v>
      </c>
      <c r="B730" t="s">
        <v>1988</v>
      </c>
      <c r="C730" t="s">
        <v>2121</v>
      </c>
      <c r="D730">
        <f>IF(OR(B730="", C730=""), "", (C730 - B730))</f>
        <v>179</v>
      </c>
      <c r="E730" t="str">
        <f>IF(C730&lt;B730, "INVALID: Ship date before order date", "")</f>
        <v/>
      </c>
      <c r="F730" t="str">
        <f>IF(B730="", "", TEXT(B730, "mmmm"))</f>
        <v>January</v>
      </c>
      <c r="G730">
        <f>IF(B730="", "", YEAR(B730))</f>
        <v>2024</v>
      </c>
      <c r="H730" t="s">
        <v>2208</v>
      </c>
      <c r="I730" t="s">
        <v>131</v>
      </c>
      <c r="J730" t="s">
        <v>36</v>
      </c>
      <c r="K730" t="s">
        <v>53</v>
      </c>
      <c r="L730" t="s">
        <v>171</v>
      </c>
      <c r="M730" t="s">
        <v>172</v>
      </c>
      <c r="N730" t="s">
        <v>74</v>
      </c>
      <c r="O730" t="s">
        <v>272</v>
      </c>
      <c r="P730" t="s">
        <v>2209</v>
      </c>
      <c r="Q730" t="s">
        <v>49</v>
      </c>
      <c r="R730">
        <v>1</v>
      </c>
      <c r="S730" s="15">
        <v>2363.02</v>
      </c>
      <c r="T730" s="4">
        <v>0.15</v>
      </c>
      <c r="U730" s="3" t="str">
        <f>IF(T730&lt;0, "negative_discount", IF(AND(T730&gt;0.5, T730&lt;=1), "high_discount", ""))</f>
        <v/>
      </c>
      <c r="V730" s="11">
        <v>2008.57</v>
      </c>
      <c r="W730" s="12">
        <v>2008.57</v>
      </c>
      <c r="X730" s="11">
        <v>1194.83</v>
      </c>
      <c r="Y730" s="11">
        <v>813.74</v>
      </c>
      <c r="Z730" s="11">
        <f>ROUND(W730-X730,2)</f>
        <v>813.74</v>
      </c>
      <c r="AA730" s="4">
        <f>IF(W730=0,0,Z730/W730)</f>
        <v>0.40513400080654399</v>
      </c>
      <c r="AB730" t="s">
        <v>31</v>
      </c>
      <c r="AC730" t="s">
        <v>32</v>
      </c>
      <c r="AD730" t="str">
        <f>IF(AND(E730="", T730&gt;=0, T730&lt;=0.5, K730&lt;&gt;"Unknown", Q730&lt;&gt;"Unknown"), "CLEAN", _xlfn.CONCAT("WARNING: ", IF(E730&lt;&gt;"","invalid_date",""), IF(T730&lt;0,"negative_discount",""), IF(AND(T730&gt;0.5,T730&lt;=1),"high_discount",""), IF(K730="Unknown","missing_region",""), IF(Q730="Unknown","missing_ship_mode","")))</f>
        <v>CLEAN</v>
      </c>
      <c r="AE730" t="str">
        <f>IF(COUNTIF($AF$2:$AF$926,AF730)&gt;1,"DUPLICATE","UNIQUE")</f>
        <v>UNIQUE</v>
      </c>
      <c r="AF730" t="str">
        <f>A730&amp;"|"&amp;B730&amp;"|"&amp;H730&amp;"|"&amp;I730&amp;"|"&amp;R730&amp;"|"&amp;S730&amp;"|"&amp;V730</f>
        <v>ORD-2024-10729|2024-01-04|CUST-1154|Sneha Kapoor|1|2363.02|2008.57</v>
      </c>
      <c r="AG730" t="str">
        <f>IF(COUNTIF($A$2:$A$913,A730)&gt;1,"TRUE","FALSE")</f>
        <v>FALSE</v>
      </c>
    </row>
    <row r="731" spans="1:33">
      <c r="A731" t="s">
        <v>3307</v>
      </c>
      <c r="B731" t="s">
        <v>2871</v>
      </c>
      <c r="C731" t="s">
        <v>1621</v>
      </c>
      <c r="D731">
        <f>IF(OR(B731="", C731=""), "", (C731 - B731))</f>
        <v>8</v>
      </c>
      <c r="E731" t="str">
        <f>IF(C731&lt;B731, "INVALID: Ship date before order date", "")</f>
        <v/>
      </c>
      <c r="F731" t="str">
        <f>IF(B731="", "", TEXT(B731, "mmmm"))</f>
        <v>May</v>
      </c>
      <c r="G731">
        <f>IF(B731="", "", YEAR(B731))</f>
        <v>2025</v>
      </c>
      <c r="H731" t="s">
        <v>2210</v>
      </c>
      <c r="I731" t="s">
        <v>61</v>
      </c>
      <c r="J731" t="s">
        <v>89</v>
      </c>
      <c r="K731" t="s">
        <v>53</v>
      </c>
      <c r="L731" t="s">
        <v>246</v>
      </c>
      <c r="M731" t="s">
        <v>247</v>
      </c>
      <c r="N731" t="s">
        <v>74</v>
      </c>
      <c r="O731" t="s">
        <v>272</v>
      </c>
      <c r="P731" t="s">
        <v>2211</v>
      </c>
      <c r="Q731" t="s">
        <v>43</v>
      </c>
      <c r="R731">
        <v>6</v>
      </c>
      <c r="S731" s="15">
        <v>1810.63</v>
      </c>
      <c r="T731" s="4">
        <v>0.15</v>
      </c>
      <c r="U731" s="3" t="str">
        <f>IF(T731&lt;0, "negative_discount", IF(AND(T731&gt;0.5, T731&lt;=1), "high_discount", ""))</f>
        <v/>
      </c>
      <c r="V731" s="11">
        <v>9234.2099999999991</v>
      </c>
      <c r="W731" s="12">
        <v>9234.2099999999991</v>
      </c>
      <c r="X731" s="11">
        <v>5516.52</v>
      </c>
      <c r="Y731" s="11">
        <v>3717.69</v>
      </c>
      <c r="Z731" s="11">
        <f>ROUND(W731-X731,2)</f>
        <v>3717.69</v>
      </c>
      <c r="AA731" s="4">
        <f>IF(W731=0,0,Z731/W731)</f>
        <v>0.4025996809689189</v>
      </c>
      <c r="AB731" t="s">
        <v>31</v>
      </c>
      <c r="AC731" t="s">
        <v>32</v>
      </c>
      <c r="AD731" t="str">
        <f>IF(AND(E731="", T731&gt;=0, T731&lt;=0.5, K731&lt;&gt;"Unknown", Q731&lt;&gt;"Unknown"), "CLEAN", _xlfn.CONCAT("WARNING: ", IF(E731&lt;&gt;"","invalid_date",""), IF(T731&lt;0,"negative_discount",""), IF(AND(T731&gt;0.5,T731&lt;=1),"high_discount",""), IF(K731="Unknown","missing_region",""), IF(Q731="Unknown","missing_ship_mode","")))</f>
        <v>CLEAN</v>
      </c>
      <c r="AE731" t="str">
        <f>IF(COUNTIF($AF$2:$AF$926,AF731)&gt;1,"DUPLICATE","UNIQUE")</f>
        <v>UNIQUE</v>
      </c>
      <c r="AF731" t="str">
        <f>A731&amp;"|"&amp;B731&amp;"|"&amp;H731&amp;"|"&amp;I731&amp;"|"&amp;R731&amp;"|"&amp;S731&amp;"|"&amp;V731</f>
        <v>ORD-2025-10730|2025-05-17|CUST-8713|Ananya Rao|6|1810.63|9234.21</v>
      </c>
      <c r="AG731" t="str">
        <f>IF(COUNTIF($A$2:$A$913,A731)&gt;1,"TRUE","FALSE")</f>
        <v>FALSE</v>
      </c>
    </row>
    <row r="732" spans="1:33">
      <c r="A732" t="s">
        <v>3308</v>
      </c>
      <c r="B732" t="s">
        <v>1016</v>
      </c>
      <c r="C732" t="s">
        <v>656</v>
      </c>
      <c r="D732">
        <f>IF(OR(B732="", C732=""), "", (C732 - B732))</f>
        <v>5</v>
      </c>
      <c r="E732" t="str">
        <f>IF(C732&lt;B732, "INVALID: Ship date before order date", "")</f>
        <v/>
      </c>
      <c r="F732" t="str">
        <f>IF(B732="", "", TEXT(B732, "mmmm"))</f>
        <v>June</v>
      </c>
      <c r="G732">
        <f>IF(B732="", "", YEAR(B732))</f>
        <v>2025</v>
      </c>
      <c r="H732" t="s">
        <v>2212</v>
      </c>
      <c r="I732" t="s">
        <v>52</v>
      </c>
      <c r="J732" t="s">
        <v>23</v>
      </c>
      <c r="K732" t="s">
        <v>37</v>
      </c>
      <c r="L732" t="s">
        <v>96</v>
      </c>
      <c r="M732" t="s">
        <v>97</v>
      </c>
      <c r="N732" t="s">
        <v>27</v>
      </c>
      <c r="O732" t="s">
        <v>47</v>
      </c>
      <c r="P732" t="s">
        <v>2213</v>
      </c>
      <c r="Q732" t="s">
        <v>30</v>
      </c>
      <c r="R732">
        <v>4</v>
      </c>
      <c r="S732" s="15">
        <v>782.01</v>
      </c>
      <c r="T732" s="4">
        <v>0.15</v>
      </c>
      <c r="U732" s="3" t="str">
        <f>IF(T732&lt;0, "negative_discount", IF(AND(T732&gt;0.5, T732&lt;=1), "high_discount", ""))</f>
        <v/>
      </c>
      <c r="V732" s="11">
        <v>2658.83</v>
      </c>
      <c r="W732" s="12">
        <v>2658.83</v>
      </c>
      <c r="X732" s="11">
        <v>2226.9699999999998</v>
      </c>
      <c r="Y732" s="11">
        <v>431.86</v>
      </c>
      <c r="Z732" s="11">
        <f>ROUND(W732-X732,2)</f>
        <v>431.86</v>
      </c>
      <c r="AA732" s="4">
        <f>IF(W732=0,0,Z732/W732)</f>
        <v>0.16242482595728197</v>
      </c>
      <c r="AB732" t="s">
        <v>99</v>
      </c>
      <c r="AC732" t="s">
        <v>100</v>
      </c>
      <c r="AD732" t="str">
        <f>IF(AND(E732="", T732&gt;=0, T732&lt;=0.5, K732&lt;&gt;"Unknown", Q732&lt;&gt;"Unknown"), "CLEAN", _xlfn.CONCAT("WARNING: ", IF(E732&lt;&gt;"","invalid_date",""), IF(T732&lt;0,"negative_discount",""), IF(AND(T732&gt;0.5,T732&lt;=1),"high_discount",""), IF(K732="Unknown","missing_region",""), IF(Q732="Unknown","missing_ship_mode","")))</f>
        <v>CLEAN</v>
      </c>
      <c r="AE732" t="str">
        <f>IF(COUNTIF($AF$2:$AF$926,AF732)&gt;1,"DUPLICATE","UNIQUE")</f>
        <v>UNIQUE</v>
      </c>
      <c r="AF732" t="str">
        <f>A732&amp;"|"&amp;B732&amp;"|"&amp;H732&amp;"|"&amp;I732&amp;"|"&amp;R732&amp;"|"&amp;S732&amp;"|"&amp;V732</f>
        <v>ORD-2025-10731|2025-06-19|CUST-6765|Arjun Bose|4|782.01|2658.83</v>
      </c>
      <c r="AG732" t="str">
        <f>IF(COUNTIF($A$2:$A$913,A732)&gt;1,"TRUE","FALSE")</f>
        <v>FALSE</v>
      </c>
    </row>
    <row r="733" spans="1:33">
      <c r="A733" t="s">
        <v>2214</v>
      </c>
      <c r="B733" t="s">
        <v>2215</v>
      </c>
      <c r="C733" t="s">
        <v>2914</v>
      </c>
      <c r="D733">
        <f>IF(OR(B733="", C733=""), "", (C733 - B733))</f>
        <v>2</v>
      </c>
      <c r="E733" t="str">
        <f>IF(C733&lt;B733, "INVALID: Ship date before order date", "")</f>
        <v/>
      </c>
      <c r="F733" t="str">
        <f>IF(B733="", "", TEXT(B733, "mmmm"))</f>
        <v>March</v>
      </c>
      <c r="G733">
        <f>IF(B733="", "", YEAR(B733))</f>
        <v>2024</v>
      </c>
      <c r="H733" t="s">
        <v>2216</v>
      </c>
      <c r="I733" t="s">
        <v>61</v>
      </c>
      <c r="J733" t="s">
        <v>89</v>
      </c>
      <c r="K733" t="s">
        <v>37</v>
      </c>
      <c r="L733" t="s">
        <v>38</v>
      </c>
      <c r="M733" t="s">
        <v>39</v>
      </c>
      <c r="N733" t="s">
        <v>27</v>
      </c>
      <c r="O733" t="s">
        <v>149</v>
      </c>
      <c r="P733" t="s">
        <v>2217</v>
      </c>
      <c r="Q733" t="s">
        <v>49</v>
      </c>
      <c r="R733">
        <v>4</v>
      </c>
      <c r="S733" s="15">
        <v>4376.68</v>
      </c>
      <c r="T733" s="4">
        <v>0.1</v>
      </c>
      <c r="U733" s="3" t="str">
        <f>IF(T733&lt;0, "negative_discount", IF(AND(T733&gt;0.5, T733&lt;=1), "high_discount", ""))</f>
        <v/>
      </c>
      <c r="V733" s="11">
        <v>15756.05</v>
      </c>
      <c r="W733" s="12">
        <v>15756.05</v>
      </c>
      <c r="X733" s="11">
        <v>10245.44</v>
      </c>
      <c r="Y733" s="11">
        <v>5510.61</v>
      </c>
      <c r="Z733" s="11">
        <f>ROUND(W733-X733,2)</f>
        <v>5510.61</v>
      </c>
      <c r="AA733" s="4">
        <f>IF(W733=0,0,Z733/W733)</f>
        <v>0.34974565325700285</v>
      </c>
      <c r="AB733" t="s">
        <v>31</v>
      </c>
      <c r="AC733" t="s">
        <v>32</v>
      </c>
      <c r="AD733" t="str">
        <f>IF(AND(E733="", T733&gt;=0, T733&lt;=0.5, K733&lt;&gt;"Unknown", Q733&lt;&gt;"Unknown"), "CLEAN", _xlfn.CONCAT("WARNING: ", IF(E733&lt;&gt;"","invalid_date",""), IF(T733&lt;0,"negative_discount",""), IF(AND(T733&gt;0.5,T733&lt;=1),"high_discount",""), IF(K733="Unknown","missing_region",""), IF(Q733="Unknown","missing_ship_mode","")))</f>
        <v>CLEAN</v>
      </c>
      <c r="AE733" t="str">
        <f>IF(COUNTIF($AF$2:$AF$926,AF733)&gt;1,"DUPLICATE","UNIQUE")</f>
        <v>UNIQUE</v>
      </c>
      <c r="AF733" t="str">
        <f>A733&amp;"|"&amp;B733&amp;"|"&amp;H733&amp;"|"&amp;I733&amp;"|"&amp;R733&amp;"|"&amp;S733&amp;"|"&amp;V733</f>
        <v>ORD-2024-10732|2024-03-17|CUST-6849|Ananya Rao|4|4376.68|15756.05</v>
      </c>
      <c r="AG733" t="str">
        <f>IF(COUNTIF($A$2:$A$913,A733)&gt;1,"TRUE","FALSE")</f>
        <v>FALSE</v>
      </c>
    </row>
    <row r="734" spans="1:33">
      <c r="A734" t="s">
        <v>2218</v>
      </c>
      <c r="B734" t="s">
        <v>2219</v>
      </c>
      <c r="C734" t="s">
        <v>1085</v>
      </c>
      <c r="D734">
        <f>IF(OR(B734="", C734=""), "", (C734 - B734))</f>
        <v>8</v>
      </c>
      <c r="E734" t="str">
        <f>IF(C734&lt;B734, "INVALID: Ship date before order date", "")</f>
        <v/>
      </c>
      <c r="F734" t="str">
        <f>IF(B734="", "", TEXT(B734, "mmmm"))</f>
        <v>November</v>
      </c>
      <c r="G734">
        <f>IF(B734="", "", YEAR(B734))</f>
        <v>2024</v>
      </c>
      <c r="H734" t="s">
        <v>2220</v>
      </c>
      <c r="I734" t="s">
        <v>52</v>
      </c>
      <c r="J734" t="s">
        <v>36</v>
      </c>
      <c r="K734" t="s">
        <v>24</v>
      </c>
      <c r="L734" t="s">
        <v>120</v>
      </c>
      <c r="M734" t="s">
        <v>121</v>
      </c>
      <c r="N734" t="s">
        <v>74</v>
      </c>
      <c r="O734" t="s">
        <v>168</v>
      </c>
      <c r="P734" t="s">
        <v>2221</v>
      </c>
      <c r="Q734" t="s">
        <v>58</v>
      </c>
      <c r="R734">
        <v>6</v>
      </c>
      <c r="S734" s="15">
        <v>2464.63</v>
      </c>
      <c r="T734" s="4">
        <v>0</v>
      </c>
      <c r="U734" s="3" t="str">
        <f>IF(T734&lt;0, "negative_discount", IF(AND(T734&gt;0.5, T734&lt;=1), "high_discount", ""))</f>
        <v/>
      </c>
      <c r="V734" s="11">
        <v>14787.78</v>
      </c>
      <c r="W734" s="12">
        <v>14787.78</v>
      </c>
      <c r="X734" s="11">
        <v>8596.65</v>
      </c>
      <c r="Y734" s="11">
        <v>6191.13</v>
      </c>
      <c r="Z734" s="11">
        <f>ROUND(W734-X734,2)</f>
        <v>6191.13</v>
      </c>
      <c r="AA734" s="4">
        <f>IF(W734=0,0,Z734/W734)</f>
        <v>0.41866527632950989</v>
      </c>
      <c r="AB734" t="s">
        <v>31</v>
      </c>
      <c r="AC734" t="s">
        <v>32</v>
      </c>
      <c r="AD734" t="str">
        <f>IF(AND(E734="", T734&gt;=0, T734&lt;=0.5, K734&lt;&gt;"Unknown", Q734&lt;&gt;"Unknown"), "CLEAN", _xlfn.CONCAT("WARNING: ", IF(E734&lt;&gt;"","invalid_date",""), IF(T734&lt;0,"negative_discount",""), IF(AND(T734&gt;0.5,T734&lt;=1),"high_discount",""), IF(K734="Unknown","missing_region",""), IF(Q734="Unknown","missing_ship_mode","")))</f>
        <v>CLEAN</v>
      </c>
      <c r="AE734" t="str">
        <f>IF(COUNTIF($AF$2:$AF$926,AF734)&gt;1,"DUPLICATE","UNIQUE")</f>
        <v>UNIQUE</v>
      </c>
      <c r="AF734" t="str">
        <f>A734&amp;"|"&amp;B734&amp;"|"&amp;H734&amp;"|"&amp;I734&amp;"|"&amp;R734&amp;"|"&amp;S734&amp;"|"&amp;V734</f>
        <v>ORD-2024-10733|2024-11-28|CUST-4973|Arjun Bose|6|2464.63|14787.78</v>
      </c>
      <c r="AG734" t="str">
        <f>IF(COUNTIF($A$2:$A$913,A734)&gt;1,"TRUE","FALSE")</f>
        <v>FALSE</v>
      </c>
    </row>
    <row r="735" spans="1:33">
      <c r="A735" t="s">
        <v>2222</v>
      </c>
      <c r="B735" t="s">
        <v>2756</v>
      </c>
      <c r="C735" t="s">
        <v>2915</v>
      </c>
      <c r="D735">
        <f>IF(OR(B735="", C735=""), "", (C735 - B735))</f>
        <v>7</v>
      </c>
      <c r="E735" t="str">
        <f>IF(C735&lt;B735, "INVALID: Ship date before order date", "")</f>
        <v/>
      </c>
      <c r="F735" t="str">
        <f>IF(B735="", "", TEXT(B735, "mmmm"))</f>
        <v>June</v>
      </c>
      <c r="G735">
        <f>IF(B735="", "", YEAR(B735))</f>
        <v>2024</v>
      </c>
      <c r="H735" t="s">
        <v>2223</v>
      </c>
      <c r="I735" t="s">
        <v>126</v>
      </c>
      <c r="J735" t="s">
        <v>93</v>
      </c>
      <c r="K735" t="s">
        <v>24</v>
      </c>
      <c r="L735" t="s">
        <v>25</v>
      </c>
      <c r="M735" t="s">
        <v>26</v>
      </c>
      <c r="N735" t="s">
        <v>40</v>
      </c>
      <c r="O735" t="s">
        <v>56</v>
      </c>
      <c r="P735" t="s">
        <v>2224</v>
      </c>
      <c r="Q735" t="s">
        <v>49</v>
      </c>
      <c r="R735">
        <v>9</v>
      </c>
      <c r="S735" s="15">
        <v>2797.96</v>
      </c>
      <c r="T735" s="4">
        <v>0</v>
      </c>
      <c r="U735" s="3" t="str">
        <f>IF(T735&lt;0, "negative_discount", IF(AND(T735&gt;0.5, T735&lt;=1), "high_discount", ""))</f>
        <v/>
      </c>
      <c r="V735" s="11">
        <v>25181.64</v>
      </c>
      <c r="W735" s="12">
        <v>25181.64</v>
      </c>
      <c r="X735" s="11">
        <v>15337.9</v>
      </c>
      <c r="Y735" s="11">
        <v>9843.74</v>
      </c>
      <c r="Z735" s="11">
        <f>ROUND(W735-X735,2)</f>
        <v>9843.74</v>
      </c>
      <c r="AA735" s="4">
        <f>IF(W735=0,0,Z735/W735)</f>
        <v>0.39090940860086953</v>
      </c>
      <c r="AB735" t="s">
        <v>31</v>
      </c>
      <c r="AC735" t="s">
        <v>32</v>
      </c>
      <c r="AD735" t="str">
        <f>IF(AND(E735="", T735&gt;=0, T735&lt;=0.5, K735&lt;&gt;"Unknown", Q735&lt;&gt;"Unknown"), "CLEAN", _xlfn.CONCAT("WARNING: ", IF(E735&lt;&gt;"","invalid_date",""), IF(T735&lt;0,"negative_discount",""), IF(AND(T735&gt;0.5,T735&lt;=1),"high_discount",""), IF(K735="Unknown","missing_region",""), IF(Q735="Unknown","missing_ship_mode","")))</f>
        <v>CLEAN</v>
      </c>
      <c r="AE735" t="str">
        <f>IF(COUNTIF($AF$2:$AF$926,AF735)&gt;1,"DUPLICATE","UNIQUE")</f>
        <v>UNIQUE</v>
      </c>
      <c r="AF735" t="str">
        <f>A735&amp;"|"&amp;B735&amp;"|"&amp;H735&amp;"|"&amp;I735&amp;"|"&amp;R735&amp;"|"&amp;S735&amp;"|"&amp;V735</f>
        <v>ORD-2024-10734|2024-06-21|CUST-2394|Aarav Sharma|9|2797.96|25181.64</v>
      </c>
      <c r="AG735" t="str">
        <f>IF(COUNTIF($A$2:$A$913,A735)&gt;1,"TRUE","FALSE")</f>
        <v>FALSE</v>
      </c>
    </row>
    <row r="736" spans="1:33">
      <c r="A736" t="s">
        <v>2225</v>
      </c>
      <c r="B736" t="s">
        <v>832</v>
      </c>
      <c r="C736" t="s">
        <v>832</v>
      </c>
      <c r="D736">
        <f>IF(OR(B736="", C736=""), "", (C736 - B736))</f>
        <v>0</v>
      </c>
      <c r="E736" t="str">
        <f>IF(C736&lt;B736, "INVALID: Ship date before order date", "")</f>
        <v/>
      </c>
      <c r="F736" t="str">
        <f>IF(B736="", "", TEXT(B736, "mmmm"))</f>
        <v>August</v>
      </c>
      <c r="G736">
        <f>IF(B736="", "", YEAR(B736))</f>
        <v>2024</v>
      </c>
      <c r="H736" t="s">
        <v>2226</v>
      </c>
      <c r="I736" t="s">
        <v>61</v>
      </c>
      <c r="J736" t="s">
        <v>36</v>
      </c>
      <c r="K736" t="s">
        <v>24</v>
      </c>
      <c r="L736" t="s">
        <v>25</v>
      </c>
      <c r="M736" t="s">
        <v>26</v>
      </c>
      <c r="N736" t="s">
        <v>74</v>
      </c>
      <c r="O736" t="s">
        <v>75</v>
      </c>
      <c r="P736" t="s">
        <v>2227</v>
      </c>
      <c r="Q736" t="s">
        <v>49</v>
      </c>
      <c r="R736">
        <v>4</v>
      </c>
      <c r="S736" s="15">
        <v>2761.86</v>
      </c>
      <c r="T736" s="4">
        <v>0.2</v>
      </c>
      <c r="U736" s="3" t="str">
        <f>IF(T736&lt;0, "negative_discount", IF(AND(T736&gt;0.5, T736&lt;=1), "high_discount", ""))</f>
        <v/>
      </c>
      <c r="V736" s="11">
        <v>8837.9500000000007</v>
      </c>
      <c r="W736" s="12">
        <v>8837.9500000000007</v>
      </c>
      <c r="X736" s="11">
        <v>6157.27</v>
      </c>
      <c r="Y736" s="11">
        <v>2680.68</v>
      </c>
      <c r="Z736" s="11">
        <f>ROUND(W736-X736,2)</f>
        <v>2680.68</v>
      </c>
      <c r="AA736" s="4">
        <f>IF(W736=0,0,Z736/W736)</f>
        <v>0.30331468270356809</v>
      </c>
      <c r="AB736" t="s">
        <v>31</v>
      </c>
      <c r="AC736" t="s">
        <v>32</v>
      </c>
      <c r="AD736" t="str">
        <f>IF(AND(E736="", T736&gt;=0, T736&lt;=0.5, K736&lt;&gt;"Unknown", Q736&lt;&gt;"Unknown"), "CLEAN", _xlfn.CONCAT("WARNING: ", IF(E736&lt;&gt;"","invalid_date",""), IF(T736&lt;0,"negative_discount",""), IF(AND(T736&gt;0.5,T736&lt;=1),"high_discount",""), IF(K736="Unknown","missing_region",""), IF(Q736="Unknown","missing_ship_mode","")))</f>
        <v>CLEAN</v>
      </c>
      <c r="AE736" t="str">
        <f>IF(COUNTIF($AF$2:$AF$926,AF736)&gt;1,"DUPLICATE","UNIQUE")</f>
        <v>UNIQUE</v>
      </c>
      <c r="AF736" t="str">
        <f>A736&amp;"|"&amp;B736&amp;"|"&amp;H736&amp;"|"&amp;I736&amp;"|"&amp;R736&amp;"|"&amp;S736&amp;"|"&amp;V736</f>
        <v>ORD-2024-10735|2024-08-24|CUST-5406|Ananya Rao|4|2761.86|8837.95</v>
      </c>
      <c r="AG736" t="str">
        <f>IF(COUNTIF($A$2:$A$913,A736)&gt;1,"TRUE","FALSE")</f>
        <v>FALSE</v>
      </c>
    </row>
    <row r="737" spans="1:33">
      <c r="A737" t="s">
        <v>2228</v>
      </c>
      <c r="B737" t="s">
        <v>2229</v>
      </c>
      <c r="C737" t="s">
        <v>1772</v>
      </c>
      <c r="D737">
        <f>IF(OR(B737="", C737=""), "", (C737 - B737))</f>
        <v>8</v>
      </c>
      <c r="E737" t="str">
        <f>IF(C737&lt;B737, "INVALID: Ship date before order date", "")</f>
        <v/>
      </c>
      <c r="F737" t="str">
        <f>IF(B737="", "", TEXT(B737, "mmmm"))</f>
        <v>August</v>
      </c>
      <c r="G737">
        <f>IF(B737="", "", YEAR(B737))</f>
        <v>2024</v>
      </c>
      <c r="H737" t="s">
        <v>2230</v>
      </c>
      <c r="I737" t="s">
        <v>35</v>
      </c>
      <c r="J737" t="s">
        <v>23</v>
      </c>
      <c r="K737" t="s">
        <v>62</v>
      </c>
      <c r="L737" t="s">
        <v>63</v>
      </c>
      <c r="M737" t="s">
        <v>64</v>
      </c>
      <c r="N737" t="s">
        <v>40</v>
      </c>
      <c r="O737" t="s">
        <v>41</v>
      </c>
      <c r="P737" t="s">
        <v>2231</v>
      </c>
      <c r="Q737" t="s">
        <v>58</v>
      </c>
      <c r="R737">
        <v>6</v>
      </c>
      <c r="S737" s="15">
        <v>1515.79</v>
      </c>
      <c r="T737" s="4">
        <v>0.2</v>
      </c>
      <c r="U737" s="3" t="str">
        <f>IF(T737&lt;0, "negative_discount", IF(AND(T737&gt;0.5, T737&lt;=1), "high_discount", ""))</f>
        <v/>
      </c>
      <c r="V737" s="11">
        <v>7275.79</v>
      </c>
      <c r="W737" s="12">
        <v>7275.79</v>
      </c>
      <c r="X737" s="11">
        <v>6152.87</v>
      </c>
      <c r="Y737" s="11">
        <v>1122.92</v>
      </c>
      <c r="Z737" s="11">
        <f>ROUND(W737-X737,2)</f>
        <v>1122.92</v>
      </c>
      <c r="AA737" s="4">
        <f>IF(W737=0,0,Z737/W737)</f>
        <v>0.15433650503931534</v>
      </c>
      <c r="AB737" t="s">
        <v>31</v>
      </c>
      <c r="AC737" t="s">
        <v>32</v>
      </c>
      <c r="AD737" t="str">
        <f>IF(AND(E737="", T737&gt;=0, T737&lt;=0.5, K737&lt;&gt;"Unknown", Q737&lt;&gt;"Unknown"), "CLEAN", _xlfn.CONCAT("WARNING: ", IF(E737&lt;&gt;"","invalid_date",""), IF(T737&lt;0,"negative_discount",""), IF(AND(T737&gt;0.5,T737&lt;=1),"high_discount",""), IF(K737="Unknown","missing_region",""), IF(Q737="Unknown","missing_ship_mode","")))</f>
        <v>CLEAN</v>
      </c>
      <c r="AE737" t="str">
        <f>IF(COUNTIF($AF$2:$AF$926,AF737)&gt;1,"DUPLICATE","UNIQUE")</f>
        <v>UNIQUE</v>
      </c>
      <c r="AF737" t="str">
        <f>A737&amp;"|"&amp;B737&amp;"|"&amp;H737&amp;"|"&amp;I737&amp;"|"&amp;R737&amp;"|"&amp;S737&amp;"|"&amp;V737</f>
        <v>ORD-2024-10736|2024-08-11|CUST-1963|Mira Das|6|1515.79|7275.79</v>
      </c>
      <c r="AG737" t="str">
        <f>IF(COUNTIF($A$2:$A$913,A737)&gt;1,"TRUE","FALSE")</f>
        <v>FALSE</v>
      </c>
    </row>
    <row r="738" spans="1:33">
      <c r="A738" t="s">
        <v>2232</v>
      </c>
      <c r="B738" t="s">
        <v>1085</v>
      </c>
      <c r="C738" t="s">
        <v>858</v>
      </c>
      <c r="D738">
        <f>IF(OR(B738="", C738=""), "", (C738 - B738))</f>
        <v>-85</v>
      </c>
      <c r="E738" t="str">
        <f>IF(C738&lt;B738, "INVALID: Ship date before order date", "")</f>
        <v>INVALID: Ship date before order date</v>
      </c>
      <c r="F738" t="str">
        <f>IF(B738="", "", TEXT(B738, "mmmm"))</f>
        <v>December</v>
      </c>
      <c r="G738">
        <f>IF(B738="", "", YEAR(B738))</f>
        <v>2024</v>
      </c>
      <c r="H738" t="s">
        <v>2233</v>
      </c>
      <c r="I738" t="s">
        <v>88</v>
      </c>
      <c r="J738" t="s">
        <v>23</v>
      </c>
      <c r="K738" t="s">
        <v>62</v>
      </c>
      <c r="L738" t="s">
        <v>63</v>
      </c>
      <c r="M738" t="s">
        <v>64</v>
      </c>
      <c r="N738" t="s">
        <v>40</v>
      </c>
      <c r="O738" t="s">
        <v>65</v>
      </c>
      <c r="P738" t="s">
        <v>2234</v>
      </c>
      <c r="Q738" t="s">
        <v>30</v>
      </c>
      <c r="R738">
        <v>9</v>
      </c>
      <c r="S738" s="15">
        <v>290.75</v>
      </c>
      <c r="T738" s="4">
        <v>0.1</v>
      </c>
      <c r="U738" s="3" t="str">
        <f>IF(T738&lt;0, "negative_discount", IF(AND(T738&gt;0.5, T738&lt;=1), "high_discount", ""))</f>
        <v/>
      </c>
      <c r="V738" s="11">
        <v>2355.08</v>
      </c>
      <c r="W738" s="12">
        <v>2355.08</v>
      </c>
      <c r="X738" s="11">
        <v>1350.03</v>
      </c>
      <c r="Y738" s="11">
        <v>1005.05</v>
      </c>
      <c r="Z738" s="11">
        <f>ROUND(W738-X738,2)</f>
        <v>1005.05</v>
      </c>
      <c r="AA738" s="4">
        <f>IF(W738=0,0,Z738/W738)</f>
        <v>0.42675832668104691</v>
      </c>
      <c r="AB738" t="s">
        <v>31</v>
      </c>
      <c r="AC738" t="s">
        <v>32</v>
      </c>
      <c r="AD738" t="str">
        <f>IF(AND(E738="", T738&gt;=0, T738&lt;=0.5, K738&lt;&gt;"Unknown", Q738&lt;&gt;"Unknown"), "CLEAN", _xlfn.CONCAT("WARNING: ", IF(E738&lt;&gt;"","invalid_date",""), IF(T738&lt;0,"negative_discount",""), IF(AND(T738&gt;0.5,T738&lt;=1),"high_discount",""), IF(K738="Unknown","missing_region",""), IF(Q738="Unknown","missing_ship_mode","")))</f>
        <v>WARNING: invalid_date</v>
      </c>
      <c r="AE738" t="str">
        <f>IF(COUNTIF($AF$2:$AF$926,AF738)&gt;1,"DUPLICATE","UNIQUE")</f>
        <v>UNIQUE</v>
      </c>
      <c r="AF738" t="str">
        <f>A738&amp;"|"&amp;B738&amp;"|"&amp;H738&amp;"|"&amp;I738&amp;"|"&amp;R738&amp;"|"&amp;S738&amp;"|"&amp;V738</f>
        <v>ORD-2024-10737|2024-12-06|CUST-9017|Aditi Sen|9|290.75|2355.08</v>
      </c>
      <c r="AG738" t="str">
        <f>IF(COUNTIF($A$2:$A$913,A738)&gt;1,"TRUE","FALSE")</f>
        <v>FALSE</v>
      </c>
    </row>
    <row r="739" spans="1:33">
      <c r="A739" t="s">
        <v>2235</v>
      </c>
      <c r="B739" t="s">
        <v>1442</v>
      </c>
      <c r="C739" t="s">
        <v>1442</v>
      </c>
      <c r="D739">
        <f>IF(OR(B739="", C739=""), "", (C739 - B739))</f>
        <v>0</v>
      </c>
      <c r="E739" t="str">
        <f>IF(C739&lt;B739, "INVALID: Ship date before order date", "")</f>
        <v/>
      </c>
      <c r="F739" t="str">
        <f>IF(B739="", "", TEXT(B739, "mmmm"))</f>
        <v>February</v>
      </c>
      <c r="G739">
        <f>IF(B739="", "", YEAR(B739))</f>
        <v>2024</v>
      </c>
      <c r="H739" t="s">
        <v>2236</v>
      </c>
      <c r="I739" t="s">
        <v>46</v>
      </c>
      <c r="J739" t="s">
        <v>93</v>
      </c>
      <c r="K739" t="s">
        <v>62</v>
      </c>
      <c r="L739" t="s">
        <v>63</v>
      </c>
      <c r="M739" t="s">
        <v>64</v>
      </c>
      <c r="N739" t="s">
        <v>40</v>
      </c>
      <c r="O739" t="s">
        <v>65</v>
      </c>
      <c r="P739" t="s">
        <v>2237</v>
      </c>
      <c r="Q739" t="s">
        <v>43</v>
      </c>
      <c r="R739">
        <v>6</v>
      </c>
      <c r="S739" s="15">
        <v>601.52</v>
      </c>
      <c r="T739" s="4">
        <v>0</v>
      </c>
      <c r="U739" s="3" t="str">
        <f>IF(T739&lt;0, "negative_discount", IF(AND(T739&gt;0.5, T739&lt;=1), "high_discount", ""))</f>
        <v/>
      </c>
      <c r="V739" s="11">
        <v>3609.12</v>
      </c>
      <c r="W739" s="12">
        <v>3609.12</v>
      </c>
      <c r="X739" s="11">
        <v>2645.5</v>
      </c>
      <c r="Y739" s="11">
        <v>963.62</v>
      </c>
      <c r="Z739" s="11">
        <f>ROUND(W739-X739,2)</f>
        <v>963.62</v>
      </c>
      <c r="AA739" s="4">
        <f>IF(W739=0,0,Z739/W739)</f>
        <v>0.26699583277918165</v>
      </c>
      <c r="AB739" t="s">
        <v>31</v>
      </c>
      <c r="AC739" t="s">
        <v>32</v>
      </c>
      <c r="AD739" t="str">
        <f>IF(AND(E739="", T739&gt;=0, T739&lt;=0.5, K739&lt;&gt;"Unknown", Q739&lt;&gt;"Unknown"), "CLEAN", _xlfn.CONCAT("WARNING: ", IF(E739&lt;&gt;"","invalid_date",""), IF(T739&lt;0,"negative_discount",""), IF(AND(T739&gt;0.5,T739&lt;=1),"high_discount",""), IF(K739="Unknown","missing_region",""), IF(Q739="Unknown","missing_ship_mode","")))</f>
        <v>CLEAN</v>
      </c>
      <c r="AE739" t="str">
        <f>IF(COUNTIF($AF$2:$AF$926,AF739)&gt;1,"DUPLICATE","UNIQUE")</f>
        <v>UNIQUE</v>
      </c>
      <c r="AF739" t="str">
        <f>A739&amp;"|"&amp;B739&amp;"|"&amp;H739&amp;"|"&amp;I739&amp;"|"&amp;R739&amp;"|"&amp;S739&amp;"|"&amp;V739</f>
        <v>ORD-2024-10738|2024-02-10|CUST-7967|Isha Nair|6|601.52|3609.12</v>
      </c>
      <c r="AG739" t="str">
        <f>IF(COUNTIF($A$2:$A$913,A739)&gt;1,"TRUE","FALSE")</f>
        <v>FALSE</v>
      </c>
    </row>
    <row r="740" spans="1:33">
      <c r="A740" t="s">
        <v>3309</v>
      </c>
      <c r="B740" t="s">
        <v>2726</v>
      </c>
      <c r="C740" t="s">
        <v>2846</v>
      </c>
      <c r="D740">
        <f>IF(OR(B740="", C740=""), "", (C740 - B740))</f>
        <v>2</v>
      </c>
      <c r="E740" t="str">
        <f>IF(C740&lt;B740, "INVALID: Ship date before order date", "")</f>
        <v/>
      </c>
      <c r="F740" t="str">
        <f>IF(B740="", "", TEXT(B740, "mmmm"))</f>
        <v>February</v>
      </c>
      <c r="G740">
        <f>IF(B740="", "", YEAR(B740))</f>
        <v>2025</v>
      </c>
      <c r="H740" t="s">
        <v>2238</v>
      </c>
      <c r="I740" t="s">
        <v>112</v>
      </c>
      <c r="J740" t="s">
        <v>89</v>
      </c>
      <c r="K740" t="s">
        <v>53</v>
      </c>
      <c r="L740" t="s">
        <v>180</v>
      </c>
      <c r="M740" t="s">
        <v>181</v>
      </c>
      <c r="N740" t="s">
        <v>27</v>
      </c>
      <c r="O740" t="s">
        <v>28</v>
      </c>
      <c r="P740" t="s">
        <v>2239</v>
      </c>
      <c r="Q740" t="s">
        <v>49</v>
      </c>
      <c r="R740">
        <v>1</v>
      </c>
      <c r="S740" s="15">
        <v>2188.19</v>
      </c>
      <c r="T740" s="4">
        <v>0</v>
      </c>
      <c r="U740" s="3" t="str">
        <f>IF(T740&lt;0, "negative_discount", IF(AND(T740&gt;0.5, T740&lt;=1), "high_discount", ""))</f>
        <v/>
      </c>
      <c r="V740" s="11">
        <v>2188.19</v>
      </c>
      <c r="W740" s="12">
        <v>2188.19</v>
      </c>
      <c r="X740" s="11">
        <v>1298.8399999999999</v>
      </c>
      <c r="Y740" s="11">
        <v>889.35</v>
      </c>
      <c r="Z740" s="11">
        <f>ROUND(W740-X740,2)</f>
        <v>889.35</v>
      </c>
      <c r="AA740" s="4">
        <f>IF(W740=0,0,Z740/W740)</f>
        <v>0.40643179979800659</v>
      </c>
      <c r="AB740" t="s">
        <v>31</v>
      </c>
      <c r="AC740" t="s">
        <v>32</v>
      </c>
      <c r="AD740" t="str">
        <f>IF(AND(E740="", T740&gt;=0, T740&lt;=0.5, K740&lt;&gt;"Unknown", Q740&lt;&gt;"Unknown"), "CLEAN", _xlfn.CONCAT("WARNING: ", IF(E740&lt;&gt;"","invalid_date",""), IF(T740&lt;0,"negative_discount",""), IF(AND(T740&gt;0.5,T740&lt;=1),"high_discount",""), IF(K740="Unknown","missing_region",""), IF(Q740="Unknown","missing_ship_mode","")))</f>
        <v>CLEAN</v>
      </c>
      <c r="AE740" t="str">
        <f>IF(COUNTIF($AF$2:$AF$926,AF740)&gt;1,"DUPLICATE","UNIQUE")</f>
        <v>UNIQUE</v>
      </c>
      <c r="AF740" t="str">
        <f>A740&amp;"|"&amp;B740&amp;"|"&amp;H740&amp;"|"&amp;I740&amp;"|"&amp;R740&amp;"|"&amp;S740&amp;"|"&amp;V740</f>
        <v>ORD-2025-10739|2025-02-20|CUST-5334|Priya Menon|1|2188.19|2188.19</v>
      </c>
      <c r="AG740" t="str">
        <f>IF(COUNTIF($A$2:$A$913,A740)&gt;1,"TRUE","FALSE")</f>
        <v>FALSE</v>
      </c>
    </row>
    <row r="741" spans="1:33">
      <c r="A741" t="s">
        <v>2240</v>
      </c>
      <c r="B741" t="s">
        <v>2872</v>
      </c>
      <c r="C741" t="s">
        <v>2952</v>
      </c>
      <c r="D741">
        <f>IF(OR(B741="", C741=""), "", (C741 - B741))</f>
        <v>7</v>
      </c>
      <c r="E741" t="str">
        <f>IF(C741&lt;B741, "INVALID: Ship date before order date", "")</f>
        <v/>
      </c>
      <c r="F741" t="str">
        <f>IF(B741="", "", TEXT(B741, "mmmm"))</f>
        <v>December</v>
      </c>
      <c r="G741">
        <f>IF(B741="", "", YEAR(B741))</f>
        <v>2024</v>
      </c>
      <c r="H741" t="s">
        <v>2241</v>
      </c>
      <c r="I741" t="s">
        <v>78</v>
      </c>
      <c r="J741" t="s">
        <v>89</v>
      </c>
      <c r="K741" t="s">
        <v>24</v>
      </c>
      <c r="L741" t="s">
        <v>25</v>
      </c>
      <c r="M741" t="s">
        <v>26</v>
      </c>
      <c r="N741" t="s">
        <v>74</v>
      </c>
      <c r="O741" t="s">
        <v>168</v>
      </c>
      <c r="P741" t="s">
        <v>2242</v>
      </c>
      <c r="Q741" t="s">
        <v>58</v>
      </c>
      <c r="R741">
        <v>5</v>
      </c>
      <c r="S741" s="15">
        <v>2393.86</v>
      </c>
      <c r="T741" s="4">
        <v>0.05</v>
      </c>
      <c r="U741" s="3" t="str">
        <f>IF(T741&lt;0, "negative_discount", IF(AND(T741&gt;0.5, T741&lt;=1), "high_discount", ""))</f>
        <v/>
      </c>
      <c r="V741" s="11">
        <v>11370.84</v>
      </c>
      <c r="W741" s="12">
        <v>11370.84</v>
      </c>
      <c r="X741" s="11">
        <v>7469.58</v>
      </c>
      <c r="Y741" s="11">
        <v>3901.26</v>
      </c>
      <c r="Z741" s="11">
        <f>ROUND(W741-X741,2)</f>
        <v>3901.26</v>
      </c>
      <c r="AA741" s="4">
        <f>IF(W741=0,0,Z741/W741)</f>
        <v>0.34309338624059438</v>
      </c>
      <c r="AB741" t="s">
        <v>31</v>
      </c>
      <c r="AC741" t="s">
        <v>32</v>
      </c>
      <c r="AD741" t="str">
        <f>IF(AND(E741="", T741&gt;=0, T741&lt;=0.5, K741&lt;&gt;"Unknown", Q741&lt;&gt;"Unknown"), "CLEAN", _xlfn.CONCAT("WARNING: ", IF(E741&lt;&gt;"","invalid_date",""), IF(T741&lt;0,"negative_discount",""), IF(AND(T741&gt;0.5,T741&lt;=1),"high_discount",""), IF(K741="Unknown","missing_region",""), IF(Q741="Unknown","missing_ship_mode","")))</f>
        <v>CLEAN</v>
      </c>
      <c r="AE741" t="str">
        <f>IF(COUNTIF($AF$2:$AF$926,AF741)&gt;1,"DUPLICATE","UNIQUE")</f>
        <v>UNIQUE</v>
      </c>
      <c r="AF741" t="str">
        <f>A741&amp;"|"&amp;B741&amp;"|"&amp;H741&amp;"|"&amp;I741&amp;"|"&amp;R741&amp;"|"&amp;S741&amp;"|"&amp;V741</f>
        <v>ORD-2024-10740|2024-12-03|CUST-5846|Neha Gupta|5|2393.86|11370.84</v>
      </c>
      <c r="AG741" t="str">
        <f>IF(COUNTIF($A$2:$A$913,A741)&gt;1,"TRUE","FALSE")</f>
        <v>FALSE</v>
      </c>
    </row>
    <row r="742" spans="1:33">
      <c r="A742" t="s">
        <v>2243</v>
      </c>
      <c r="B742" t="s">
        <v>660</v>
      </c>
      <c r="C742" t="s">
        <v>660</v>
      </c>
      <c r="D742">
        <f>IF(OR(B742="", C742=""), "", (C742 - B742))</f>
        <v>0</v>
      </c>
      <c r="E742" t="str">
        <f>IF(C742&lt;B742, "INVALID: Ship date before order date", "")</f>
        <v/>
      </c>
      <c r="F742" t="str">
        <f>IF(B742="", "", TEXT(B742, "mmmm"))</f>
        <v>April</v>
      </c>
      <c r="G742">
        <f>IF(B742="", "", YEAR(B742))</f>
        <v>2024</v>
      </c>
      <c r="H742" t="s">
        <v>525</v>
      </c>
      <c r="I742" t="s">
        <v>131</v>
      </c>
      <c r="J742" t="s">
        <v>36</v>
      </c>
      <c r="K742" t="s">
        <v>62</v>
      </c>
      <c r="L742" t="s">
        <v>63</v>
      </c>
      <c r="M742" t="s">
        <v>64</v>
      </c>
      <c r="N742" t="s">
        <v>40</v>
      </c>
      <c r="O742" t="s">
        <v>65</v>
      </c>
      <c r="P742" t="s">
        <v>2244</v>
      </c>
      <c r="Q742" t="s">
        <v>49</v>
      </c>
      <c r="R742">
        <v>4</v>
      </c>
      <c r="S742" s="15">
        <v>2583</v>
      </c>
      <c r="T742" s="4">
        <v>0.1</v>
      </c>
      <c r="U742" s="3" t="str">
        <f>IF(T742&lt;0, "negative_discount", IF(AND(T742&gt;0.5, T742&lt;=1), "high_discount", ""))</f>
        <v/>
      </c>
      <c r="V742" s="11">
        <v>9298.7999999999993</v>
      </c>
      <c r="W742" s="12">
        <v>9298.7999999999993</v>
      </c>
      <c r="X742" s="11">
        <v>6548.5</v>
      </c>
      <c r="Y742" s="11">
        <v>2750.3</v>
      </c>
      <c r="Z742" s="11">
        <f>ROUND(W742-X742,2)</f>
        <v>2750.3</v>
      </c>
      <c r="AA742" s="4">
        <f>IF(W742=0,0,Z742/W742)</f>
        <v>0.29576934658235476</v>
      </c>
      <c r="AB742" t="s">
        <v>31</v>
      </c>
      <c r="AC742" t="s">
        <v>32</v>
      </c>
      <c r="AD742" t="str">
        <f>IF(AND(E742="", T742&gt;=0, T742&lt;=0.5, K742&lt;&gt;"Unknown", Q742&lt;&gt;"Unknown"), "CLEAN", _xlfn.CONCAT("WARNING: ", IF(E742&lt;&gt;"","invalid_date",""), IF(T742&lt;0,"negative_discount",""), IF(AND(T742&gt;0.5,T742&lt;=1),"high_discount",""), IF(K742="Unknown","missing_region",""), IF(Q742="Unknown","missing_ship_mode","")))</f>
        <v>CLEAN</v>
      </c>
      <c r="AE742" t="str">
        <f>IF(COUNTIF($AF$2:$AF$926,AF742)&gt;1,"DUPLICATE","UNIQUE")</f>
        <v>UNIQUE</v>
      </c>
      <c r="AF742" t="str">
        <f>A742&amp;"|"&amp;B742&amp;"|"&amp;H742&amp;"|"&amp;I742&amp;"|"&amp;R742&amp;"|"&amp;S742&amp;"|"&amp;V742</f>
        <v>ORD-2024-10741|2024-04-02|CUST-7932|Sneha Kapoor|4|2583|9298.8</v>
      </c>
      <c r="AG742" t="str">
        <f>IF(COUNTIF($A$2:$A$913,A742)&gt;1,"TRUE","FALSE")</f>
        <v>FALSE</v>
      </c>
    </row>
    <row r="743" spans="1:33">
      <c r="A743" t="s">
        <v>3310</v>
      </c>
      <c r="B743" t="s">
        <v>324</v>
      </c>
      <c r="C743" t="s">
        <v>2245</v>
      </c>
      <c r="D743">
        <f>IF(OR(B743="", C743=""), "", (C743 - B743))</f>
        <v>2</v>
      </c>
      <c r="E743" t="str">
        <f>IF(C743&lt;B743, "INVALID: Ship date before order date", "")</f>
        <v/>
      </c>
      <c r="F743" t="str">
        <f>IF(B743="", "", TEXT(B743, "mmmm"))</f>
        <v>April</v>
      </c>
      <c r="G743">
        <f>IF(B743="", "", YEAR(B743))</f>
        <v>2025</v>
      </c>
      <c r="H743" t="s">
        <v>2246</v>
      </c>
      <c r="I743" t="s">
        <v>46</v>
      </c>
      <c r="J743" t="s">
        <v>93</v>
      </c>
      <c r="K743" t="s">
        <v>53</v>
      </c>
      <c r="L743" t="s">
        <v>246</v>
      </c>
      <c r="M743" t="s">
        <v>247</v>
      </c>
      <c r="N743" t="s">
        <v>40</v>
      </c>
      <c r="O743" t="s">
        <v>65</v>
      </c>
      <c r="P743" t="s">
        <v>2247</v>
      </c>
      <c r="Q743" t="s">
        <v>30</v>
      </c>
      <c r="R743">
        <v>3</v>
      </c>
      <c r="S743" s="15">
        <v>2951.12</v>
      </c>
      <c r="T743" s="4">
        <v>0</v>
      </c>
      <c r="U743" s="3" t="str">
        <f>IF(T743&lt;0, "negative_discount", IF(AND(T743&gt;0.5, T743&lt;=1), "high_discount", ""))</f>
        <v/>
      </c>
      <c r="V743" s="11">
        <v>7082.69</v>
      </c>
      <c r="W743" s="12">
        <v>8853.36</v>
      </c>
      <c r="X743" s="11">
        <v>5596.34</v>
      </c>
      <c r="Y743" s="11">
        <v>1486.35</v>
      </c>
      <c r="Z743" s="11">
        <f>ROUND(W743-X743,2)</f>
        <v>3257.02</v>
      </c>
      <c r="AA743" s="4">
        <f>IF(W743=0,0,Z743/W743)</f>
        <v>0.36788518709280993</v>
      </c>
      <c r="AB743" t="s">
        <v>31</v>
      </c>
      <c r="AC743" t="s">
        <v>67</v>
      </c>
      <c r="AD743" t="str">
        <f>IF(AND(E743="", T743&gt;=0, T743&lt;=0.5, K743&lt;&gt;"Unknown", Q743&lt;&gt;"Unknown"), "CLEAN", _xlfn.CONCAT("WARNING: ", IF(E743&lt;&gt;"","invalid_date",""), IF(T743&lt;0,"negative_discount",""), IF(AND(T743&gt;0.5,T743&lt;=1),"high_discount",""), IF(K743="Unknown","missing_region",""), IF(Q743="Unknown","missing_ship_mode","")))</f>
        <v>CLEAN</v>
      </c>
      <c r="AE743" t="str">
        <f>IF(COUNTIF($AF$2:$AF$926,AF743)&gt;1,"DUPLICATE","UNIQUE")</f>
        <v>UNIQUE</v>
      </c>
      <c r="AF743" t="str">
        <f>A743&amp;"|"&amp;B743&amp;"|"&amp;H743&amp;"|"&amp;I743&amp;"|"&amp;R743&amp;"|"&amp;S743&amp;"|"&amp;V743</f>
        <v>ORD-2025-10742|2025-04-23|CUST-3285|Isha Nair|3|2951.12|7082.69</v>
      </c>
      <c r="AG743" t="str">
        <f>IF(COUNTIF($A$2:$A$913,A743)&gt;1,"TRUE","FALSE")</f>
        <v>FALSE</v>
      </c>
    </row>
    <row r="744" spans="1:33">
      <c r="A744" t="s">
        <v>2248</v>
      </c>
      <c r="B744" t="s">
        <v>1814</v>
      </c>
      <c r="C744" t="s">
        <v>2501</v>
      </c>
      <c r="D744">
        <f>IF(OR(B744="", C744=""), "", (C744 - B744))</f>
        <v>7</v>
      </c>
      <c r="E744" t="str">
        <f>IF(C744&lt;B744, "INVALID: Ship date before order date", "")</f>
        <v/>
      </c>
      <c r="F744" t="str">
        <f>IF(B744="", "", TEXT(B744, "mmmm"))</f>
        <v>October</v>
      </c>
      <c r="G744">
        <f>IF(B744="", "", YEAR(B744))</f>
        <v>2024</v>
      </c>
      <c r="H744" t="s">
        <v>2249</v>
      </c>
      <c r="I744" t="s">
        <v>22</v>
      </c>
      <c r="J744" t="s">
        <v>89</v>
      </c>
      <c r="K744" t="s">
        <v>37</v>
      </c>
      <c r="L744" t="s">
        <v>38</v>
      </c>
      <c r="M744" t="s">
        <v>39</v>
      </c>
      <c r="N744" t="s">
        <v>27</v>
      </c>
      <c r="O744" t="s">
        <v>28</v>
      </c>
      <c r="P744" t="s">
        <v>2250</v>
      </c>
      <c r="Q744" t="s">
        <v>58</v>
      </c>
      <c r="R744">
        <v>4</v>
      </c>
      <c r="S744" s="15">
        <v>2260.9499999999998</v>
      </c>
      <c r="T744" s="4">
        <v>0</v>
      </c>
      <c r="U744" s="3" t="str">
        <f>IF(T744&lt;0, "negative_discount", IF(AND(T744&gt;0.5, T744&lt;=1), "high_discount", ""))</f>
        <v/>
      </c>
      <c r="V744" s="11">
        <v>9043.7999999999993</v>
      </c>
      <c r="W744" s="12">
        <v>9043.7999999999993</v>
      </c>
      <c r="X744" s="11">
        <v>5913.38</v>
      </c>
      <c r="Y744" s="11">
        <v>3130.42</v>
      </c>
      <c r="Z744" s="11">
        <f>ROUND(W744-X744,2)</f>
        <v>3130.42</v>
      </c>
      <c r="AA744" s="4">
        <f>IF(W744=0,0,Z744/W744)</f>
        <v>0.34613989694597408</v>
      </c>
      <c r="AB744" t="s">
        <v>31</v>
      </c>
      <c r="AC744" t="s">
        <v>32</v>
      </c>
      <c r="AD744" t="str">
        <f>IF(AND(E744="", T744&gt;=0, T744&lt;=0.5, K744&lt;&gt;"Unknown", Q744&lt;&gt;"Unknown"), "CLEAN", _xlfn.CONCAT("WARNING: ", IF(E744&lt;&gt;"","invalid_date",""), IF(T744&lt;0,"negative_discount",""), IF(AND(T744&gt;0.5,T744&lt;=1),"high_discount",""), IF(K744="Unknown","missing_region",""), IF(Q744="Unknown","missing_ship_mode","")))</f>
        <v>CLEAN</v>
      </c>
      <c r="AE744" t="str">
        <f>IF(COUNTIF($AF$2:$AF$926,AF744)&gt;1,"DUPLICATE","UNIQUE")</f>
        <v>UNIQUE</v>
      </c>
      <c r="AF744" t="str">
        <f>A744&amp;"|"&amp;B744&amp;"|"&amp;H744&amp;"|"&amp;I744&amp;"|"&amp;R744&amp;"|"&amp;S744&amp;"|"&amp;V744</f>
        <v>ORD-2024-10743|2024-10-15|CUST-6368|Karan Malhotra|4|2260.95|9043.8</v>
      </c>
      <c r="AG744" t="str">
        <f>IF(COUNTIF($A$2:$A$913,A744)&gt;1,"TRUE","FALSE")</f>
        <v>FALSE</v>
      </c>
    </row>
    <row r="745" spans="1:33">
      <c r="A745" t="s">
        <v>3311</v>
      </c>
      <c r="B745" t="s">
        <v>1582</v>
      </c>
      <c r="C745" t="s">
        <v>1785</v>
      </c>
      <c r="D745">
        <f>IF(OR(B745="", C745=""), "", (C745 - B745))</f>
        <v>2</v>
      </c>
      <c r="E745" t="str">
        <f>IF(C745&lt;B745, "INVALID: Ship date before order date", "")</f>
        <v/>
      </c>
      <c r="F745" t="str">
        <f>IF(B745="", "", TEXT(B745, "mmmm"))</f>
        <v>February</v>
      </c>
      <c r="G745">
        <f>IF(B745="", "", YEAR(B745))</f>
        <v>2025</v>
      </c>
      <c r="H745" t="s">
        <v>2251</v>
      </c>
      <c r="I745" t="s">
        <v>131</v>
      </c>
      <c r="J745" t="s">
        <v>23</v>
      </c>
      <c r="K745" t="s">
        <v>24</v>
      </c>
      <c r="L745" t="s">
        <v>134</v>
      </c>
      <c r="M745" t="s">
        <v>135</v>
      </c>
      <c r="N745" t="s">
        <v>27</v>
      </c>
      <c r="O745" t="s">
        <v>47</v>
      </c>
      <c r="P745" t="s">
        <v>2252</v>
      </c>
      <c r="Q745" t="s">
        <v>58</v>
      </c>
      <c r="R745">
        <v>6</v>
      </c>
      <c r="S745" s="15">
        <v>491.4</v>
      </c>
      <c r="T745" s="4">
        <v>0.25</v>
      </c>
      <c r="U745" s="3" t="str">
        <f>IF(T745&lt;0, "negative_discount", IF(AND(T745&gt;0.5, T745&lt;=1), "high_discount", ""))</f>
        <v/>
      </c>
      <c r="V745" s="11">
        <v>2211.3000000000002</v>
      </c>
      <c r="W745" s="12">
        <v>2211.3000000000002</v>
      </c>
      <c r="X745" s="11">
        <v>1735.64</v>
      </c>
      <c r="Y745" s="11">
        <v>475.66</v>
      </c>
      <c r="Z745" s="11">
        <f>ROUND(W745-X745,2)</f>
        <v>475.66</v>
      </c>
      <c r="AA745" s="4">
        <f>IF(W745=0,0,Z745/W745)</f>
        <v>0.21510423732645953</v>
      </c>
      <c r="AB745" t="s">
        <v>31</v>
      </c>
      <c r="AC745" t="s">
        <v>32</v>
      </c>
      <c r="AD745" t="str">
        <f>IF(AND(E745="", T745&gt;=0, T745&lt;=0.5, K745&lt;&gt;"Unknown", Q745&lt;&gt;"Unknown"), "CLEAN", _xlfn.CONCAT("WARNING: ", IF(E745&lt;&gt;"","invalid_date",""), IF(T745&lt;0,"negative_discount",""), IF(AND(T745&gt;0.5,T745&lt;=1),"high_discount",""), IF(K745="Unknown","missing_region",""), IF(Q745="Unknown","missing_ship_mode","")))</f>
        <v>CLEAN</v>
      </c>
      <c r="AE745" t="str">
        <f>IF(COUNTIF($AF$2:$AF$926,AF745)&gt;1,"DUPLICATE","UNIQUE")</f>
        <v>UNIQUE</v>
      </c>
      <c r="AF745" t="str">
        <f>A745&amp;"|"&amp;B745&amp;"|"&amp;H745&amp;"|"&amp;I745&amp;"|"&amp;R745&amp;"|"&amp;S745&amp;"|"&amp;V745</f>
        <v>ORD-2025-10744|2025-02-12|CUST-6231|Sneha Kapoor|6|491.4|2211.3</v>
      </c>
      <c r="AG745" t="str">
        <f>IF(COUNTIF($A$2:$A$913,A745)&gt;1,"TRUE","FALSE")</f>
        <v>FALSE</v>
      </c>
    </row>
    <row r="746" spans="1:33">
      <c r="A746" t="s">
        <v>3312</v>
      </c>
      <c r="B746" t="s">
        <v>2253</v>
      </c>
      <c r="C746" t="s">
        <v>948</v>
      </c>
      <c r="D746">
        <f>IF(OR(B746="", C746=""), "", (C746 - B746))</f>
        <v>3</v>
      </c>
      <c r="E746" t="str">
        <f>IF(C746&lt;B746, "INVALID: Ship date before order date", "")</f>
        <v/>
      </c>
      <c r="F746" t="str">
        <f>IF(B746="", "", TEXT(B746, "mmmm"))</f>
        <v>August</v>
      </c>
      <c r="G746">
        <f>IF(B746="", "", YEAR(B746))</f>
        <v>2025</v>
      </c>
      <c r="H746" t="s">
        <v>2254</v>
      </c>
      <c r="I746" t="s">
        <v>35</v>
      </c>
      <c r="J746" t="s">
        <v>93</v>
      </c>
      <c r="K746" t="s">
        <v>24</v>
      </c>
      <c r="L746" t="s">
        <v>120</v>
      </c>
      <c r="M746" t="s">
        <v>121</v>
      </c>
      <c r="N746" t="s">
        <v>27</v>
      </c>
      <c r="O746" t="s">
        <v>149</v>
      </c>
      <c r="P746" t="s">
        <v>2255</v>
      </c>
      <c r="Q746" t="s">
        <v>49</v>
      </c>
      <c r="R746">
        <v>5</v>
      </c>
      <c r="S746" s="15">
        <v>2701.89</v>
      </c>
      <c r="T746" s="4">
        <v>0.1</v>
      </c>
      <c r="U746" s="3" t="str">
        <f>IF(T746&lt;0, "negative_discount", IF(AND(T746&gt;0.5, T746&lt;=1), "high_discount", ""))</f>
        <v/>
      </c>
      <c r="V746" s="11">
        <v>12158.5</v>
      </c>
      <c r="W746" s="12">
        <v>12158.51</v>
      </c>
      <c r="X746" s="11">
        <v>10260.07</v>
      </c>
      <c r="Y746" s="11">
        <v>1898.43</v>
      </c>
      <c r="Z746" s="11">
        <f>ROUND(W746-X746,2)</f>
        <v>1898.44</v>
      </c>
      <c r="AA746" s="4">
        <f>IF(W746=0,0,Z746/W746)</f>
        <v>0.15614084291578492</v>
      </c>
      <c r="AB746" t="s">
        <v>31</v>
      </c>
      <c r="AC746" t="s">
        <v>67</v>
      </c>
      <c r="AD746" t="str">
        <f>IF(AND(E746="", T746&gt;=0, T746&lt;=0.5, K746&lt;&gt;"Unknown", Q746&lt;&gt;"Unknown"), "CLEAN", _xlfn.CONCAT("WARNING: ", IF(E746&lt;&gt;"","invalid_date",""), IF(T746&lt;0,"negative_discount",""), IF(AND(T746&gt;0.5,T746&lt;=1),"high_discount",""), IF(K746="Unknown","missing_region",""), IF(Q746="Unknown","missing_ship_mode","")))</f>
        <v>CLEAN</v>
      </c>
      <c r="AE746" t="str">
        <f>IF(COUNTIF($AF$2:$AF$926,AF746)&gt;1,"DUPLICATE","UNIQUE")</f>
        <v>UNIQUE</v>
      </c>
      <c r="AF746" t="str">
        <f>A746&amp;"|"&amp;B746&amp;"|"&amp;H746&amp;"|"&amp;I746&amp;"|"&amp;R746&amp;"|"&amp;S746&amp;"|"&amp;V746</f>
        <v>ORD-2025-10745|2025-08-17|CUST-2021|Mira Das|5|2701.89|12158.5</v>
      </c>
      <c r="AG746" t="str">
        <f>IF(COUNTIF($A$2:$A$913,A746)&gt;1,"TRUE","FALSE")</f>
        <v>FALSE</v>
      </c>
    </row>
    <row r="747" spans="1:33">
      <c r="A747" t="s">
        <v>2256</v>
      </c>
      <c r="B747" t="s">
        <v>441</v>
      </c>
      <c r="C747" t="s">
        <v>261</v>
      </c>
      <c r="D747">
        <f>IF(OR(B747="", C747=""), "", (C747 - B747))</f>
        <v>4</v>
      </c>
      <c r="E747" t="str">
        <f>IF(C747&lt;B747, "INVALID: Ship date before order date", "")</f>
        <v/>
      </c>
      <c r="F747" t="str">
        <f>IF(B747="", "", TEXT(B747, "mmmm"))</f>
        <v>October</v>
      </c>
      <c r="G747">
        <f>IF(B747="", "", YEAR(B747))</f>
        <v>2024</v>
      </c>
      <c r="H747" t="s">
        <v>2257</v>
      </c>
      <c r="I747" t="s">
        <v>35</v>
      </c>
      <c r="J747" t="s">
        <v>36</v>
      </c>
      <c r="K747" t="s">
        <v>37</v>
      </c>
      <c r="L747" t="s">
        <v>163</v>
      </c>
      <c r="M747" t="s">
        <v>164</v>
      </c>
      <c r="N747" t="s">
        <v>74</v>
      </c>
      <c r="O747" t="s">
        <v>79</v>
      </c>
      <c r="P747" t="s">
        <v>2258</v>
      </c>
      <c r="Q747" t="s">
        <v>58</v>
      </c>
      <c r="R747">
        <v>3</v>
      </c>
      <c r="S747" s="15">
        <v>723.59</v>
      </c>
      <c r="T747" s="4">
        <v>0.2</v>
      </c>
      <c r="U747" s="3" t="str">
        <f>IF(T747&lt;0, "negative_discount", IF(AND(T747&gt;0.5, T747&lt;=1), "high_discount", ""))</f>
        <v/>
      </c>
      <c r="V747" s="11">
        <v>1736.62</v>
      </c>
      <c r="W747" s="12">
        <v>1736.62</v>
      </c>
      <c r="X747" s="11">
        <v>1059.52</v>
      </c>
      <c r="Y747" s="11">
        <v>677.1</v>
      </c>
      <c r="Z747" s="11">
        <f>ROUND(W747-X747,2)</f>
        <v>677.1</v>
      </c>
      <c r="AA747" s="4">
        <f>IF(W747=0,0,Z747/W747)</f>
        <v>0.3898953138855939</v>
      </c>
      <c r="AB747" t="s">
        <v>31</v>
      </c>
      <c r="AC747" t="s">
        <v>32</v>
      </c>
      <c r="AD747" t="str">
        <f>IF(AND(E747="", T747&gt;=0, T747&lt;=0.5, K747&lt;&gt;"Unknown", Q747&lt;&gt;"Unknown"), "CLEAN", _xlfn.CONCAT("WARNING: ", IF(E747&lt;&gt;"","invalid_date",""), IF(T747&lt;0,"negative_discount",""), IF(AND(T747&gt;0.5,T747&lt;=1),"high_discount",""), IF(K747="Unknown","missing_region",""), IF(Q747="Unknown","missing_ship_mode","")))</f>
        <v>CLEAN</v>
      </c>
      <c r="AE747" t="str">
        <f>IF(COUNTIF($AF$2:$AF$926,AF747)&gt;1,"DUPLICATE","UNIQUE")</f>
        <v>UNIQUE</v>
      </c>
      <c r="AF747" t="str">
        <f>A747&amp;"|"&amp;B747&amp;"|"&amp;H747&amp;"|"&amp;I747&amp;"|"&amp;R747&amp;"|"&amp;S747&amp;"|"&amp;V747</f>
        <v>ORD-2024-10746|2024-10-24|CUST-1493|Mira Das|3|723.59|1736.62</v>
      </c>
      <c r="AG747" t="str">
        <f>IF(COUNTIF($A$2:$A$913,A747)&gt;1,"TRUE","FALSE")</f>
        <v>FALSE</v>
      </c>
    </row>
    <row r="748" spans="1:33">
      <c r="A748" t="s">
        <v>3313</v>
      </c>
      <c r="B748" t="s">
        <v>875</v>
      </c>
      <c r="C748" t="s">
        <v>2862</v>
      </c>
      <c r="D748">
        <f>IF(OR(B748="", C748=""), "", (C748 - B748))</f>
        <v>270</v>
      </c>
      <c r="E748" t="str">
        <f>IF(C748&lt;B748, "INVALID: Ship date before order date", "")</f>
        <v/>
      </c>
      <c r="F748" t="str">
        <f>IF(B748="", "", TEXT(B748, "mmmm"))</f>
        <v>January</v>
      </c>
      <c r="G748">
        <f>IF(B748="", "", YEAR(B748))</f>
        <v>2025</v>
      </c>
      <c r="H748" t="s">
        <v>1989</v>
      </c>
      <c r="I748" t="s">
        <v>126</v>
      </c>
      <c r="J748" t="s">
        <v>93</v>
      </c>
      <c r="K748" t="s">
        <v>37</v>
      </c>
      <c r="L748" t="s">
        <v>96</v>
      </c>
      <c r="M748" t="s">
        <v>97</v>
      </c>
      <c r="N748" t="s">
        <v>27</v>
      </c>
      <c r="O748" t="s">
        <v>28</v>
      </c>
      <c r="P748" t="s">
        <v>2259</v>
      </c>
      <c r="Q748" t="s">
        <v>58</v>
      </c>
      <c r="R748">
        <v>4</v>
      </c>
      <c r="S748" s="15">
        <v>2583.19</v>
      </c>
      <c r="T748" s="4">
        <v>0.2</v>
      </c>
      <c r="U748" s="3" t="str">
        <f>IF(T748&lt;0, "negative_discount", IF(AND(T748&gt;0.5, T748&lt;=1), "high_discount", ""))</f>
        <v/>
      </c>
      <c r="V748" s="11">
        <v>8266.2099999999991</v>
      </c>
      <c r="W748" s="12">
        <v>8266.2099999999991</v>
      </c>
      <c r="X748" s="11">
        <v>6236.32</v>
      </c>
      <c r="Y748" s="11">
        <v>2029.89</v>
      </c>
      <c r="Z748" s="11">
        <f>ROUND(W748-X748,2)</f>
        <v>2029.89</v>
      </c>
      <c r="AA748" s="4">
        <f>IF(W748=0,0,Z748/W748)</f>
        <v>0.2455647751508854</v>
      </c>
      <c r="AB748" t="s">
        <v>31</v>
      </c>
      <c r="AC748" t="s">
        <v>32</v>
      </c>
      <c r="AD748" t="str">
        <f>IF(AND(E748="", T748&gt;=0, T748&lt;=0.5, K748&lt;&gt;"Unknown", Q748&lt;&gt;"Unknown"), "CLEAN", _xlfn.CONCAT("WARNING: ", IF(E748&lt;&gt;"","invalid_date",""), IF(T748&lt;0,"negative_discount",""), IF(AND(T748&gt;0.5,T748&lt;=1),"high_discount",""), IF(K748="Unknown","missing_region",""), IF(Q748="Unknown","missing_ship_mode","")))</f>
        <v>CLEAN</v>
      </c>
      <c r="AE748" t="str">
        <f>IF(COUNTIF($AF$2:$AF$926,AF748)&gt;1,"DUPLICATE","UNIQUE")</f>
        <v>UNIQUE</v>
      </c>
      <c r="AF748" t="str">
        <f>A748&amp;"|"&amp;B748&amp;"|"&amp;H748&amp;"|"&amp;I748&amp;"|"&amp;R748&amp;"|"&amp;S748&amp;"|"&amp;V748</f>
        <v>ORD-2025-10747|2025-01-04|CUST-2314|Aarav Sharma|4|2583.19|8266.21</v>
      </c>
      <c r="AG748" t="str">
        <f>IF(COUNTIF($A$2:$A$913,A748)&gt;1,"TRUE","FALSE")</f>
        <v>FALSE</v>
      </c>
    </row>
    <row r="749" spans="1:33">
      <c r="A749" t="s">
        <v>2260</v>
      </c>
      <c r="B749" t="s">
        <v>2261</v>
      </c>
      <c r="C749" t="s">
        <v>2816</v>
      </c>
      <c r="D749">
        <f>IF(OR(B749="", C749=""), "", (C749 - B749))</f>
        <v>6</v>
      </c>
      <c r="E749" t="str">
        <f>IF(C749&lt;B749, "INVALID: Ship date before order date", "")</f>
        <v/>
      </c>
      <c r="F749" t="str">
        <f>IF(B749="", "", TEXT(B749, "mmmm"))</f>
        <v>May</v>
      </c>
      <c r="G749">
        <f>IF(B749="", "", YEAR(B749))</f>
        <v>2024</v>
      </c>
      <c r="H749" t="s">
        <v>2262</v>
      </c>
      <c r="I749" t="s">
        <v>46</v>
      </c>
      <c r="J749" t="s">
        <v>93</v>
      </c>
      <c r="K749" t="s">
        <v>37</v>
      </c>
      <c r="L749" t="s">
        <v>38</v>
      </c>
      <c r="M749" t="s">
        <v>39</v>
      </c>
      <c r="N749" t="s">
        <v>27</v>
      </c>
      <c r="O749" t="s">
        <v>28</v>
      </c>
      <c r="P749" t="s">
        <v>2263</v>
      </c>
      <c r="Q749" t="s">
        <v>43</v>
      </c>
      <c r="R749">
        <v>8</v>
      </c>
      <c r="S749" s="15">
        <v>1473.83</v>
      </c>
      <c r="T749" s="4">
        <v>0.15</v>
      </c>
      <c r="U749" s="3" t="str">
        <f>IF(T749&lt;0, "negative_discount", IF(AND(T749&gt;0.5, T749&lt;=1), "high_discount", ""))</f>
        <v/>
      </c>
      <c r="V749" s="11">
        <v>10022.040000000001</v>
      </c>
      <c r="W749" s="12">
        <v>10022.040000000001</v>
      </c>
      <c r="X749" s="11">
        <v>5576.98</v>
      </c>
      <c r="Y749" s="11">
        <v>4445.0600000000004</v>
      </c>
      <c r="Z749" s="11">
        <f>ROUND(W749-X749,2)</f>
        <v>4445.0600000000004</v>
      </c>
      <c r="AA749" s="4">
        <f>IF(W749=0,0,Z749/W749)</f>
        <v>0.4435284632669596</v>
      </c>
      <c r="AB749" t="s">
        <v>31</v>
      </c>
      <c r="AC749" t="s">
        <v>32</v>
      </c>
      <c r="AD749" t="str">
        <f>IF(AND(E749="", T749&gt;=0, T749&lt;=0.5, K749&lt;&gt;"Unknown", Q749&lt;&gt;"Unknown"), "CLEAN", _xlfn.CONCAT("WARNING: ", IF(E749&lt;&gt;"","invalid_date",""), IF(T749&lt;0,"negative_discount",""), IF(AND(T749&gt;0.5,T749&lt;=1),"high_discount",""), IF(K749="Unknown","missing_region",""), IF(Q749="Unknown","missing_ship_mode","")))</f>
        <v>CLEAN</v>
      </c>
      <c r="AE749" t="str">
        <f>IF(COUNTIF($AF$2:$AF$926,AF749)&gt;1,"DUPLICATE","UNIQUE")</f>
        <v>UNIQUE</v>
      </c>
      <c r="AF749" t="str">
        <f>A749&amp;"|"&amp;B749&amp;"|"&amp;H749&amp;"|"&amp;I749&amp;"|"&amp;R749&amp;"|"&amp;S749&amp;"|"&amp;V749</f>
        <v>ORD-2024-10748|2024-05-01|CUST-8416|Isha Nair|8|1473.83|10022.04</v>
      </c>
      <c r="AG749" t="str">
        <f>IF(COUNTIF($A$2:$A$913,A749)&gt;1,"TRUE","FALSE")</f>
        <v>FALSE</v>
      </c>
    </row>
    <row r="750" spans="1:33">
      <c r="A750" t="s">
        <v>2264</v>
      </c>
      <c r="B750" t="s">
        <v>2873</v>
      </c>
      <c r="C750" t="s">
        <v>2873</v>
      </c>
      <c r="D750">
        <f>IF(OR(B750="", C750=""), "", (C750 - B750))</f>
        <v>0</v>
      </c>
      <c r="E750" t="str">
        <f>IF(C750&lt;B750, "INVALID: Ship date before order date", "")</f>
        <v/>
      </c>
      <c r="F750" t="str">
        <f>IF(B750="", "", TEXT(B750, "mmmm"))</f>
        <v>May</v>
      </c>
      <c r="G750">
        <f>IF(B750="", "", YEAR(B750))</f>
        <v>2024</v>
      </c>
      <c r="H750" t="s">
        <v>2265</v>
      </c>
      <c r="I750" t="s">
        <v>158</v>
      </c>
      <c r="J750" t="s">
        <v>93</v>
      </c>
      <c r="K750" t="s">
        <v>24</v>
      </c>
      <c r="L750" t="s">
        <v>234</v>
      </c>
      <c r="M750" t="s">
        <v>235</v>
      </c>
      <c r="N750" t="s">
        <v>74</v>
      </c>
      <c r="O750" t="s">
        <v>168</v>
      </c>
      <c r="P750" t="s">
        <v>2266</v>
      </c>
      <c r="Q750" t="s">
        <v>30</v>
      </c>
      <c r="R750">
        <v>1</v>
      </c>
      <c r="S750" s="15">
        <v>3848.04</v>
      </c>
      <c r="T750" s="4">
        <v>0.25</v>
      </c>
      <c r="U750" s="3" t="str">
        <f>IF(T750&lt;0, "negative_discount", IF(AND(T750&gt;0.5, T750&lt;=1), "high_discount", ""))</f>
        <v/>
      </c>
      <c r="V750" s="11">
        <v>2886.03</v>
      </c>
      <c r="W750" s="12">
        <v>2886.03</v>
      </c>
      <c r="X750" s="11">
        <v>2064.83</v>
      </c>
      <c r="Y750" s="11">
        <v>821.2</v>
      </c>
      <c r="Z750" s="11">
        <f>ROUND(W750-X750,2)</f>
        <v>821.2</v>
      </c>
      <c r="AA750" s="4">
        <f>IF(W750=0,0,Z750/W750)</f>
        <v>0.28454312671732451</v>
      </c>
      <c r="AB750" t="s">
        <v>31</v>
      </c>
      <c r="AC750" t="s">
        <v>32</v>
      </c>
      <c r="AD750" t="str">
        <f>IF(AND(E750="", T750&gt;=0, T750&lt;=0.5, K750&lt;&gt;"Unknown", Q750&lt;&gt;"Unknown"), "CLEAN", _xlfn.CONCAT("WARNING: ", IF(E750&lt;&gt;"","invalid_date",""), IF(T750&lt;0,"negative_discount",""), IF(AND(T750&gt;0.5,T750&lt;=1),"high_discount",""), IF(K750="Unknown","missing_region",""), IF(Q750="Unknown","missing_ship_mode","")))</f>
        <v>CLEAN</v>
      </c>
      <c r="AE750" t="str">
        <f>IF(COUNTIF($AF$2:$AF$926,AF750)&gt;1,"DUPLICATE","UNIQUE")</f>
        <v>UNIQUE</v>
      </c>
      <c r="AF750" t="str">
        <f>A750&amp;"|"&amp;B750&amp;"|"&amp;H750&amp;"|"&amp;I750&amp;"|"&amp;R750&amp;"|"&amp;S750&amp;"|"&amp;V750</f>
        <v>ORD-2024-10749|2024-05-30|CUST-3103|Diya Patel|1|3848.04|2886.03</v>
      </c>
      <c r="AG750" t="str">
        <f>IF(COUNTIF($A$2:$A$913,A750)&gt;1,"TRUE","FALSE")</f>
        <v>FALSE</v>
      </c>
    </row>
    <row r="751" spans="1:33">
      <c r="A751" t="s">
        <v>2267</v>
      </c>
      <c r="B751" t="s">
        <v>2874</v>
      </c>
      <c r="C751" t="s">
        <v>2268</v>
      </c>
      <c r="D751">
        <f>IF(OR(B751="", C751=""), "", (C751 - B751))</f>
        <v>4</v>
      </c>
      <c r="E751" t="str">
        <f>IF(C751&lt;B751, "INVALID: Ship date before order date", "")</f>
        <v/>
      </c>
      <c r="F751" t="str">
        <f>IF(B751="", "", TEXT(B751, "mmmm"))</f>
        <v>March</v>
      </c>
      <c r="G751">
        <f>IF(B751="", "", YEAR(B751))</f>
        <v>2024</v>
      </c>
      <c r="H751" t="s">
        <v>2269</v>
      </c>
      <c r="I751" t="s">
        <v>88</v>
      </c>
      <c r="J751" t="s">
        <v>93</v>
      </c>
      <c r="K751" t="s">
        <v>37</v>
      </c>
      <c r="L751" t="s">
        <v>163</v>
      </c>
      <c r="M751" t="s">
        <v>164</v>
      </c>
      <c r="N751" t="s">
        <v>74</v>
      </c>
      <c r="O751" t="s">
        <v>272</v>
      </c>
      <c r="P751" t="s">
        <v>2270</v>
      </c>
      <c r="Q751" t="s">
        <v>58</v>
      </c>
      <c r="R751">
        <v>1</v>
      </c>
      <c r="S751" s="15">
        <v>1716.7</v>
      </c>
      <c r="T751" s="4">
        <v>0</v>
      </c>
      <c r="U751" s="3" t="str">
        <f>IF(T751&lt;0, "negative_discount", IF(AND(T751&gt;0.5, T751&lt;=1), "high_discount", ""))</f>
        <v/>
      </c>
      <c r="V751" s="11">
        <v>1459.19</v>
      </c>
      <c r="W751" s="12">
        <v>1716.7</v>
      </c>
      <c r="X751" s="11">
        <v>1055.79</v>
      </c>
      <c r="Y751" s="11">
        <v>403.4</v>
      </c>
      <c r="Z751" s="11">
        <f>ROUND(W751-X751,2)</f>
        <v>660.91</v>
      </c>
      <c r="AA751" s="4">
        <f>IF(W751=0,0,Z751/W751)</f>
        <v>0.38498864099726215</v>
      </c>
      <c r="AB751" t="s">
        <v>31</v>
      </c>
      <c r="AC751" t="s">
        <v>32</v>
      </c>
      <c r="AD751" t="str">
        <f>IF(AND(E751="", T751&gt;=0, T751&lt;=0.5, K751&lt;&gt;"Unknown", Q751&lt;&gt;"Unknown"), "CLEAN", _xlfn.CONCAT("WARNING: ", IF(E751&lt;&gt;"","invalid_date",""), IF(T751&lt;0,"negative_discount",""), IF(AND(T751&gt;0.5,T751&lt;=1),"high_discount",""), IF(K751="Unknown","missing_region",""), IF(Q751="Unknown","missing_ship_mode","")))</f>
        <v>CLEAN</v>
      </c>
      <c r="AE751" t="str">
        <f>IF(COUNTIF($AF$2:$AF$926,AF751)&gt;1,"DUPLICATE","UNIQUE")</f>
        <v>UNIQUE</v>
      </c>
      <c r="AF751" t="str">
        <f>A751&amp;"|"&amp;B751&amp;"|"&amp;H751&amp;"|"&amp;I751&amp;"|"&amp;R751&amp;"|"&amp;S751&amp;"|"&amp;V751</f>
        <v>ORD-2024-10750|2024-03-21|CUST-4457|Aditi Sen|1|1716.7|1459.19</v>
      </c>
      <c r="AG751" t="str">
        <f>IF(COUNTIF($A$2:$A$913,A751)&gt;1,"TRUE","FALSE")</f>
        <v>FALSE</v>
      </c>
    </row>
    <row r="752" spans="1:33">
      <c r="A752" t="s">
        <v>3314</v>
      </c>
      <c r="B752" t="s">
        <v>268</v>
      </c>
      <c r="C752" t="s">
        <v>268</v>
      </c>
      <c r="D752">
        <f>IF(OR(B752="", C752=""), "", (C752 - B752))</f>
        <v>0</v>
      </c>
      <c r="E752" t="str">
        <f>IF(C752&lt;B752, "INVALID: Ship date before order date", "")</f>
        <v/>
      </c>
      <c r="F752" t="str">
        <f>IF(B752="", "", TEXT(B752, "mmmm"))</f>
        <v>June</v>
      </c>
      <c r="G752">
        <f>IF(B752="", "", YEAR(B752))</f>
        <v>2025</v>
      </c>
      <c r="H752" t="s">
        <v>2271</v>
      </c>
      <c r="I752" t="s">
        <v>126</v>
      </c>
      <c r="J752" t="s">
        <v>93</v>
      </c>
      <c r="K752" t="s">
        <v>53</v>
      </c>
      <c r="L752" t="s">
        <v>54</v>
      </c>
      <c r="M752" t="s">
        <v>55</v>
      </c>
      <c r="N752" t="s">
        <v>74</v>
      </c>
      <c r="O752" t="s">
        <v>75</v>
      </c>
      <c r="P752" t="s">
        <v>2272</v>
      </c>
      <c r="Q752" t="s">
        <v>49</v>
      </c>
      <c r="R752">
        <v>8</v>
      </c>
      <c r="S752" s="15">
        <v>3925.93</v>
      </c>
      <c r="T752" s="4">
        <v>0</v>
      </c>
      <c r="U752" s="3" t="str">
        <f>IF(T752&lt;0, "negative_discount", IF(AND(T752&gt;0.5, T752&lt;=1), "high_discount", ""))</f>
        <v/>
      </c>
      <c r="V752" s="11">
        <v>26696.32</v>
      </c>
      <c r="W752" s="12">
        <v>31407.439999999999</v>
      </c>
      <c r="X752" s="11">
        <v>22724.52</v>
      </c>
      <c r="Y752" s="11">
        <v>3971.8</v>
      </c>
      <c r="Z752" s="11">
        <f>ROUND(W752-X752,2)</f>
        <v>8682.92</v>
      </c>
      <c r="AA752" s="4">
        <f>IF(W752=0,0,Z752/W752)</f>
        <v>0.27646060933332994</v>
      </c>
      <c r="AB752" t="s">
        <v>31</v>
      </c>
      <c r="AC752" t="s">
        <v>32</v>
      </c>
      <c r="AD752" t="str">
        <f>IF(AND(E752="", T752&gt;=0, T752&lt;=0.5, K752&lt;&gt;"Unknown", Q752&lt;&gt;"Unknown"), "CLEAN", _xlfn.CONCAT("WARNING: ", IF(E752&lt;&gt;"","invalid_date",""), IF(T752&lt;0,"negative_discount",""), IF(AND(T752&gt;0.5,T752&lt;=1),"high_discount",""), IF(K752="Unknown","missing_region",""), IF(Q752="Unknown","missing_ship_mode","")))</f>
        <v>CLEAN</v>
      </c>
      <c r="AE752" t="str">
        <f>IF(COUNTIF($AF$2:$AF$926,AF752)&gt;1,"DUPLICATE","UNIQUE")</f>
        <v>UNIQUE</v>
      </c>
      <c r="AF752" t="str">
        <f>A752&amp;"|"&amp;B752&amp;"|"&amp;H752&amp;"|"&amp;I752&amp;"|"&amp;R752&amp;"|"&amp;S752&amp;"|"&amp;V752</f>
        <v>ORD-2025-10751|2025-06-02|CUST-7036|Aarav Sharma|8|3925.93|26696.32</v>
      </c>
      <c r="AG752" t="str">
        <f>IF(COUNTIF($A$2:$A$913,A752)&gt;1,"TRUE","FALSE")</f>
        <v>FALSE</v>
      </c>
    </row>
    <row r="753" spans="1:33">
      <c r="A753" t="s">
        <v>3315</v>
      </c>
      <c r="B753" t="s">
        <v>1649</v>
      </c>
      <c r="C753" t="s">
        <v>2929</v>
      </c>
      <c r="D753">
        <f>IF(OR(B753="", C753=""), "", (C753 - B753))</f>
        <v>1</v>
      </c>
      <c r="E753" t="str">
        <f>IF(C753&lt;B753, "INVALID: Ship date before order date", "")</f>
        <v/>
      </c>
      <c r="F753" t="str">
        <f>IF(B753="", "", TEXT(B753, "mmmm"))</f>
        <v>July</v>
      </c>
      <c r="G753">
        <f>IF(B753="", "", YEAR(B753))</f>
        <v>2025</v>
      </c>
      <c r="H753" t="s">
        <v>2273</v>
      </c>
      <c r="I753" t="s">
        <v>112</v>
      </c>
      <c r="J753" t="s">
        <v>93</v>
      </c>
      <c r="K753" t="s">
        <v>2970</v>
      </c>
      <c r="L753" t="s">
        <v>134</v>
      </c>
      <c r="M753" t="s">
        <v>135</v>
      </c>
      <c r="N753" t="s">
        <v>74</v>
      </c>
      <c r="O753" t="s">
        <v>272</v>
      </c>
      <c r="P753" t="s">
        <v>2274</v>
      </c>
      <c r="Q753" t="s">
        <v>2970</v>
      </c>
      <c r="R753">
        <v>3</v>
      </c>
      <c r="S753" s="15">
        <v>2963.25</v>
      </c>
      <c r="T753" s="4">
        <v>0.05</v>
      </c>
      <c r="U753" s="3" t="str">
        <f>IF(T753&lt;0, "negative_discount", IF(AND(T753&gt;0.5, T753&lt;=1), "high_discount", ""))</f>
        <v/>
      </c>
      <c r="V753" s="11">
        <v>8445.26</v>
      </c>
      <c r="W753" s="12">
        <v>8445.26</v>
      </c>
      <c r="X753" s="11">
        <v>6937.6</v>
      </c>
      <c r="Y753" s="11">
        <v>1507.66</v>
      </c>
      <c r="Z753" s="11">
        <f>ROUND(W753-X753,2)</f>
        <v>1507.66</v>
      </c>
      <c r="AA753" s="4">
        <f>IF(W753=0,0,Z753/W753)</f>
        <v>0.17852144279749824</v>
      </c>
      <c r="AB753" t="s">
        <v>31</v>
      </c>
      <c r="AC753" t="s">
        <v>32</v>
      </c>
      <c r="AD753" t="str">
        <f>IF(AND(E753="", T753&gt;=0, T753&lt;=0.5, K753&lt;&gt;"Unknown", Q753&lt;&gt;"Unknown"), "CLEAN", _xlfn.CONCAT("WARNING: ", IF(E753&lt;&gt;"","invalid_date",""), IF(T753&lt;0,"negative_discount",""), IF(AND(T753&gt;0.5,T753&lt;=1),"high_discount",""), IF(K753="Unknown","missing_region",""), IF(Q753="Unknown","missing_ship_mode","")))</f>
        <v>WARNING: missing_regionmissing_ship_mode</v>
      </c>
      <c r="AE753" t="str">
        <f>IF(COUNTIF($AF$2:$AF$926,AF753)&gt;1,"DUPLICATE","UNIQUE")</f>
        <v>UNIQUE</v>
      </c>
      <c r="AF753" t="str">
        <f>A753&amp;"|"&amp;B753&amp;"|"&amp;H753&amp;"|"&amp;I753&amp;"|"&amp;R753&amp;"|"&amp;S753&amp;"|"&amp;V753</f>
        <v>ORD-2025-10752|2025-07-18|CUST-8512|Priya Menon|3|2963.25|8445.26</v>
      </c>
      <c r="AG753" t="str">
        <f>IF(COUNTIF($A$2:$A$913,A753)&gt;1,"TRUE","FALSE")</f>
        <v>FALSE</v>
      </c>
    </row>
    <row r="754" spans="1:33">
      <c r="A754" t="s">
        <v>2275</v>
      </c>
      <c r="B754" t="s">
        <v>2051</v>
      </c>
      <c r="C754" t="s">
        <v>2906</v>
      </c>
      <c r="D754">
        <f>IF(OR(B754="", C754=""), "", (C754 - B754))</f>
        <v>3</v>
      </c>
      <c r="E754" t="str">
        <f>IF(C754&lt;B754, "INVALID: Ship date before order date", "")</f>
        <v/>
      </c>
      <c r="F754" t="str">
        <f>IF(B754="", "", TEXT(B754, "mmmm"))</f>
        <v>March</v>
      </c>
      <c r="G754">
        <f>IF(B754="", "", YEAR(B754))</f>
        <v>2024</v>
      </c>
      <c r="H754" t="s">
        <v>2276</v>
      </c>
      <c r="I754" t="s">
        <v>88</v>
      </c>
      <c r="J754" t="s">
        <v>89</v>
      </c>
      <c r="K754" t="s">
        <v>62</v>
      </c>
      <c r="L754" t="s">
        <v>176</v>
      </c>
      <c r="M754" t="s">
        <v>177</v>
      </c>
      <c r="N754" t="s">
        <v>27</v>
      </c>
      <c r="O754" t="s">
        <v>122</v>
      </c>
      <c r="P754" t="s">
        <v>2277</v>
      </c>
      <c r="Q754" t="s">
        <v>49</v>
      </c>
      <c r="R754">
        <v>5</v>
      </c>
      <c r="S754" s="15">
        <v>2465.2199999999998</v>
      </c>
      <c r="T754" s="4">
        <v>0.05</v>
      </c>
      <c r="U754" s="3" t="str">
        <f>IF(T754&lt;0, "negative_discount", IF(AND(T754&gt;0.5, T754&lt;=1), "high_discount", ""))</f>
        <v/>
      </c>
      <c r="V754" s="11">
        <v>11709.79</v>
      </c>
      <c r="W754" s="12">
        <v>11709.8</v>
      </c>
      <c r="X754" s="11">
        <v>8372.2900000000009</v>
      </c>
      <c r="Y754" s="11">
        <v>3337.5</v>
      </c>
      <c r="Z754" s="11">
        <f>ROUND(W754-X754,2)</f>
        <v>3337.51</v>
      </c>
      <c r="AA754" s="4">
        <f>IF(W754=0,0,Z754/W754)</f>
        <v>0.28501853148644729</v>
      </c>
      <c r="AB754" t="s">
        <v>31</v>
      </c>
      <c r="AC754" t="s">
        <v>32</v>
      </c>
      <c r="AD754" t="str">
        <f>IF(AND(E754="", T754&gt;=0, T754&lt;=0.5, K754&lt;&gt;"Unknown", Q754&lt;&gt;"Unknown"), "CLEAN", _xlfn.CONCAT("WARNING: ", IF(E754&lt;&gt;"","invalid_date",""), IF(T754&lt;0,"negative_discount",""), IF(AND(T754&gt;0.5,T754&lt;=1),"high_discount",""), IF(K754="Unknown","missing_region",""), IF(Q754="Unknown","missing_ship_mode","")))</f>
        <v>CLEAN</v>
      </c>
      <c r="AE754" t="str">
        <f>IF(COUNTIF($AF$2:$AF$926,AF754)&gt;1,"DUPLICATE","UNIQUE")</f>
        <v>UNIQUE</v>
      </c>
      <c r="AF754" t="str">
        <f>A754&amp;"|"&amp;B754&amp;"|"&amp;H754&amp;"|"&amp;I754&amp;"|"&amp;R754&amp;"|"&amp;S754&amp;"|"&amp;V754</f>
        <v>ORD-2024-10753|2024-03-24|CUST-6345|Aditi Sen|5|2465.22|11709.79</v>
      </c>
      <c r="AG754" t="str">
        <f>IF(COUNTIF($A$2:$A$913,A754)&gt;1,"TRUE","FALSE")</f>
        <v>FALSE</v>
      </c>
    </row>
    <row r="755" spans="1:33">
      <c r="A755" t="s">
        <v>2278</v>
      </c>
      <c r="B755" t="s">
        <v>2229</v>
      </c>
      <c r="C755" t="s">
        <v>2895</v>
      </c>
      <c r="D755">
        <f>IF(OR(B755="", C755=""), "", (C755 - B755))</f>
        <v>58</v>
      </c>
      <c r="E755" t="str">
        <f>IF(C755&lt;B755, "INVALID: Ship date before order date", "")</f>
        <v/>
      </c>
      <c r="F755" t="str">
        <f>IF(B755="", "", TEXT(B755, "mmmm"))</f>
        <v>August</v>
      </c>
      <c r="G755">
        <f>IF(B755="", "", YEAR(B755))</f>
        <v>2024</v>
      </c>
      <c r="H755" t="s">
        <v>2279</v>
      </c>
      <c r="I755" t="s">
        <v>88</v>
      </c>
      <c r="J755" t="s">
        <v>89</v>
      </c>
      <c r="K755" t="s">
        <v>24</v>
      </c>
      <c r="L755" t="s">
        <v>353</v>
      </c>
      <c r="M755" t="s">
        <v>354</v>
      </c>
      <c r="N755" t="s">
        <v>40</v>
      </c>
      <c r="O755" t="s">
        <v>56</v>
      </c>
      <c r="P755" t="s">
        <v>2280</v>
      </c>
      <c r="Q755" t="s">
        <v>30</v>
      </c>
      <c r="R755">
        <v>3</v>
      </c>
      <c r="S755" s="15">
        <v>1017.22</v>
      </c>
      <c r="T755" s="4">
        <v>0.15</v>
      </c>
      <c r="U755" s="3" t="str">
        <f>IF(T755&lt;0, "negative_discount", IF(AND(T755&gt;0.5, T755&lt;=1), "high_discount", ""))</f>
        <v/>
      </c>
      <c r="V755" s="11">
        <v>2593.91</v>
      </c>
      <c r="W755" s="12">
        <v>2593.91</v>
      </c>
      <c r="X755" s="11">
        <v>1848.48</v>
      </c>
      <c r="Y755" s="11">
        <v>745.43</v>
      </c>
      <c r="Z755" s="11">
        <f>ROUND(W755-X755,2)</f>
        <v>745.43</v>
      </c>
      <c r="AA755" s="4">
        <f>IF(W755=0,0,Z755/W755)</f>
        <v>0.28737697144465307</v>
      </c>
      <c r="AB755" t="s">
        <v>151</v>
      </c>
      <c r="AC755" t="s">
        <v>100</v>
      </c>
      <c r="AD755" t="str">
        <f>IF(AND(E755="", T755&gt;=0, T755&lt;=0.5, K755&lt;&gt;"Unknown", Q755&lt;&gt;"Unknown"), "CLEAN", _xlfn.CONCAT("WARNING: ", IF(E755&lt;&gt;"","invalid_date",""), IF(T755&lt;0,"negative_discount",""), IF(AND(T755&gt;0.5,T755&lt;=1),"high_discount",""), IF(K755="Unknown","missing_region",""), IF(Q755="Unknown","missing_ship_mode","")))</f>
        <v>CLEAN</v>
      </c>
      <c r="AE755" t="str">
        <f>IF(COUNTIF($AF$2:$AF$926,AF755)&gt;1,"DUPLICATE","UNIQUE")</f>
        <v>UNIQUE</v>
      </c>
      <c r="AF755" t="str">
        <f>A755&amp;"|"&amp;B755&amp;"|"&amp;H755&amp;"|"&amp;I755&amp;"|"&amp;R755&amp;"|"&amp;S755&amp;"|"&amp;V755</f>
        <v>ORD-2024-10754|2024-08-11|CUST-4505|Aditi Sen|3|1017.22|2593.91</v>
      </c>
      <c r="AG755" t="str">
        <f>IF(COUNTIF($A$2:$A$913,A755)&gt;1,"TRUE","FALSE")</f>
        <v>FALSE</v>
      </c>
    </row>
    <row r="756" spans="1:33">
      <c r="A756" t="s">
        <v>3316</v>
      </c>
      <c r="B756" t="s">
        <v>795</v>
      </c>
      <c r="C756" t="s">
        <v>795</v>
      </c>
      <c r="D756">
        <f>IF(OR(B756="", C756=""), "", (C756 - B756))</f>
        <v>0</v>
      </c>
      <c r="E756" t="str">
        <f>IF(C756&lt;B756, "INVALID: Ship date before order date", "")</f>
        <v/>
      </c>
      <c r="F756" t="str">
        <f>IF(B756="", "", TEXT(B756, "mmmm"))</f>
        <v>June</v>
      </c>
      <c r="G756">
        <f>IF(B756="", "", YEAR(B756))</f>
        <v>2025</v>
      </c>
      <c r="H756" t="s">
        <v>2281</v>
      </c>
      <c r="I756" t="s">
        <v>78</v>
      </c>
      <c r="J756" t="s">
        <v>89</v>
      </c>
      <c r="K756" t="s">
        <v>53</v>
      </c>
      <c r="L756" t="s">
        <v>180</v>
      </c>
      <c r="M756" t="s">
        <v>181</v>
      </c>
      <c r="N756" t="s">
        <v>27</v>
      </c>
      <c r="O756" t="s">
        <v>122</v>
      </c>
      <c r="P756" t="s">
        <v>2282</v>
      </c>
      <c r="Q756" t="s">
        <v>58</v>
      </c>
      <c r="R756">
        <v>4</v>
      </c>
      <c r="S756" s="15">
        <v>891.34</v>
      </c>
      <c r="T756" s="4">
        <v>0.25</v>
      </c>
      <c r="U756" s="3" t="str">
        <f>IF(T756&lt;0, "negative_discount", IF(AND(T756&gt;0.5, T756&lt;=1), "high_discount", ""))</f>
        <v/>
      </c>
      <c r="V756" s="11">
        <v>2674.02</v>
      </c>
      <c r="W756" s="12">
        <v>2674.02</v>
      </c>
      <c r="X756" s="11">
        <v>2207.5700000000002</v>
      </c>
      <c r="Y756" s="11">
        <v>466.45</v>
      </c>
      <c r="Z756" s="11">
        <f>ROUND(W756-X756,2)</f>
        <v>466.45</v>
      </c>
      <c r="AA756" s="4">
        <f>IF(W756=0,0,Z756/W756)</f>
        <v>0.17443773793763695</v>
      </c>
      <c r="AB756" t="s">
        <v>31</v>
      </c>
      <c r="AC756" t="s">
        <v>32</v>
      </c>
      <c r="AD756" t="str">
        <f>IF(AND(E756="", T756&gt;=0, T756&lt;=0.5, K756&lt;&gt;"Unknown", Q756&lt;&gt;"Unknown"), "CLEAN", _xlfn.CONCAT("WARNING: ", IF(E756&lt;&gt;"","invalid_date",""), IF(T756&lt;0,"negative_discount",""), IF(AND(T756&gt;0.5,T756&lt;=1),"high_discount",""), IF(K756="Unknown","missing_region",""), IF(Q756="Unknown","missing_ship_mode","")))</f>
        <v>CLEAN</v>
      </c>
      <c r="AE756" t="str">
        <f>IF(COUNTIF($AF$2:$AF$926,AF756)&gt;1,"DUPLICATE","UNIQUE")</f>
        <v>UNIQUE</v>
      </c>
      <c r="AF756" t="str">
        <f>A756&amp;"|"&amp;B756&amp;"|"&amp;H756&amp;"|"&amp;I756&amp;"|"&amp;R756&amp;"|"&amp;S756&amp;"|"&amp;V756</f>
        <v>ORD-2025-10755|2025-06-04|CUST-7960|Neha Gupta|4|891.34|2674.02</v>
      </c>
      <c r="AG756" t="str">
        <f>IF(COUNTIF($A$2:$A$913,A756)&gt;1,"TRUE","FALSE")</f>
        <v>FALSE</v>
      </c>
    </row>
    <row r="757" spans="1:33">
      <c r="A757" t="s">
        <v>3317</v>
      </c>
      <c r="B757" t="s">
        <v>2091</v>
      </c>
      <c r="C757" t="s">
        <v>595</v>
      </c>
      <c r="D757">
        <f>IF(OR(B757="", C757=""), "", (C757 - B757))</f>
        <v>4</v>
      </c>
      <c r="E757" t="str">
        <f>IF(C757&lt;B757, "INVALID: Ship date before order date", "")</f>
        <v/>
      </c>
      <c r="F757" t="str">
        <f>IF(B757="", "", TEXT(B757, "mmmm"))</f>
        <v>July</v>
      </c>
      <c r="G757">
        <f>IF(B757="", "", YEAR(B757))</f>
        <v>2025</v>
      </c>
      <c r="H757" t="s">
        <v>2283</v>
      </c>
      <c r="I757" t="s">
        <v>112</v>
      </c>
      <c r="J757" t="s">
        <v>93</v>
      </c>
      <c r="K757" t="s">
        <v>62</v>
      </c>
      <c r="L757" t="s">
        <v>72</v>
      </c>
      <c r="M757" t="s">
        <v>73</v>
      </c>
      <c r="N757" t="s">
        <v>27</v>
      </c>
      <c r="O757" t="s">
        <v>122</v>
      </c>
      <c r="P757" t="s">
        <v>2284</v>
      </c>
      <c r="Q757" t="s">
        <v>30</v>
      </c>
      <c r="R757">
        <v>5</v>
      </c>
      <c r="S757" s="15">
        <v>2481.7399999999998</v>
      </c>
      <c r="T757" s="4">
        <v>0.2</v>
      </c>
      <c r="U757" s="3" t="str">
        <f>IF(T757&lt;0, "negative_discount", IF(AND(T757&gt;0.5, T757&lt;=1), "high_discount", ""))</f>
        <v/>
      </c>
      <c r="V757" s="11">
        <v>9926.9599999999991</v>
      </c>
      <c r="W757" s="12">
        <v>9926.9599999999991</v>
      </c>
      <c r="X757" s="11">
        <v>7994.98</v>
      </c>
      <c r="Y757" s="11">
        <v>1931.98</v>
      </c>
      <c r="Z757" s="11">
        <f>ROUND(W757-X757,2)</f>
        <v>1931.98</v>
      </c>
      <c r="AA757" s="4">
        <f>IF(W757=0,0,Z757/W757)</f>
        <v>0.19461950083409224</v>
      </c>
      <c r="AB757" t="s">
        <v>31</v>
      </c>
      <c r="AC757" t="s">
        <v>32</v>
      </c>
      <c r="AD757" t="str">
        <f>IF(AND(E757="", T757&gt;=0, T757&lt;=0.5, K757&lt;&gt;"Unknown", Q757&lt;&gt;"Unknown"), "CLEAN", _xlfn.CONCAT("WARNING: ", IF(E757&lt;&gt;"","invalid_date",""), IF(T757&lt;0,"negative_discount",""), IF(AND(T757&gt;0.5,T757&lt;=1),"high_discount",""), IF(K757="Unknown","missing_region",""), IF(Q757="Unknown","missing_ship_mode","")))</f>
        <v>CLEAN</v>
      </c>
      <c r="AE757" t="str">
        <f>IF(COUNTIF($AF$2:$AF$926,AF757)&gt;1,"DUPLICATE","UNIQUE")</f>
        <v>UNIQUE</v>
      </c>
      <c r="AF757" t="str">
        <f>A757&amp;"|"&amp;B757&amp;"|"&amp;H757&amp;"|"&amp;I757&amp;"|"&amp;R757&amp;"|"&amp;S757&amp;"|"&amp;V757</f>
        <v>ORD-2025-10756|2025-07-20|CUST-3365|Priya Menon|5|2481.74|9926.96</v>
      </c>
      <c r="AG757" t="str">
        <f>IF(COUNTIF($A$2:$A$913,A757)&gt;1,"TRUE","FALSE")</f>
        <v>FALSE</v>
      </c>
    </row>
    <row r="758" spans="1:33">
      <c r="A758" t="s">
        <v>2285</v>
      </c>
      <c r="B758" t="s">
        <v>2875</v>
      </c>
      <c r="C758" t="s">
        <v>2570</v>
      </c>
      <c r="D758">
        <f>IF(OR(B758="", C758=""), "", (C758 - B758))</f>
        <v>5</v>
      </c>
      <c r="E758" t="str">
        <f>IF(C758&lt;B758, "INVALID: Ship date before order date", "")</f>
        <v/>
      </c>
      <c r="F758" t="str">
        <f>IF(B758="", "", TEXT(B758, "mmmm"))</f>
        <v>October</v>
      </c>
      <c r="G758">
        <f>IF(B758="", "", YEAR(B758))</f>
        <v>2024</v>
      </c>
      <c r="H758" t="s">
        <v>2286</v>
      </c>
      <c r="I758" t="s">
        <v>139</v>
      </c>
      <c r="J758" t="s">
        <v>23</v>
      </c>
      <c r="K758" t="s">
        <v>24</v>
      </c>
      <c r="L758" t="s">
        <v>25</v>
      </c>
      <c r="M758" t="s">
        <v>26</v>
      </c>
      <c r="N758" t="s">
        <v>74</v>
      </c>
      <c r="O758" t="s">
        <v>75</v>
      </c>
      <c r="P758" t="s">
        <v>2287</v>
      </c>
      <c r="Q758" t="s">
        <v>43</v>
      </c>
      <c r="R758">
        <v>7</v>
      </c>
      <c r="S758" s="15">
        <v>2177.1</v>
      </c>
      <c r="T758" s="4">
        <v>0.2</v>
      </c>
      <c r="U758" s="3" t="str">
        <f>IF(T758&lt;0, "negative_discount", IF(AND(T758&gt;0.5, T758&lt;=1), "high_discount", ""))</f>
        <v/>
      </c>
      <c r="V758" s="11">
        <v>12191.76</v>
      </c>
      <c r="W758" s="12">
        <v>12191.76</v>
      </c>
      <c r="X758" s="11">
        <v>10457.49</v>
      </c>
      <c r="Y758" s="11">
        <v>1734.27</v>
      </c>
      <c r="Z758" s="11">
        <f>ROUND(W758-X758,2)</f>
        <v>1734.27</v>
      </c>
      <c r="AA758" s="4">
        <f>IF(W758=0,0,Z758/W758)</f>
        <v>0.14224935530226973</v>
      </c>
      <c r="AB758" t="s">
        <v>31</v>
      </c>
      <c r="AC758" t="s">
        <v>100</v>
      </c>
      <c r="AD758" t="str">
        <f>IF(AND(E758="", T758&gt;=0, T758&lt;=0.5, K758&lt;&gt;"Unknown", Q758&lt;&gt;"Unknown"), "CLEAN", _xlfn.CONCAT("WARNING: ", IF(E758&lt;&gt;"","invalid_date",""), IF(T758&lt;0,"negative_discount",""), IF(AND(T758&gt;0.5,T758&lt;=1),"high_discount",""), IF(K758="Unknown","missing_region",""), IF(Q758="Unknown","missing_ship_mode","")))</f>
        <v>CLEAN</v>
      </c>
      <c r="AE758" t="str">
        <f>IF(COUNTIF($AF$2:$AF$926,AF758)&gt;1,"DUPLICATE","UNIQUE")</f>
        <v>UNIQUE</v>
      </c>
      <c r="AF758" t="str">
        <f>A758&amp;"|"&amp;B758&amp;"|"&amp;H758&amp;"|"&amp;I758&amp;"|"&amp;R758&amp;"|"&amp;S758&amp;"|"&amp;V758</f>
        <v>ORD-2024-10757|2024-10-27|CUST-1557|Rohan Mehta|7|2177.1|12191.76</v>
      </c>
      <c r="AG758" t="str">
        <f>IF(COUNTIF($A$2:$A$913,A758)&gt;1,"TRUE","FALSE")</f>
        <v>FALSE</v>
      </c>
    </row>
    <row r="759" spans="1:33">
      <c r="A759" t="s">
        <v>3318</v>
      </c>
      <c r="B759" t="s">
        <v>2754</v>
      </c>
      <c r="C759" t="s">
        <v>2288</v>
      </c>
      <c r="D759">
        <f>IF(OR(B759="", C759=""), "", (C759 - B759))</f>
        <v>2</v>
      </c>
      <c r="E759" t="str">
        <f>IF(C759&lt;B759, "INVALID: Ship date before order date", "")</f>
        <v/>
      </c>
      <c r="F759" t="str">
        <f>IF(B759="", "", TEXT(B759, "mmmm"))</f>
        <v>August</v>
      </c>
      <c r="G759">
        <f>IF(B759="", "", YEAR(B759))</f>
        <v>2025</v>
      </c>
      <c r="H759" t="s">
        <v>2289</v>
      </c>
      <c r="I759" t="s">
        <v>88</v>
      </c>
      <c r="J759" t="s">
        <v>36</v>
      </c>
      <c r="K759" t="s">
        <v>53</v>
      </c>
      <c r="L759" t="s">
        <v>180</v>
      </c>
      <c r="M759" t="s">
        <v>181</v>
      </c>
      <c r="N759" t="s">
        <v>40</v>
      </c>
      <c r="O759" t="s">
        <v>153</v>
      </c>
      <c r="P759" t="s">
        <v>2290</v>
      </c>
      <c r="Q759" t="s">
        <v>58</v>
      </c>
      <c r="R759">
        <v>3</v>
      </c>
      <c r="S759" s="15">
        <v>1904.78</v>
      </c>
      <c r="T759" s="4">
        <v>0.25</v>
      </c>
      <c r="U759" s="3" t="str">
        <f>IF(T759&lt;0, "negative_discount", IF(AND(T759&gt;0.5, T759&lt;=1), "high_discount", ""))</f>
        <v/>
      </c>
      <c r="V759" s="11">
        <v>4285.76</v>
      </c>
      <c r="W759" s="12">
        <v>4285.76</v>
      </c>
      <c r="X759" s="11">
        <v>2386.33</v>
      </c>
      <c r="Y759" s="11">
        <v>1899.43</v>
      </c>
      <c r="Z759" s="11">
        <f>ROUND(W759-X759,2)</f>
        <v>1899.43</v>
      </c>
      <c r="AA759" s="4">
        <f>IF(W759=0,0,Z759/W759)</f>
        <v>0.44319560591353691</v>
      </c>
      <c r="AB759" t="s">
        <v>151</v>
      </c>
      <c r="AC759" t="s">
        <v>67</v>
      </c>
      <c r="AD759" t="str">
        <f>IF(AND(E759="", T759&gt;=0, T759&lt;=0.5, K759&lt;&gt;"Unknown", Q759&lt;&gt;"Unknown"), "CLEAN", _xlfn.CONCAT("WARNING: ", IF(E759&lt;&gt;"","invalid_date",""), IF(T759&lt;0,"negative_discount",""), IF(AND(T759&gt;0.5,T759&lt;=1),"high_discount",""), IF(K759="Unknown","missing_region",""), IF(Q759="Unknown","missing_ship_mode","")))</f>
        <v>CLEAN</v>
      </c>
      <c r="AE759" t="str">
        <f>IF(COUNTIF($AF$2:$AF$926,AF759)&gt;1,"DUPLICATE","UNIQUE")</f>
        <v>UNIQUE</v>
      </c>
      <c r="AF759" t="str">
        <f>A759&amp;"|"&amp;B759&amp;"|"&amp;H759&amp;"|"&amp;I759&amp;"|"&amp;R759&amp;"|"&amp;S759&amp;"|"&amp;V759</f>
        <v>ORD-2025-10758|2025-08-01|CUST-3058|Aditi Sen|3|1904.78|4285.76</v>
      </c>
      <c r="AG759" t="str">
        <f>IF(COUNTIF($A$2:$A$913,A759)&gt;1,"TRUE","FALSE")</f>
        <v>FALSE</v>
      </c>
    </row>
    <row r="760" spans="1:33">
      <c r="A760" t="s">
        <v>2291</v>
      </c>
      <c r="B760" t="s">
        <v>792</v>
      </c>
      <c r="C760" t="s">
        <v>2836</v>
      </c>
      <c r="D760">
        <f>IF(OR(B760="", C760=""), "", (C760 - B760))</f>
        <v>8</v>
      </c>
      <c r="E760" t="str">
        <f>IF(C760&lt;B760, "INVALID: Ship date before order date", "")</f>
        <v/>
      </c>
      <c r="F760" t="str">
        <f>IF(B760="", "", TEXT(B760, "mmmm"))</f>
        <v>May</v>
      </c>
      <c r="G760">
        <f>IF(B760="", "", YEAR(B760))</f>
        <v>2024</v>
      </c>
      <c r="H760" t="s">
        <v>2292</v>
      </c>
      <c r="I760" t="s">
        <v>126</v>
      </c>
      <c r="J760" t="s">
        <v>36</v>
      </c>
      <c r="K760" t="s">
        <v>53</v>
      </c>
      <c r="L760" t="s">
        <v>171</v>
      </c>
      <c r="M760" t="s">
        <v>172</v>
      </c>
      <c r="N760" t="s">
        <v>40</v>
      </c>
      <c r="O760" t="s">
        <v>65</v>
      </c>
      <c r="P760" t="s">
        <v>2293</v>
      </c>
      <c r="Q760" t="s">
        <v>58</v>
      </c>
      <c r="R760">
        <v>1</v>
      </c>
      <c r="S760" s="15">
        <v>4166.91</v>
      </c>
      <c r="T760" s="4">
        <v>0</v>
      </c>
      <c r="U760" s="3" t="str">
        <f>IF(T760&lt;0, "negative_discount", IF(AND(T760&gt;0.5, T760&lt;=1), "high_discount", ""))</f>
        <v/>
      </c>
      <c r="V760" s="11">
        <v>4166.91</v>
      </c>
      <c r="W760" s="12">
        <v>4166.91</v>
      </c>
      <c r="X760" s="11">
        <v>3412.63</v>
      </c>
      <c r="Y760" s="11">
        <v>754.28</v>
      </c>
      <c r="Z760" s="11">
        <f>ROUND(W760-X760,2)</f>
        <v>754.28</v>
      </c>
      <c r="AA760" s="4">
        <f>IF(W760=0,0,Z760/W760)</f>
        <v>0.18101662862888807</v>
      </c>
      <c r="AB760" t="s">
        <v>31</v>
      </c>
      <c r="AC760" t="s">
        <v>32</v>
      </c>
      <c r="AD760" t="str">
        <f>IF(AND(E760="", T760&gt;=0, T760&lt;=0.5, K760&lt;&gt;"Unknown", Q760&lt;&gt;"Unknown"), "CLEAN", _xlfn.CONCAT("WARNING: ", IF(E760&lt;&gt;"","invalid_date",""), IF(T760&lt;0,"negative_discount",""), IF(AND(T760&gt;0.5,T760&lt;=1),"high_discount",""), IF(K760="Unknown","missing_region",""), IF(Q760="Unknown","missing_ship_mode","")))</f>
        <v>CLEAN</v>
      </c>
      <c r="AE760" t="str">
        <f>IF(COUNTIF($AF$2:$AF$926,AF760)&gt;1,"DUPLICATE","UNIQUE")</f>
        <v>UNIQUE</v>
      </c>
      <c r="AF760" t="str">
        <f>A760&amp;"|"&amp;B760&amp;"|"&amp;H760&amp;"|"&amp;I760&amp;"|"&amp;R760&amp;"|"&amp;S760&amp;"|"&amp;V760</f>
        <v>ORD-2024-10759|2024-05-02|CUST-6076|Aarav Sharma|1|4166.91|4166.91</v>
      </c>
      <c r="AG760" t="str">
        <f>IF(COUNTIF($A$2:$A$913,A760)&gt;1,"TRUE","FALSE")</f>
        <v>FALSE</v>
      </c>
    </row>
    <row r="761" spans="1:33">
      <c r="A761" t="s">
        <v>2294</v>
      </c>
      <c r="B761" t="s">
        <v>290</v>
      </c>
      <c r="C761" t="s">
        <v>1271</v>
      </c>
      <c r="D761">
        <f>IF(OR(B761="", C761=""), "", (C761 - B761))</f>
        <v>7</v>
      </c>
      <c r="E761" t="str">
        <f>IF(C761&lt;B761, "INVALID: Ship date before order date", "")</f>
        <v/>
      </c>
      <c r="F761" t="str">
        <f>IF(B761="", "", TEXT(B761, "mmmm"))</f>
        <v>July</v>
      </c>
      <c r="G761">
        <f>IF(B761="", "", YEAR(B761))</f>
        <v>2024</v>
      </c>
      <c r="H761" t="s">
        <v>2295</v>
      </c>
      <c r="I761" t="s">
        <v>52</v>
      </c>
      <c r="J761" t="s">
        <v>93</v>
      </c>
      <c r="K761" t="s">
        <v>53</v>
      </c>
      <c r="L761" t="s">
        <v>171</v>
      </c>
      <c r="M761" t="s">
        <v>172</v>
      </c>
      <c r="N761" t="s">
        <v>40</v>
      </c>
      <c r="O761" t="s">
        <v>41</v>
      </c>
      <c r="P761" t="s">
        <v>2296</v>
      </c>
      <c r="Q761" t="s">
        <v>30</v>
      </c>
      <c r="R761">
        <v>5</v>
      </c>
      <c r="S761" s="15">
        <v>3986.01</v>
      </c>
      <c r="T761" s="4">
        <v>0.25</v>
      </c>
      <c r="U761" s="3" t="str">
        <f>IF(T761&lt;0, "negative_discount", IF(AND(T761&gt;0.5, T761&lt;=1), "high_discount", ""))</f>
        <v/>
      </c>
      <c r="V761" s="11">
        <v>14947.54</v>
      </c>
      <c r="W761" s="12">
        <v>14947.54</v>
      </c>
      <c r="X761" s="11">
        <v>9438.4599999999991</v>
      </c>
      <c r="Y761" s="11">
        <v>5509.08</v>
      </c>
      <c r="Z761" s="11">
        <f>ROUND(W761-X761,2)</f>
        <v>5509.08</v>
      </c>
      <c r="AA761" s="4">
        <f>IF(W761=0,0,Z761/W761)</f>
        <v>0.36856098060282827</v>
      </c>
      <c r="AB761" t="s">
        <v>31</v>
      </c>
      <c r="AC761" t="s">
        <v>32</v>
      </c>
      <c r="AD761" t="str">
        <f>IF(AND(E761="", T761&gt;=0, T761&lt;=0.5, K761&lt;&gt;"Unknown", Q761&lt;&gt;"Unknown"), "CLEAN", _xlfn.CONCAT("WARNING: ", IF(E761&lt;&gt;"","invalid_date",""), IF(T761&lt;0,"negative_discount",""), IF(AND(T761&gt;0.5,T761&lt;=1),"high_discount",""), IF(K761="Unknown","missing_region",""), IF(Q761="Unknown","missing_ship_mode","")))</f>
        <v>CLEAN</v>
      </c>
      <c r="AE761" t="str">
        <f>IF(COUNTIF($AF$2:$AF$926,AF761)&gt;1,"DUPLICATE","UNIQUE")</f>
        <v>UNIQUE</v>
      </c>
      <c r="AF761" t="str">
        <f>A761&amp;"|"&amp;B761&amp;"|"&amp;H761&amp;"|"&amp;I761&amp;"|"&amp;R761&amp;"|"&amp;S761&amp;"|"&amp;V761</f>
        <v>ORD-2024-10760|2024-07-19|CUST-2098|Arjun Bose|5|3986.01|14947.54</v>
      </c>
      <c r="AG761" t="str">
        <f>IF(COUNTIF($A$2:$A$913,A761)&gt;1,"TRUE","FALSE")</f>
        <v>FALSE</v>
      </c>
    </row>
    <row r="762" spans="1:33">
      <c r="A762" t="s">
        <v>2297</v>
      </c>
      <c r="B762" t="s">
        <v>2876</v>
      </c>
      <c r="C762" t="s">
        <v>2747</v>
      </c>
      <c r="D762">
        <f>IF(OR(B762="", C762=""), "", (C762 - B762))</f>
        <v>5</v>
      </c>
      <c r="E762" t="str">
        <f>IF(C762&lt;B762, "INVALID: Ship date before order date", "")</f>
        <v/>
      </c>
      <c r="F762" t="str">
        <f>IF(B762="", "", TEXT(B762, "mmmm"))</f>
        <v>August</v>
      </c>
      <c r="G762">
        <f>IF(B762="", "", YEAR(B762))</f>
        <v>2024</v>
      </c>
      <c r="H762" t="s">
        <v>2298</v>
      </c>
      <c r="I762" t="s">
        <v>88</v>
      </c>
      <c r="J762" t="s">
        <v>93</v>
      </c>
      <c r="K762" t="s">
        <v>37</v>
      </c>
      <c r="L762" t="s">
        <v>163</v>
      </c>
      <c r="M762" t="s">
        <v>164</v>
      </c>
      <c r="N762" t="s">
        <v>27</v>
      </c>
      <c r="O762" t="s">
        <v>47</v>
      </c>
      <c r="P762" t="s">
        <v>2299</v>
      </c>
      <c r="Q762" t="s">
        <v>30</v>
      </c>
      <c r="R762">
        <v>4</v>
      </c>
      <c r="S762" s="15">
        <v>3365.53</v>
      </c>
      <c r="T762" s="4">
        <v>0</v>
      </c>
      <c r="U762" s="3" t="str">
        <f>IF(T762&lt;0, "negative_discount", IF(AND(T762&gt;0.5, T762&lt;=1), "high_discount", ""))</f>
        <v/>
      </c>
      <c r="V762" s="11">
        <v>13462.12</v>
      </c>
      <c r="W762" s="12">
        <v>13462.12</v>
      </c>
      <c r="X762" s="11">
        <v>7600.63</v>
      </c>
      <c r="Y762" s="11">
        <v>5861.49</v>
      </c>
      <c r="Z762" s="11">
        <f>ROUND(W762-X762,2)</f>
        <v>5861.49</v>
      </c>
      <c r="AA762" s="4">
        <f>IF(W762=0,0,Z762/W762)</f>
        <v>0.43540616188237807</v>
      </c>
      <c r="AB762" t="s">
        <v>109</v>
      </c>
      <c r="AC762" t="s">
        <v>100</v>
      </c>
      <c r="AD762" t="str">
        <f>IF(AND(E762="", T762&gt;=0, T762&lt;=0.5, K762&lt;&gt;"Unknown", Q762&lt;&gt;"Unknown"), "CLEAN", _xlfn.CONCAT("WARNING: ", IF(E762&lt;&gt;"","invalid_date",""), IF(T762&lt;0,"negative_discount",""), IF(AND(T762&gt;0.5,T762&lt;=1),"high_discount",""), IF(K762="Unknown","missing_region",""), IF(Q762="Unknown","missing_ship_mode","")))</f>
        <v>CLEAN</v>
      </c>
      <c r="AE762" t="str">
        <f>IF(COUNTIF($AF$2:$AF$926,AF762)&gt;1,"DUPLICATE","UNIQUE")</f>
        <v>UNIQUE</v>
      </c>
      <c r="AF762" t="str">
        <f>A762&amp;"|"&amp;B762&amp;"|"&amp;H762&amp;"|"&amp;I762&amp;"|"&amp;R762&amp;"|"&amp;S762&amp;"|"&amp;V762</f>
        <v>ORD-2024-10761|2024-08-28|CUST-7193|Aditi Sen|4|3365.53|13462.12</v>
      </c>
      <c r="AG762" t="str">
        <f>IF(COUNTIF($A$2:$A$913,A762)&gt;1,"TRUE","FALSE")</f>
        <v>FALSE</v>
      </c>
    </row>
    <row r="763" spans="1:33">
      <c r="A763" t="s">
        <v>3319</v>
      </c>
      <c r="B763" t="s">
        <v>2617</v>
      </c>
      <c r="C763" t="s">
        <v>2432</v>
      </c>
      <c r="D763">
        <f>IF(OR(B763="", C763=""), "", (C763 - B763))</f>
        <v>4</v>
      </c>
      <c r="E763" t="str">
        <f>IF(C763&lt;B763, "INVALID: Ship date before order date", "")</f>
        <v/>
      </c>
      <c r="F763" t="str">
        <f>IF(B763="", "", TEXT(B763, "mmmm"))</f>
        <v>August</v>
      </c>
      <c r="G763">
        <f>IF(B763="", "", YEAR(B763))</f>
        <v>2025</v>
      </c>
      <c r="H763" t="s">
        <v>2300</v>
      </c>
      <c r="I763" t="s">
        <v>46</v>
      </c>
      <c r="J763" t="s">
        <v>23</v>
      </c>
      <c r="K763" t="s">
        <v>53</v>
      </c>
      <c r="L763" t="s">
        <v>171</v>
      </c>
      <c r="M763" t="s">
        <v>172</v>
      </c>
      <c r="N763" t="s">
        <v>74</v>
      </c>
      <c r="O763" t="s">
        <v>272</v>
      </c>
      <c r="P763" t="s">
        <v>2301</v>
      </c>
      <c r="Q763" t="s">
        <v>49</v>
      </c>
      <c r="R763">
        <v>3</v>
      </c>
      <c r="S763" s="15">
        <v>2489.12</v>
      </c>
      <c r="T763" s="4">
        <v>0</v>
      </c>
      <c r="U763" s="3" t="str">
        <f>IF(T763&lt;0, "negative_discount", IF(AND(T763&gt;0.5, T763&lt;=1), "high_discount", ""))</f>
        <v/>
      </c>
      <c r="V763" s="11">
        <v>7467.36</v>
      </c>
      <c r="W763" s="12">
        <v>7467.36</v>
      </c>
      <c r="X763" s="11">
        <v>5010.6099999999997</v>
      </c>
      <c r="Y763" s="11">
        <v>2456.75</v>
      </c>
      <c r="Z763" s="11">
        <f>ROUND(W763-X763,2)</f>
        <v>2456.75</v>
      </c>
      <c r="AA763" s="4">
        <f>IF(W763=0,0,Z763/W763)</f>
        <v>0.32899846799940008</v>
      </c>
      <c r="AB763" t="s">
        <v>31</v>
      </c>
      <c r="AC763" t="s">
        <v>32</v>
      </c>
      <c r="AD763" t="str">
        <f>IF(AND(E763="", T763&gt;=0, T763&lt;=0.5, K763&lt;&gt;"Unknown", Q763&lt;&gt;"Unknown"), "CLEAN", _xlfn.CONCAT("WARNING: ", IF(E763&lt;&gt;"","invalid_date",""), IF(T763&lt;0,"negative_discount",""), IF(AND(T763&gt;0.5,T763&lt;=1),"high_discount",""), IF(K763="Unknown","missing_region",""), IF(Q763="Unknown","missing_ship_mode","")))</f>
        <v>CLEAN</v>
      </c>
      <c r="AE763" t="str">
        <f>IF(COUNTIF($AF$2:$AF$926,AF763)&gt;1,"DUPLICATE","UNIQUE")</f>
        <v>UNIQUE</v>
      </c>
      <c r="AF763" t="str">
        <f>A763&amp;"|"&amp;B763&amp;"|"&amp;H763&amp;"|"&amp;I763&amp;"|"&amp;R763&amp;"|"&amp;S763&amp;"|"&amp;V763</f>
        <v>ORD-2025-10762|2025-08-27|CUST-8948|Isha Nair|3|2489.12|7467.36</v>
      </c>
      <c r="AG763" t="str">
        <f>IF(COUNTIF($A$2:$A$913,A763)&gt;1,"TRUE","FALSE")</f>
        <v>FALSE</v>
      </c>
    </row>
    <row r="764" spans="1:33">
      <c r="A764" t="s">
        <v>2302</v>
      </c>
      <c r="B764" t="s">
        <v>2877</v>
      </c>
      <c r="C764" t="s">
        <v>2634</v>
      </c>
      <c r="D764">
        <f>IF(OR(B764="", C764=""), "", (C764 - B764))</f>
        <v>4</v>
      </c>
      <c r="E764" t="str">
        <f>IF(C764&lt;B764, "INVALID: Ship date before order date", "")</f>
        <v/>
      </c>
      <c r="F764" t="str">
        <f>IF(B764="", "", TEXT(B764, "mmmm"))</f>
        <v>January</v>
      </c>
      <c r="G764">
        <f>IF(B764="", "", YEAR(B764))</f>
        <v>2024</v>
      </c>
      <c r="H764" t="s">
        <v>2303</v>
      </c>
      <c r="I764" t="s">
        <v>158</v>
      </c>
      <c r="J764" t="s">
        <v>89</v>
      </c>
      <c r="K764" t="s">
        <v>62</v>
      </c>
      <c r="L764" t="s">
        <v>72</v>
      </c>
      <c r="M764" t="s">
        <v>73</v>
      </c>
      <c r="N764" t="s">
        <v>74</v>
      </c>
      <c r="O764" t="s">
        <v>272</v>
      </c>
      <c r="P764" t="s">
        <v>2304</v>
      </c>
      <c r="Q764" t="s">
        <v>30</v>
      </c>
      <c r="R764">
        <v>2</v>
      </c>
      <c r="S764" s="15">
        <v>3694.12</v>
      </c>
      <c r="T764" s="4">
        <v>0.2</v>
      </c>
      <c r="U764" s="3" t="str">
        <f>IF(T764&lt;0, "negative_discount", IF(AND(T764&gt;0.5, T764&lt;=1), "high_discount", ""))</f>
        <v/>
      </c>
      <c r="V764" s="11">
        <v>5910.59</v>
      </c>
      <c r="W764" s="12">
        <v>5910.59</v>
      </c>
      <c r="X764" s="11">
        <v>4775.4399999999996</v>
      </c>
      <c r="Y764" s="11">
        <v>1135.1500000000001</v>
      </c>
      <c r="Z764" s="11">
        <f>ROUND(W764-X764,2)</f>
        <v>1135.1500000000001</v>
      </c>
      <c r="AA764" s="4">
        <f>IF(W764=0,0,Z764/W764)</f>
        <v>0.19205358517508406</v>
      </c>
      <c r="AB764" t="s">
        <v>99</v>
      </c>
      <c r="AC764" t="s">
        <v>100</v>
      </c>
      <c r="AD764" t="str">
        <f>IF(AND(E764="", T764&gt;=0, T764&lt;=0.5, K764&lt;&gt;"Unknown", Q764&lt;&gt;"Unknown"), "CLEAN", _xlfn.CONCAT("WARNING: ", IF(E764&lt;&gt;"","invalid_date",""), IF(T764&lt;0,"negative_discount",""), IF(AND(T764&gt;0.5,T764&lt;=1),"high_discount",""), IF(K764="Unknown","missing_region",""), IF(Q764="Unknown","missing_ship_mode","")))</f>
        <v>CLEAN</v>
      </c>
      <c r="AE764" t="str">
        <f>IF(COUNTIF($AF$2:$AF$926,AF764)&gt;1,"DUPLICATE","UNIQUE")</f>
        <v>UNIQUE</v>
      </c>
      <c r="AF764" t="str">
        <f>A764&amp;"|"&amp;B764&amp;"|"&amp;H764&amp;"|"&amp;I764&amp;"|"&amp;R764&amp;"|"&amp;S764&amp;"|"&amp;V764</f>
        <v>ORD-2024-10763|2024-01-01|CUST-6921|Diya Patel|2|3694.12|5910.59</v>
      </c>
      <c r="AG764" t="str">
        <f>IF(COUNTIF($A$2:$A$913,A764)&gt;1,"TRUE","FALSE")</f>
        <v>FALSE</v>
      </c>
    </row>
    <row r="765" spans="1:33">
      <c r="A765" t="s">
        <v>3320</v>
      </c>
      <c r="B765" t="s">
        <v>1307</v>
      </c>
      <c r="C765" t="s">
        <v>2305</v>
      </c>
      <c r="D765">
        <f>IF(OR(B765="", C765=""), "", (C765 - B765))</f>
        <v>2</v>
      </c>
      <c r="E765" t="str">
        <f>IF(C765&lt;B765, "INVALID: Ship date before order date", "")</f>
        <v/>
      </c>
      <c r="F765" t="str">
        <f>IF(B765="", "", TEXT(B765, "mmmm"))</f>
        <v>August</v>
      </c>
      <c r="G765">
        <f>IF(B765="", "", YEAR(B765))</f>
        <v>2025</v>
      </c>
      <c r="H765" t="s">
        <v>2306</v>
      </c>
      <c r="I765" t="s">
        <v>158</v>
      </c>
      <c r="J765" t="s">
        <v>23</v>
      </c>
      <c r="K765" t="s">
        <v>24</v>
      </c>
      <c r="L765" t="s">
        <v>25</v>
      </c>
      <c r="M765" t="s">
        <v>26</v>
      </c>
      <c r="N765" t="s">
        <v>40</v>
      </c>
      <c r="O765" t="s">
        <v>56</v>
      </c>
      <c r="P765" t="s">
        <v>2307</v>
      </c>
      <c r="Q765" t="s">
        <v>43</v>
      </c>
      <c r="R765">
        <v>6</v>
      </c>
      <c r="S765" s="15">
        <v>2742.48</v>
      </c>
      <c r="T765" s="4">
        <v>0</v>
      </c>
      <c r="U765" s="3" t="str">
        <f>IF(T765&lt;0, "negative_discount", IF(AND(T765&gt;0.5, T765&lt;=1), "high_discount", ""))</f>
        <v/>
      </c>
      <c r="V765" s="11">
        <v>16454.88</v>
      </c>
      <c r="W765" s="12">
        <v>16454.88</v>
      </c>
      <c r="X765" s="11">
        <v>12081.54</v>
      </c>
      <c r="Y765" s="11">
        <v>4373.34</v>
      </c>
      <c r="Z765" s="11">
        <f>ROUND(W765-X765,2)</f>
        <v>4373.34</v>
      </c>
      <c r="AA765" s="4">
        <f>IF(W765=0,0,Z765/W765)</f>
        <v>0.26577769026574488</v>
      </c>
      <c r="AB765" t="s">
        <v>31</v>
      </c>
      <c r="AC765" t="s">
        <v>32</v>
      </c>
      <c r="AD765" t="str">
        <f>IF(AND(E765="", T765&gt;=0, T765&lt;=0.5, K765&lt;&gt;"Unknown", Q765&lt;&gt;"Unknown"), "CLEAN", _xlfn.CONCAT("WARNING: ", IF(E765&lt;&gt;"","invalid_date",""), IF(T765&lt;0,"negative_discount",""), IF(AND(T765&gt;0.5,T765&lt;=1),"high_discount",""), IF(K765="Unknown","missing_region",""), IF(Q765="Unknown","missing_ship_mode","")))</f>
        <v>CLEAN</v>
      </c>
      <c r="AE765" t="str">
        <f>IF(COUNTIF($AF$2:$AF$926,AF765)&gt;1,"DUPLICATE","UNIQUE")</f>
        <v>UNIQUE</v>
      </c>
      <c r="AF765" t="str">
        <f>A765&amp;"|"&amp;B765&amp;"|"&amp;H765&amp;"|"&amp;I765&amp;"|"&amp;R765&amp;"|"&amp;S765&amp;"|"&amp;V765</f>
        <v>ORD-2025-10764|2025-08-23|CUST-4086|Diya Patel|6|2742.48|16454.88</v>
      </c>
      <c r="AG765" t="str">
        <f>IF(COUNTIF($A$2:$A$913,A765)&gt;1,"TRUE","FALSE")</f>
        <v>FALSE</v>
      </c>
    </row>
    <row r="766" spans="1:33">
      <c r="A766" t="s">
        <v>3321</v>
      </c>
      <c r="B766" t="s">
        <v>1202</v>
      </c>
      <c r="C766" t="s">
        <v>1202</v>
      </c>
      <c r="D766">
        <f>IF(OR(B766="", C766=""), "", (C766 - B766))</f>
        <v>0</v>
      </c>
      <c r="E766" t="str">
        <f>IF(C766&lt;B766, "INVALID: Ship date before order date", "")</f>
        <v/>
      </c>
      <c r="F766" t="str">
        <f>IF(B766="", "", TEXT(B766, "mmmm"))</f>
        <v>April</v>
      </c>
      <c r="G766">
        <f>IF(B766="", "", YEAR(B766))</f>
        <v>2025</v>
      </c>
      <c r="H766" t="s">
        <v>879</v>
      </c>
      <c r="I766" t="s">
        <v>112</v>
      </c>
      <c r="J766" t="s">
        <v>89</v>
      </c>
      <c r="K766" t="s">
        <v>53</v>
      </c>
      <c r="L766" t="s">
        <v>180</v>
      </c>
      <c r="M766" t="s">
        <v>181</v>
      </c>
      <c r="N766" t="s">
        <v>40</v>
      </c>
      <c r="O766" t="s">
        <v>153</v>
      </c>
      <c r="P766" t="s">
        <v>2308</v>
      </c>
      <c r="Q766" t="s">
        <v>49</v>
      </c>
      <c r="R766">
        <v>6</v>
      </c>
      <c r="S766" s="15">
        <v>4414</v>
      </c>
      <c r="T766" s="4">
        <v>0.05</v>
      </c>
      <c r="U766" s="3" t="str">
        <f>IF(T766&lt;0, "negative_discount", IF(AND(T766&gt;0.5, T766&lt;=1), "high_discount", ""))</f>
        <v/>
      </c>
      <c r="V766" s="11">
        <v>25159.8</v>
      </c>
      <c r="W766" s="12">
        <v>25159.8</v>
      </c>
      <c r="X766" s="11">
        <v>21606.83</v>
      </c>
      <c r="Y766" s="11">
        <v>3552.97</v>
      </c>
      <c r="Z766" s="11">
        <f>ROUND(W766-X766,2)</f>
        <v>3552.97</v>
      </c>
      <c r="AA766" s="4">
        <f>IF(W766=0,0,Z766/W766)</f>
        <v>0.14121614639226066</v>
      </c>
      <c r="AB766" t="s">
        <v>31</v>
      </c>
      <c r="AC766" t="s">
        <v>32</v>
      </c>
      <c r="AD766" t="str">
        <f>IF(AND(E766="", T766&gt;=0, T766&lt;=0.5, K766&lt;&gt;"Unknown", Q766&lt;&gt;"Unknown"), "CLEAN", _xlfn.CONCAT("WARNING: ", IF(E766&lt;&gt;"","invalid_date",""), IF(T766&lt;0,"negative_discount",""), IF(AND(T766&gt;0.5,T766&lt;=1),"high_discount",""), IF(K766="Unknown","missing_region",""), IF(Q766="Unknown","missing_ship_mode","")))</f>
        <v>CLEAN</v>
      </c>
      <c r="AE766" t="str">
        <f>IF(COUNTIF($AF$2:$AF$926,AF766)&gt;1,"DUPLICATE","UNIQUE")</f>
        <v>UNIQUE</v>
      </c>
      <c r="AF766" t="str">
        <f>A766&amp;"|"&amp;B766&amp;"|"&amp;H766&amp;"|"&amp;I766&amp;"|"&amp;R766&amp;"|"&amp;S766&amp;"|"&amp;V766</f>
        <v>ORD-2025-10765|2025-04-13|CUST-5174|Priya Menon|6|4414|25159.8</v>
      </c>
      <c r="AG766" t="str">
        <f>IF(COUNTIF($A$2:$A$913,A766)&gt;1,"TRUE","FALSE")</f>
        <v>FALSE</v>
      </c>
    </row>
    <row r="767" spans="1:33">
      <c r="A767" t="s">
        <v>3322</v>
      </c>
      <c r="B767" t="s">
        <v>2738</v>
      </c>
      <c r="C767" t="s">
        <v>2309</v>
      </c>
      <c r="D767">
        <f>IF(OR(B767="", C767=""), "", (C767 - B767))</f>
        <v>4</v>
      </c>
      <c r="E767" t="str">
        <f>IF(C767&lt;B767, "INVALID: Ship date before order date", "")</f>
        <v/>
      </c>
      <c r="F767" t="str">
        <f>IF(B767="", "", TEXT(B767, "mmmm"))</f>
        <v>June</v>
      </c>
      <c r="G767">
        <f>IF(B767="", "", YEAR(B767))</f>
        <v>2025</v>
      </c>
      <c r="H767" t="s">
        <v>2310</v>
      </c>
      <c r="I767" t="s">
        <v>71</v>
      </c>
      <c r="J767" t="s">
        <v>89</v>
      </c>
      <c r="K767" t="s">
        <v>37</v>
      </c>
      <c r="L767" t="s">
        <v>226</v>
      </c>
      <c r="M767" t="s">
        <v>227</v>
      </c>
      <c r="N767" t="s">
        <v>27</v>
      </c>
      <c r="O767" t="s">
        <v>90</v>
      </c>
      <c r="P767" t="s">
        <v>2311</v>
      </c>
      <c r="Q767" t="s">
        <v>49</v>
      </c>
      <c r="R767">
        <v>3</v>
      </c>
      <c r="S767" s="15">
        <v>608.14</v>
      </c>
      <c r="T767" s="4">
        <v>0</v>
      </c>
      <c r="U767" s="3" t="str">
        <f>IF(T767&lt;0, "negative_discount", IF(AND(T767&gt;0.5, T767&lt;=1), "high_discount", ""))</f>
        <v/>
      </c>
      <c r="V767" s="11">
        <v>1824.42</v>
      </c>
      <c r="W767" s="12">
        <v>1824.42</v>
      </c>
      <c r="X767" s="11">
        <v>1214.8699999999999</v>
      </c>
      <c r="Y767" s="11">
        <v>609.54999999999995</v>
      </c>
      <c r="Z767" s="11">
        <f>ROUND(W767-X767,2)</f>
        <v>609.54999999999995</v>
      </c>
      <c r="AA767" s="4">
        <f>IF(W767=0,0,Z767/W767)</f>
        <v>0.33410618169061945</v>
      </c>
      <c r="AB767" t="s">
        <v>31</v>
      </c>
      <c r="AC767" t="s">
        <v>32</v>
      </c>
      <c r="AD767" t="str">
        <f>IF(AND(E767="", T767&gt;=0, T767&lt;=0.5, K767&lt;&gt;"Unknown", Q767&lt;&gt;"Unknown"), "CLEAN", _xlfn.CONCAT("WARNING: ", IF(E767&lt;&gt;"","invalid_date",""), IF(T767&lt;0,"negative_discount",""), IF(AND(T767&gt;0.5,T767&lt;=1),"high_discount",""), IF(K767="Unknown","missing_region",""), IF(Q767="Unknown","missing_ship_mode","")))</f>
        <v>CLEAN</v>
      </c>
      <c r="AE767" t="str">
        <f>IF(COUNTIF($AF$2:$AF$926,AF767)&gt;1,"DUPLICATE","UNIQUE")</f>
        <v>UNIQUE</v>
      </c>
      <c r="AF767" t="str">
        <f>A767&amp;"|"&amp;B767&amp;"|"&amp;H767&amp;"|"&amp;I767&amp;"|"&amp;R767&amp;"|"&amp;S767&amp;"|"&amp;V767</f>
        <v>ORD-2025-10766|2025-06-29|CUST-8747|Vikram Iyer|3|608.14|1824.42</v>
      </c>
      <c r="AG767" t="str">
        <f>IF(COUNTIF($A$2:$A$913,A767)&gt;1,"TRUE","FALSE")</f>
        <v>FALSE</v>
      </c>
    </row>
    <row r="768" spans="1:33">
      <c r="A768" t="s">
        <v>2312</v>
      </c>
      <c r="B768" t="s">
        <v>2833</v>
      </c>
      <c r="C768" t="s">
        <v>2936</v>
      </c>
      <c r="D768">
        <f>IF(OR(B768="", C768=""), "", (C768 - B768))</f>
        <v>7</v>
      </c>
      <c r="E768" t="str">
        <f>IF(C768&lt;B768, "INVALID: Ship date before order date", "")</f>
        <v/>
      </c>
      <c r="F768" t="str">
        <f>IF(B768="", "", TEXT(B768, "mmmm"))</f>
        <v>September</v>
      </c>
      <c r="G768">
        <f>IF(B768="", "", YEAR(B768))</f>
        <v>2024</v>
      </c>
      <c r="H768" t="s">
        <v>2313</v>
      </c>
      <c r="I768" t="s">
        <v>35</v>
      </c>
      <c r="J768" t="s">
        <v>89</v>
      </c>
      <c r="K768" t="s">
        <v>62</v>
      </c>
      <c r="L768" t="s">
        <v>176</v>
      </c>
      <c r="M768" t="s">
        <v>177</v>
      </c>
      <c r="N768" t="s">
        <v>27</v>
      </c>
      <c r="O768" t="s">
        <v>47</v>
      </c>
      <c r="P768" t="s">
        <v>2314</v>
      </c>
      <c r="Q768" t="s">
        <v>30</v>
      </c>
      <c r="R768">
        <v>9</v>
      </c>
      <c r="S768" s="15">
        <v>2307.96</v>
      </c>
      <c r="T768" s="4">
        <v>0.2</v>
      </c>
      <c r="U768" s="3" t="str">
        <f>IF(T768&lt;0, "negative_discount", IF(AND(T768&gt;0.5, T768&lt;=1), "high_discount", ""))</f>
        <v/>
      </c>
      <c r="V768" s="11">
        <v>16617.310000000001</v>
      </c>
      <c r="W768" s="12">
        <v>16617.310000000001</v>
      </c>
      <c r="X768" s="11">
        <v>9195.73</v>
      </c>
      <c r="Y768" s="11">
        <v>7421.58</v>
      </c>
      <c r="Z768" s="11">
        <f>ROUND(W768-X768,2)</f>
        <v>7421.58</v>
      </c>
      <c r="AA768" s="4">
        <f>IF(W768=0,0,Z768/W768)</f>
        <v>0.44661741280628448</v>
      </c>
      <c r="AB768" t="s">
        <v>31</v>
      </c>
      <c r="AC768" t="s">
        <v>67</v>
      </c>
      <c r="AD768" t="str">
        <f>IF(AND(E768="", T768&gt;=0, T768&lt;=0.5, K768&lt;&gt;"Unknown", Q768&lt;&gt;"Unknown"), "CLEAN", _xlfn.CONCAT("WARNING: ", IF(E768&lt;&gt;"","invalid_date",""), IF(T768&lt;0,"negative_discount",""), IF(AND(T768&gt;0.5,T768&lt;=1),"high_discount",""), IF(K768="Unknown","missing_region",""), IF(Q768="Unknown","missing_ship_mode","")))</f>
        <v>CLEAN</v>
      </c>
      <c r="AE768" t="str">
        <f>IF(COUNTIF($AF$2:$AF$926,AF768)&gt;1,"DUPLICATE","UNIQUE")</f>
        <v>UNIQUE</v>
      </c>
      <c r="AF768" t="str">
        <f>A768&amp;"|"&amp;B768&amp;"|"&amp;H768&amp;"|"&amp;I768&amp;"|"&amp;R768&amp;"|"&amp;S768&amp;"|"&amp;V768</f>
        <v>ORD-2024-10767|2024-09-17|CUST-3156|Mira Das|9|2307.96|16617.31</v>
      </c>
      <c r="AG768" t="str">
        <f>IF(COUNTIF($A$2:$A$913,A768)&gt;1,"TRUE","FALSE")</f>
        <v>FALSE</v>
      </c>
    </row>
    <row r="769" spans="1:33">
      <c r="A769" t="s">
        <v>2315</v>
      </c>
      <c r="B769" t="s">
        <v>2878</v>
      </c>
      <c r="C769" t="s">
        <v>2734</v>
      </c>
      <c r="D769">
        <f>IF(OR(B769="", C769=""), "", (C769 - B769))</f>
        <v>3</v>
      </c>
      <c r="E769" t="str">
        <f>IF(C769&lt;B769, "INVALID: Ship date before order date", "")</f>
        <v/>
      </c>
      <c r="F769" t="str">
        <f>IF(B769="", "", TEXT(B769, "mmmm"))</f>
        <v>May</v>
      </c>
      <c r="G769">
        <f>IF(B769="", "", YEAR(B769))</f>
        <v>2024</v>
      </c>
      <c r="H769" t="s">
        <v>2316</v>
      </c>
      <c r="I769" t="s">
        <v>61</v>
      </c>
      <c r="J769" t="s">
        <v>93</v>
      </c>
      <c r="K769" t="s">
        <v>24</v>
      </c>
      <c r="L769" t="s">
        <v>134</v>
      </c>
      <c r="M769" t="s">
        <v>135</v>
      </c>
      <c r="N769" t="s">
        <v>27</v>
      </c>
      <c r="O769" t="s">
        <v>149</v>
      </c>
      <c r="P769" t="s">
        <v>2317</v>
      </c>
      <c r="Q769" t="s">
        <v>58</v>
      </c>
      <c r="R769">
        <v>1</v>
      </c>
      <c r="S769" s="15">
        <v>1244.58</v>
      </c>
      <c r="T769" s="4">
        <v>0.25</v>
      </c>
      <c r="U769" s="3" t="str">
        <f>IF(T769&lt;0, "negative_discount", IF(AND(T769&gt;0.5, T769&lt;=1), "high_discount", ""))</f>
        <v/>
      </c>
      <c r="V769" s="11">
        <v>933.43</v>
      </c>
      <c r="W769" s="12">
        <v>933.44</v>
      </c>
      <c r="X769" s="11">
        <v>583.09</v>
      </c>
      <c r="Y769" s="11">
        <v>350.34</v>
      </c>
      <c r="Z769" s="11">
        <f>ROUND(W769-X769,2)</f>
        <v>350.35</v>
      </c>
      <c r="AA769" s="4">
        <f>IF(W769=0,0,Z769/W769)</f>
        <v>0.3753321049022969</v>
      </c>
      <c r="AB769" t="s">
        <v>31</v>
      </c>
      <c r="AC769" t="s">
        <v>32</v>
      </c>
      <c r="AD769" t="str">
        <f>IF(AND(E769="", T769&gt;=0, T769&lt;=0.5, K769&lt;&gt;"Unknown", Q769&lt;&gt;"Unknown"), "CLEAN", _xlfn.CONCAT("WARNING: ", IF(E769&lt;&gt;"","invalid_date",""), IF(T769&lt;0,"negative_discount",""), IF(AND(T769&gt;0.5,T769&lt;=1),"high_discount",""), IF(K769="Unknown","missing_region",""), IF(Q769="Unknown","missing_ship_mode","")))</f>
        <v>CLEAN</v>
      </c>
      <c r="AE769" t="str">
        <f>IF(COUNTIF($AF$2:$AF$926,AF769)&gt;1,"DUPLICATE","UNIQUE")</f>
        <v>UNIQUE</v>
      </c>
      <c r="AF769" t="str">
        <f>A769&amp;"|"&amp;B769&amp;"|"&amp;H769&amp;"|"&amp;I769&amp;"|"&amp;R769&amp;"|"&amp;S769&amp;"|"&amp;V769</f>
        <v>ORD-2024-10768|2024-05-03|CUST-2043|Ananya Rao|1|1244.58|933.43</v>
      </c>
      <c r="AG769" t="str">
        <f>IF(COUNTIF($A$2:$A$913,A769)&gt;1,"TRUE","FALSE")</f>
        <v>FALSE</v>
      </c>
    </row>
    <row r="770" spans="1:33">
      <c r="A770" t="s">
        <v>3323</v>
      </c>
      <c r="B770" t="s">
        <v>1168</v>
      </c>
      <c r="C770" t="s">
        <v>2318</v>
      </c>
      <c r="D770">
        <f>IF(OR(B770="", C770=""), "", (C770 - B770))</f>
        <v>2</v>
      </c>
      <c r="E770" t="str">
        <f>IF(C770&lt;B770, "INVALID: Ship date before order date", "")</f>
        <v/>
      </c>
      <c r="F770" t="str">
        <f>IF(B770="", "", TEXT(B770, "mmmm"))</f>
        <v>April</v>
      </c>
      <c r="G770">
        <f>IF(B770="", "", YEAR(B770))</f>
        <v>2025</v>
      </c>
      <c r="H770" t="s">
        <v>2319</v>
      </c>
      <c r="I770" t="s">
        <v>131</v>
      </c>
      <c r="J770" t="s">
        <v>93</v>
      </c>
      <c r="K770" t="s">
        <v>37</v>
      </c>
      <c r="L770" t="s">
        <v>226</v>
      </c>
      <c r="M770" t="s">
        <v>227</v>
      </c>
      <c r="N770" t="s">
        <v>27</v>
      </c>
      <c r="O770" t="s">
        <v>28</v>
      </c>
      <c r="P770" t="s">
        <v>2320</v>
      </c>
      <c r="Q770" t="s">
        <v>43</v>
      </c>
      <c r="R770">
        <v>5</v>
      </c>
      <c r="S770" s="15">
        <v>3234.24</v>
      </c>
      <c r="T770" s="4">
        <v>0.1</v>
      </c>
      <c r="U770" s="3" t="str">
        <f>IF(T770&lt;0, "negative_discount", IF(AND(T770&gt;0.5, T770&lt;=1), "high_discount", ""))</f>
        <v/>
      </c>
      <c r="V770" s="11">
        <v>14554.08</v>
      </c>
      <c r="W770" s="12">
        <v>14554.08</v>
      </c>
      <c r="X770" s="11">
        <v>11166.84</v>
      </c>
      <c r="Y770" s="11">
        <v>3387.24</v>
      </c>
      <c r="Z770" s="11">
        <f>ROUND(W770-X770,2)</f>
        <v>3387.24</v>
      </c>
      <c r="AA770" s="4">
        <f>IF(W770=0,0,Z770/W770)</f>
        <v>0.23273473830018798</v>
      </c>
      <c r="AB770" t="s">
        <v>31</v>
      </c>
      <c r="AC770" t="s">
        <v>32</v>
      </c>
      <c r="AD770" t="str">
        <f>IF(AND(E770="", T770&gt;=0, T770&lt;=0.5, K770&lt;&gt;"Unknown", Q770&lt;&gt;"Unknown"), "CLEAN", _xlfn.CONCAT("WARNING: ", IF(E770&lt;&gt;"","invalid_date",""), IF(T770&lt;0,"negative_discount",""), IF(AND(T770&gt;0.5,T770&lt;=1),"high_discount",""), IF(K770="Unknown","missing_region",""), IF(Q770="Unknown","missing_ship_mode","")))</f>
        <v>CLEAN</v>
      </c>
      <c r="AE770" t="str">
        <f>IF(COUNTIF($AF$2:$AF$926,AF770)&gt;1,"DUPLICATE","UNIQUE")</f>
        <v>UNIQUE</v>
      </c>
      <c r="AF770" t="str">
        <f>A770&amp;"|"&amp;B770&amp;"|"&amp;H770&amp;"|"&amp;I770&amp;"|"&amp;R770&amp;"|"&amp;S770&amp;"|"&amp;V770</f>
        <v>ORD-2025-10769|2025-04-02|CUST-8808|Sneha Kapoor|5|3234.24|14554.08</v>
      </c>
      <c r="AG770" t="str">
        <f>IF(COUNTIF($A$2:$A$913,A770)&gt;1,"TRUE","FALSE")</f>
        <v>FALSE</v>
      </c>
    </row>
    <row r="771" spans="1:33">
      <c r="A771" t="s">
        <v>2321</v>
      </c>
      <c r="B771" t="s">
        <v>2879</v>
      </c>
      <c r="C771" t="s">
        <v>1241</v>
      </c>
      <c r="D771">
        <f>IF(OR(B771="", C771=""), "", (C771 - B771))</f>
        <v>2</v>
      </c>
      <c r="E771" t="str">
        <f>IF(C771&lt;B771, "INVALID: Ship date before order date", "")</f>
        <v/>
      </c>
      <c r="F771" t="str">
        <f>IF(B771="", "", TEXT(B771, "mmmm"))</f>
        <v>May</v>
      </c>
      <c r="G771">
        <f>IF(B771="", "", YEAR(B771))</f>
        <v>2024</v>
      </c>
      <c r="H771" t="s">
        <v>2322</v>
      </c>
      <c r="I771" t="s">
        <v>112</v>
      </c>
      <c r="J771" t="s">
        <v>93</v>
      </c>
      <c r="K771" t="s">
        <v>62</v>
      </c>
      <c r="L771" t="s">
        <v>185</v>
      </c>
      <c r="M771" t="s">
        <v>186</v>
      </c>
      <c r="N771" t="s">
        <v>40</v>
      </c>
      <c r="O771" t="s">
        <v>153</v>
      </c>
      <c r="P771" t="s">
        <v>2323</v>
      </c>
      <c r="Q771" t="s">
        <v>43</v>
      </c>
      <c r="R771">
        <v>3</v>
      </c>
      <c r="S771" s="15">
        <v>3612.75</v>
      </c>
      <c r="T771" s="4">
        <v>0.25</v>
      </c>
      <c r="U771" s="3" t="str">
        <f>IF(T771&lt;0, "negative_discount", IF(AND(T771&gt;0.5, T771&lt;=1), "high_discount", ""))</f>
        <v/>
      </c>
      <c r="V771" s="11">
        <v>8128.69</v>
      </c>
      <c r="W771" s="12">
        <v>8128.69</v>
      </c>
      <c r="X771" s="11">
        <v>5071.66</v>
      </c>
      <c r="Y771" s="11">
        <v>3057.03</v>
      </c>
      <c r="Z771" s="11">
        <f>ROUND(W771-X771,2)</f>
        <v>3057.03</v>
      </c>
      <c r="AA771" s="4">
        <f>IF(W771=0,0,Z771/W771)</f>
        <v>0.37607904840755402</v>
      </c>
      <c r="AB771" t="s">
        <v>31</v>
      </c>
      <c r="AC771" t="s">
        <v>32</v>
      </c>
      <c r="AD771" t="str">
        <f>IF(AND(E771="", T771&gt;=0, T771&lt;=0.5, K771&lt;&gt;"Unknown", Q771&lt;&gt;"Unknown"), "CLEAN", _xlfn.CONCAT("WARNING: ", IF(E771&lt;&gt;"","invalid_date",""), IF(T771&lt;0,"negative_discount",""), IF(AND(T771&gt;0.5,T771&lt;=1),"high_discount",""), IF(K771="Unknown","missing_region",""), IF(Q771="Unknown","missing_ship_mode","")))</f>
        <v>CLEAN</v>
      </c>
      <c r="AE771" t="str">
        <f>IF(COUNTIF($AF$2:$AF$926,AF771)&gt;1,"DUPLICATE","UNIQUE")</f>
        <v>UNIQUE</v>
      </c>
      <c r="AF771" t="str">
        <f>A771&amp;"|"&amp;B771&amp;"|"&amp;H771&amp;"|"&amp;I771&amp;"|"&amp;R771&amp;"|"&amp;S771&amp;"|"&amp;V771</f>
        <v>ORD-2024-10770|2024-05-11|CUST-1293|Priya Menon|3|3612.75|8128.69</v>
      </c>
      <c r="AG771" t="str">
        <f>IF(COUNTIF($A$2:$A$913,A771)&gt;1,"TRUE","FALSE")</f>
        <v>FALSE</v>
      </c>
    </row>
    <row r="772" spans="1:33">
      <c r="A772" t="s">
        <v>2324</v>
      </c>
      <c r="B772" t="s">
        <v>464</v>
      </c>
      <c r="C772" t="s">
        <v>2838</v>
      </c>
      <c r="D772">
        <f>IF(OR(B772="", C772=""), "", (C772 - B772))</f>
        <v>2</v>
      </c>
      <c r="E772" t="str">
        <f>IF(C772&lt;B772, "INVALID: Ship date before order date", "")</f>
        <v/>
      </c>
      <c r="F772" t="str">
        <f>IF(B772="", "", TEXT(B772, "mmmm"))</f>
        <v>February</v>
      </c>
      <c r="G772">
        <f>IF(B772="", "", YEAR(B772))</f>
        <v>2024</v>
      </c>
      <c r="H772" t="s">
        <v>2325</v>
      </c>
      <c r="I772" t="s">
        <v>78</v>
      </c>
      <c r="J772" t="s">
        <v>23</v>
      </c>
      <c r="K772" t="s">
        <v>24</v>
      </c>
      <c r="L772" t="s">
        <v>134</v>
      </c>
      <c r="M772" t="s">
        <v>135</v>
      </c>
      <c r="N772" t="s">
        <v>74</v>
      </c>
      <c r="O772" t="s">
        <v>79</v>
      </c>
      <c r="P772" t="s">
        <v>2326</v>
      </c>
      <c r="Q772" t="s">
        <v>49</v>
      </c>
      <c r="R772">
        <v>4</v>
      </c>
      <c r="S772" s="15">
        <v>863</v>
      </c>
      <c r="T772" s="4">
        <v>0</v>
      </c>
      <c r="U772" s="3" t="str">
        <f>IF(T772&lt;0, "negative_discount", IF(AND(T772&gt;0.5, T772&lt;=1), "high_discount", ""))</f>
        <v/>
      </c>
      <c r="V772" s="11">
        <v>3106.8</v>
      </c>
      <c r="W772" s="12">
        <v>3452</v>
      </c>
      <c r="X772" s="11">
        <v>2376.62</v>
      </c>
      <c r="Y772" s="11">
        <v>730.18</v>
      </c>
      <c r="Z772" s="11">
        <f>ROUND(W772-X772,2)</f>
        <v>1075.3800000000001</v>
      </c>
      <c r="AA772" s="4">
        <f>IF(W772=0,0,Z772/W772)</f>
        <v>0.3115237543453071</v>
      </c>
      <c r="AB772" t="s">
        <v>31</v>
      </c>
      <c r="AC772" t="s">
        <v>32</v>
      </c>
      <c r="AD772" t="str">
        <f>IF(AND(E772="", T772&gt;=0, T772&lt;=0.5, K772&lt;&gt;"Unknown", Q772&lt;&gt;"Unknown"), "CLEAN", _xlfn.CONCAT("WARNING: ", IF(E772&lt;&gt;"","invalid_date",""), IF(T772&lt;0,"negative_discount",""), IF(AND(T772&gt;0.5,T772&lt;=1),"high_discount",""), IF(K772="Unknown","missing_region",""), IF(Q772="Unknown","missing_ship_mode","")))</f>
        <v>CLEAN</v>
      </c>
      <c r="AE772" t="str">
        <f>IF(COUNTIF($AF$2:$AF$926,AF772)&gt;1,"DUPLICATE","UNIQUE")</f>
        <v>UNIQUE</v>
      </c>
      <c r="AF772" t="str">
        <f>A772&amp;"|"&amp;B772&amp;"|"&amp;H772&amp;"|"&amp;I772&amp;"|"&amp;R772&amp;"|"&amp;S772&amp;"|"&amp;V772</f>
        <v>ORD-2024-10771|2024-02-15|CUST-8384|Neha Gupta|4|863|3106.8</v>
      </c>
      <c r="AG772" t="str">
        <f>IF(COUNTIF($A$2:$A$913,A772)&gt;1,"TRUE","FALSE")</f>
        <v>FALSE</v>
      </c>
    </row>
    <row r="773" spans="1:33">
      <c r="A773" t="s">
        <v>2327</v>
      </c>
      <c r="B773" t="s">
        <v>2328</v>
      </c>
      <c r="C773" t="s">
        <v>1703</v>
      </c>
      <c r="D773">
        <f>IF(OR(B773="", C773=""), "", (C773 - B773))</f>
        <v>2</v>
      </c>
      <c r="E773" t="str">
        <f>IF(C773&lt;B773, "INVALID: Ship date before order date", "")</f>
        <v/>
      </c>
      <c r="F773" t="str">
        <f>IF(B773="", "", TEXT(B773, "mmmm"))</f>
        <v>July</v>
      </c>
      <c r="G773">
        <f>IF(B773="", "", YEAR(B773))</f>
        <v>2024</v>
      </c>
      <c r="H773" t="s">
        <v>472</v>
      </c>
      <c r="I773" t="s">
        <v>61</v>
      </c>
      <c r="J773" t="s">
        <v>23</v>
      </c>
      <c r="K773" t="s">
        <v>24</v>
      </c>
      <c r="L773" t="s">
        <v>234</v>
      </c>
      <c r="M773" t="s">
        <v>235</v>
      </c>
      <c r="N773" t="s">
        <v>74</v>
      </c>
      <c r="O773" t="s">
        <v>272</v>
      </c>
      <c r="P773" t="s">
        <v>2329</v>
      </c>
      <c r="Q773" t="s">
        <v>30</v>
      </c>
      <c r="R773">
        <v>4</v>
      </c>
      <c r="S773" s="15">
        <v>2131.41</v>
      </c>
      <c r="T773" s="4">
        <v>0</v>
      </c>
      <c r="U773" s="3" t="str">
        <f>IF(T773&lt;0, "negative_discount", IF(AND(T773&gt;0.5, T773&lt;=1), "high_discount", ""))</f>
        <v/>
      </c>
      <c r="V773" s="11">
        <v>6394.23</v>
      </c>
      <c r="W773" s="12">
        <v>8525.64</v>
      </c>
      <c r="X773" s="11">
        <v>3520.69</v>
      </c>
      <c r="Y773" s="11">
        <v>2873.54</v>
      </c>
      <c r="Z773" s="11">
        <f>ROUND(W773-X773,2)</f>
        <v>5004.95</v>
      </c>
      <c r="AA773" s="4">
        <f>IF(W773=0,0,Z773/W773)</f>
        <v>0.58704683753946918</v>
      </c>
      <c r="AB773" t="s">
        <v>31</v>
      </c>
      <c r="AC773" t="s">
        <v>32</v>
      </c>
      <c r="AD773" t="str">
        <f>IF(AND(E773="", T773&gt;=0, T773&lt;=0.5, K773&lt;&gt;"Unknown", Q773&lt;&gt;"Unknown"), "CLEAN", _xlfn.CONCAT("WARNING: ", IF(E773&lt;&gt;"","invalid_date",""), IF(T773&lt;0,"negative_discount",""), IF(AND(T773&gt;0.5,T773&lt;=1),"high_discount",""), IF(K773="Unknown","missing_region",""), IF(Q773="Unknown","missing_ship_mode","")))</f>
        <v>CLEAN</v>
      </c>
      <c r="AE773" t="str">
        <f>IF(COUNTIF($AF$2:$AF$926,AF773)&gt;1,"DUPLICATE","UNIQUE")</f>
        <v>UNIQUE</v>
      </c>
      <c r="AF773" t="str">
        <f>A773&amp;"|"&amp;B773&amp;"|"&amp;H773&amp;"|"&amp;I773&amp;"|"&amp;R773&amp;"|"&amp;S773&amp;"|"&amp;V773</f>
        <v>ORD-2024-10772|2024-07-12|CUST-7861|Ananya Rao|4|2131.41|6394.23</v>
      </c>
      <c r="AG773" t="str">
        <f>IF(COUNTIF($A$2:$A$913,A773)&gt;1,"TRUE","FALSE")</f>
        <v>FALSE</v>
      </c>
    </row>
    <row r="774" spans="1:33">
      <c r="A774" t="s">
        <v>3324</v>
      </c>
      <c r="B774" t="s">
        <v>2678</v>
      </c>
      <c r="C774" t="s">
        <v>2929</v>
      </c>
      <c r="D774">
        <f>IF(OR(B774="", C774=""), "", (C774 - B774))</f>
        <v>4</v>
      </c>
      <c r="E774" t="str">
        <f>IF(C774&lt;B774, "INVALID: Ship date before order date", "")</f>
        <v/>
      </c>
      <c r="F774" t="str">
        <f>IF(B774="", "", TEXT(B774, "mmmm"))</f>
        <v>July</v>
      </c>
      <c r="G774">
        <f>IF(B774="", "", YEAR(B774))</f>
        <v>2025</v>
      </c>
      <c r="H774" t="s">
        <v>2330</v>
      </c>
      <c r="I774" t="s">
        <v>158</v>
      </c>
      <c r="J774" t="s">
        <v>23</v>
      </c>
      <c r="K774" t="s">
        <v>53</v>
      </c>
      <c r="L774" t="s">
        <v>246</v>
      </c>
      <c r="M774" t="s">
        <v>247</v>
      </c>
      <c r="N774" t="s">
        <v>40</v>
      </c>
      <c r="O774" t="s">
        <v>65</v>
      </c>
      <c r="P774" t="s">
        <v>2331</v>
      </c>
      <c r="Q774" t="s">
        <v>43</v>
      </c>
      <c r="R774">
        <v>1</v>
      </c>
      <c r="S774" s="15">
        <v>3903.22</v>
      </c>
      <c r="T774" s="4">
        <v>0.05</v>
      </c>
      <c r="U774" s="3" t="str">
        <f>IF(T774&lt;0, "negative_discount", IF(AND(T774&gt;0.5, T774&lt;=1), "high_discount", ""))</f>
        <v/>
      </c>
      <c r="V774" s="11">
        <v>3708.06</v>
      </c>
      <c r="W774" s="12">
        <v>3708.06</v>
      </c>
      <c r="X774" s="11">
        <v>2760.29</v>
      </c>
      <c r="Y774" s="11">
        <v>947.77</v>
      </c>
      <c r="Z774" s="11">
        <f>ROUND(W774-X774,2)</f>
        <v>947.77</v>
      </c>
      <c r="AA774" s="4">
        <f>IF(W774=0,0,Z774/W774)</f>
        <v>0.25559726649514841</v>
      </c>
      <c r="AB774" t="s">
        <v>109</v>
      </c>
      <c r="AC774" t="s">
        <v>67</v>
      </c>
      <c r="AD774" t="str">
        <f>IF(AND(E774="", T774&gt;=0, T774&lt;=0.5, K774&lt;&gt;"Unknown", Q774&lt;&gt;"Unknown"), "CLEAN", _xlfn.CONCAT("WARNING: ", IF(E774&lt;&gt;"","invalid_date",""), IF(T774&lt;0,"negative_discount",""), IF(AND(T774&gt;0.5,T774&lt;=1),"high_discount",""), IF(K774="Unknown","missing_region",""), IF(Q774="Unknown","missing_ship_mode","")))</f>
        <v>CLEAN</v>
      </c>
      <c r="AE774" t="str">
        <f>IF(COUNTIF($AF$2:$AF$926,AF774)&gt;1,"DUPLICATE","UNIQUE")</f>
        <v>UNIQUE</v>
      </c>
      <c r="AF774" t="str">
        <f>A774&amp;"|"&amp;B774&amp;"|"&amp;H774&amp;"|"&amp;I774&amp;"|"&amp;R774&amp;"|"&amp;S774&amp;"|"&amp;V774</f>
        <v>ORD-2025-10773|2025-07-15|CUST-8422|Diya Patel|1|3903.22|3708.06</v>
      </c>
      <c r="AG774" t="str">
        <f>IF(COUNTIF($A$2:$A$913,A774)&gt;1,"TRUE","FALSE")</f>
        <v>FALSE</v>
      </c>
    </row>
    <row r="775" spans="1:33">
      <c r="A775" t="s">
        <v>3325</v>
      </c>
      <c r="B775" t="s">
        <v>2332</v>
      </c>
      <c r="C775" t="s">
        <v>2332</v>
      </c>
      <c r="D775">
        <f>IF(OR(B775="", C775=""), "", (C775 - B775))</f>
        <v>0</v>
      </c>
      <c r="E775" t="str">
        <f>IF(C775&lt;B775, "INVALID: Ship date before order date", "")</f>
        <v/>
      </c>
      <c r="F775" t="str">
        <f>IF(B775="", "", TEXT(B775, "mmmm"))</f>
        <v>February</v>
      </c>
      <c r="G775">
        <f>IF(B775="", "", YEAR(B775))</f>
        <v>2025</v>
      </c>
      <c r="H775" t="s">
        <v>2333</v>
      </c>
      <c r="I775" t="s">
        <v>22</v>
      </c>
      <c r="J775" t="s">
        <v>93</v>
      </c>
      <c r="K775" t="s">
        <v>62</v>
      </c>
      <c r="L775" t="s">
        <v>176</v>
      </c>
      <c r="M775" t="s">
        <v>177</v>
      </c>
      <c r="N775" t="s">
        <v>74</v>
      </c>
      <c r="O775" t="s">
        <v>168</v>
      </c>
      <c r="P775" t="s">
        <v>2334</v>
      </c>
      <c r="Q775" t="s">
        <v>2970</v>
      </c>
      <c r="R775">
        <v>4</v>
      </c>
      <c r="S775" s="15">
        <v>2945.07</v>
      </c>
      <c r="T775" s="4">
        <v>0.2</v>
      </c>
      <c r="U775" s="3" t="str">
        <f>IF(T775&lt;0, "negative_discount", IF(AND(T775&gt;0.5, T775&lt;=1), "high_discount", ""))</f>
        <v/>
      </c>
      <c r="V775" s="11">
        <v>9424.2199999999993</v>
      </c>
      <c r="W775" s="12">
        <v>9424.2199999999993</v>
      </c>
      <c r="X775" s="11">
        <v>6178.92</v>
      </c>
      <c r="Y775" s="11">
        <v>3245.3</v>
      </c>
      <c r="Z775" s="11">
        <f>ROUND(W775-X775,2)</f>
        <v>3245.3</v>
      </c>
      <c r="AA775" s="4">
        <f>IF(W775=0,0,Z775/W775)</f>
        <v>0.3443574110112031</v>
      </c>
      <c r="AB775" t="s">
        <v>31</v>
      </c>
      <c r="AC775" t="s">
        <v>32</v>
      </c>
      <c r="AD775" t="str">
        <f>IF(AND(E775="", T775&gt;=0, T775&lt;=0.5, K775&lt;&gt;"Unknown", Q775&lt;&gt;"Unknown"), "CLEAN", _xlfn.CONCAT("WARNING: ", IF(E775&lt;&gt;"","invalid_date",""), IF(T775&lt;0,"negative_discount",""), IF(AND(T775&gt;0.5,T775&lt;=1),"high_discount",""), IF(K775="Unknown","missing_region",""), IF(Q775="Unknown","missing_ship_mode","")))</f>
        <v>WARNING: missing_ship_mode</v>
      </c>
      <c r="AE775" t="str">
        <f>IF(COUNTIF($AF$2:$AF$926,AF775)&gt;1,"DUPLICATE","UNIQUE")</f>
        <v>UNIQUE</v>
      </c>
      <c r="AF775" t="str">
        <f>A775&amp;"|"&amp;B775&amp;"|"&amp;H775&amp;"|"&amp;I775&amp;"|"&amp;R775&amp;"|"&amp;S775&amp;"|"&amp;V775</f>
        <v>ORD-2025-10774|2025-02-21|CUST-4766|Karan Malhotra|4|2945.07|9424.22</v>
      </c>
      <c r="AG775" t="str">
        <f>IF(COUNTIF($A$2:$A$913,A775)&gt;1,"TRUE","FALSE")</f>
        <v>FALSE</v>
      </c>
    </row>
    <row r="776" spans="1:33">
      <c r="A776" t="s">
        <v>3326</v>
      </c>
      <c r="B776" t="s">
        <v>2700</v>
      </c>
      <c r="C776" t="s">
        <v>1158</v>
      </c>
      <c r="D776">
        <f>IF(OR(B776="", C776=""), "", (C776 - B776))</f>
        <v>30</v>
      </c>
      <c r="E776" t="str">
        <f>IF(C776&lt;B776, "INVALID: Ship date before order date", "")</f>
        <v/>
      </c>
      <c r="F776" t="str">
        <f>IF(B776="", "", TEXT(B776, "mmmm"))</f>
        <v>July</v>
      </c>
      <c r="G776">
        <f>IF(B776="", "", YEAR(B776))</f>
        <v>2025</v>
      </c>
      <c r="H776" t="s">
        <v>2335</v>
      </c>
      <c r="I776" t="s">
        <v>263</v>
      </c>
      <c r="J776" t="s">
        <v>23</v>
      </c>
      <c r="K776" t="s">
        <v>62</v>
      </c>
      <c r="L776" t="s">
        <v>25</v>
      </c>
      <c r="M776" t="s">
        <v>107</v>
      </c>
      <c r="N776" t="s">
        <v>74</v>
      </c>
      <c r="O776" t="s">
        <v>272</v>
      </c>
      <c r="P776" t="s">
        <v>2336</v>
      </c>
      <c r="Q776" t="s">
        <v>2970</v>
      </c>
      <c r="R776">
        <v>9</v>
      </c>
      <c r="S776" s="15">
        <v>1076.75</v>
      </c>
      <c r="T776" s="4">
        <v>0.2</v>
      </c>
      <c r="U776" s="3" t="str">
        <f>IF(T776&lt;0, "negative_discount", IF(AND(T776&gt;0.5, T776&lt;=1), "high_discount", ""))</f>
        <v/>
      </c>
      <c r="V776" s="11">
        <v>7752.6</v>
      </c>
      <c r="W776" s="12">
        <v>7752.6</v>
      </c>
      <c r="X776" s="11">
        <v>4689.3</v>
      </c>
      <c r="Y776" s="11">
        <v>3063.3</v>
      </c>
      <c r="Z776" s="11">
        <f>ROUND(W776-X776,2)</f>
        <v>3063.3</v>
      </c>
      <c r="AA776" s="4">
        <f>IF(W776=0,0,Z776/W776)</f>
        <v>0.39513195573098059</v>
      </c>
      <c r="AB776" t="s">
        <v>31</v>
      </c>
      <c r="AC776" t="s">
        <v>32</v>
      </c>
      <c r="AD776" t="str">
        <f>IF(AND(E776="", T776&gt;=0, T776&lt;=0.5, K776&lt;&gt;"Unknown", Q776&lt;&gt;"Unknown"), "CLEAN", _xlfn.CONCAT("WARNING: ", IF(E776&lt;&gt;"","invalid_date",""), IF(T776&lt;0,"negative_discount",""), IF(AND(T776&gt;0.5,T776&lt;=1),"high_discount",""), IF(K776="Unknown","missing_region",""), IF(Q776="Unknown","missing_ship_mode","")))</f>
        <v>WARNING: missing_ship_mode</v>
      </c>
      <c r="AE776" t="str">
        <f>IF(COUNTIF($AF$2:$AF$926,AF776)&gt;1,"DUPLICATE","UNIQUE")</f>
        <v>UNIQUE</v>
      </c>
      <c r="AF776" t="str">
        <f>A776&amp;"|"&amp;B776&amp;"|"&amp;H776&amp;"|"&amp;I776&amp;"|"&amp;R776&amp;"|"&amp;S776&amp;"|"&amp;V776</f>
        <v>ORD-2025-10775|2025-07-08|CUST-1182|Kabir Singh|9|1076.75|7752.6</v>
      </c>
      <c r="AG776" t="str">
        <f>IF(COUNTIF($A$2:$A$913,A776)&gt;1,"TRUE","FALSE")</f>
        <v>FALSE</v>
      </c>
    </row>
    <row r="777" spans="1:33">
      <c r="A777" t="s">
        <v>2337</v>
      </c>
      <c r="B777" t="s">
        <v>2532</v>
      </c>
      <c r="C777" t="s">
        <v>2533</v>
      </c>
      <c r="D777">
        <f>IF(OR(B777="", C777=""), "", (C777 - B777))</f>
        <v>8</v>
      </c>
      <c r="E777" t="str">
        <f>IF(C777&lt;B777, "INVALID: Ship date before order date", "")</f>
        <v/>
      </c>
      <c r="F777" t="str">
        <f>IF(B777="", "", TEXT(B777, "mmmm"))</f>
        <v>April</v>
      </c>
      <c r="G777">
        <f>IF(B777="", "", YEAR(B777))</f>
        <v>2024</v>
      </c>
      <c r="H777" t="s">
        <v>2338</v>
      </c>
      <c r="I777" t="s">
        <v>52</v>
      </c>
      <c r="J777" t="s">
        <v>23</v>
      </c>
      <c r="K777" t="s">
        <v>24</v>
      </c>
      <c r="L777" t="s">
        <v>234</v>
      </c>
      <c r="M777" t="s">
        <v>235</v>
      </c>
      <c r="N777" t="s">
        <v>74</v>
      </c>
      <c r="O777" t="s">
        <v>75</v>
      </c>
      <c r="P777" t="s">
        <v>2339</v>
      </c>
      <c r="Q777" t="s">
        <v>58</v>
      </c>
      <c r="R777">
        <v>8</v>
      </c>
      <c r="S777" s="15">
        <v>3956.12</v>
      </c>
      <c r="T777" s="4">
        <v>0.25</v>
      </c>
      <c r="U777" s="3" t="str">
        <f>IF(T777&lt;0, "negative_discount", IF(AND(T777&gt;0.5, T777&lt;=1), "high_discount", ""))</f>
        <v/>
      </c>
      <c r="V777" s="11">
        <v>23736.720000000001</v>
      </c>
      <c r="W777" s="12">
        <v>23736.720000000001</v>
      </c>
      <c r="X777" s="11">
        <v>13890.9</v>
      </c>
      <c r="Y777" s="11">
        <v>9845.82</v>
      </c>
      <c r="Z777" s="11">
        <f>ROUND(W777-X777,2)</f>
        <v>9845.82</v>
      </c>
      <c r="AA777" s="4">
        <f>IF(W777=0,0,Z777/W777)</f>
        <v>0.4147927767610689</v>
      </c>
      <c r="AB777" t="s">
        <v>31</v>
      </c>
      <c r="AC777" t="s">
        <v>32</v>
      </c>
      <c r="AD777" t="str">
        <f>IF(AND(E777="", T777&gt;=0, T777&lt;=0.5, K777&lt;&gt;"Unknown", Q777&lt;&gt;"Unknown"), "CLEAN", _xlfn.CONCAT("WARNING: ", IF(E777&lt;&gt;"","invalid_date",""), IF(T777&lt;0,"negative_discount",""), IF(AND(T777&gt;0.5,T777&lt;=1),"high_discount",""), IF(K777="Unknown","missing_region",""), IF(Q777="Unknown","missing_ship_mode","")))</f>
        <v>CLEAN</v>
      </c>
      <c r="AE777" t="str">
        <f>IF(COUNTIF($AF$2:$AF$926,AF777)&gt;1,"DUPLICATE","UNIQUE")</f>
        <v>UNIQUE</v>
      </c>
      <c r="AF777" t="str">
        <f>A777&amp;"|"&amp;B777&amp;"|"&amp;H777&amp;"|"&amp;I777&amp;"|"&amp;R777&amp;"|"&amp;S777&amp;"|"&amp;V777</f>
        <v>ORD-2024-10776|2024-04-14|CUST-4461|Arjun Bose|8|3956.12|23736.72</v>
      </c>
      <c r="AG777" t="str">
        <f>IF(COUNTIF($A$2:$A$913,A777)&gt;1,"TRUE","FALSE")</f>
        <v>FALSE</v>
      </c>
    </row>
    <row r="778" spans="1:33">
      <c r="A778" t="s">
        <v>3327</v>
      </c>
      <c r="B778" t="s">
        <v>2758</v>
      </c>
      <c r="C778" t="s">
        <v>1015</v>
      </c>
      <c r="D778">
        <f>IF(OR(B778="", C778=""), "", (C778 - B778))</f>
        <v>-54</v>
      </c>
      <c r="E778" t="str">
        <f>IF(C778&lt;B778, "INVALID: Ship date before order date", "")</f>
        <v>INVALID: Ship date before order date</v>
      </c>
      <c r="F778" t="str">
        <f>IF(B778="", "", TEXT(B778, "mmmm"))</f>
        <v>August</v>
      </c>
      <c r="G778">
        <f>IF(B778="", "", YEAR(B778))</f>
        <v>2025</v>
      </c>
      <c r="H778" t="s">
        <v>2340</v>
      </c>
      <c r="I778" t="s">
        <v>88</v>
      </c>
      <c r="J778" t="s">
        <v>36</v>
      </c>
      <c r="K778" t="s">
        <v>24</v>
      </c>
      <c r="L778" t="s">
        <v>25</v>
      </c>
      <c r="M778" t="s">
        <v>26</v>
      </c>
      <c r="N778" t="s">
        <v>74</v>
      </c>
      <c r="O778" t="s">
        <v>79</v>
      </c>
      <c r="P778" t="s">
        <v>2341</v>
      </c>
      <c r="Q778" t="s">
        <v>30</v>
      </c>
      <c r="R778">
        <v>7</v>
      </c>
      <c r="S778" s="15">
        <v>3857.13</v>
      </c>
      <c r="T778" s="4">
        <v>0</v>
      </c>
      <c r="U778" s="3" t="str">
        <f>IF(T778&lt;0, "negative_discount", IF(AND(T778&gt;0.5, T778&lt;=1), "high_discount", ""))</f>
        <v/>
      </c>
      <c r="V778" s="11">
        <v>26999.91</v>
      </c>
      <c r="W778" s="12">
        <v>26999.91</v>
      </c>
      <c r="X778" s="11">
        <v>17815.98</v>
      </c>
      <c r="Y778" s="11">
        <v>9183.93</v>
      </c>
      <c r="Z778" s="11">
        <f>ROUND(W778-X778,2)</f>
        <v>9183.93</v>
      </c>
      <c r="AA778" s="4">
        <f>IF(W778=0,0,Z778/W778)</f>
        <v>0.34014668937785347</v>
      </c>
      <c r="AB778" t="s">
        <v>31</v>
      </c>
      <c r="AC778" t="s">
        <v>32</v>
      </c>
      <c r="AD778" t="str">
        <f>IF(AND(E778="", T778&gt;=0, T778&lt;=0.5, K778&lt;&gt;"Unknown", Q778&lt;&gt;"Unknown"), "CLEAN", _xlfn.CONCAT("WARNING: ", IF(E778&lt;&gt;"","invalid_date",""), IF(T778&lt;0,"negative_discount",""), IF(AND(T778&gt;0.5,T778&lt;=1),"high_discount",""), IF(K778="Unknown","missing_region",""), IF(Q778="Unknown","missing_ship_mode","")))</f>
        <v>WARNING: invalid_date</v>
      </c>
      <c r="AE778" t="str">
        <f>IF(COUNTIF($AF$2:$AF$926,AF778)&gt;1,"DUPLICATE","UNIQUE")</f>
        <v>UNIQUE</v>
      </c>
      <c r="AF778" t="str">
        <f>A778&amp;"|"&amp;B778&amp;"|"&amp;H778&amp;"|"&amp;I778&amp;"|"&amp;R778&amp;"|"&amp;S778&amp;"|"&amp;V778</f>
        <v>ORD-2025-10777|2025-08-06|CUST-9690|Aditi Sen|7|3857.13|26999.91</v>
      </c>
      <c r="AG778" t="str">
        <f>IF(COUNTIF($A$2:$A$913,A778)&gt;1,"TRUE","FALSE")</f>
        <v>FALSE</v>
      </c>
    </row>
    <row r="779" spans="1:33">
      <c r="A779" t="s">
        <v>2342</v>
      </c>
      <c r="B779" t="s">
        <v>660</v>
      </c>
      <c r="C779" t="s">
        <v>1461</v>
      </c>
      <c r="D779">
        <f>IF(OR(B779="", C779=""), "", (C779 - B779))</f>
        <v>-56</v>
      </c>
      <c r="E779" t="str">
        <f>IF(C779&lt;B779, "INVALID: Ship date before order date", "")</f>
        <v>INVALID: Ship date before order date</v>
      </c>
      <c r="F779" t="str">
        <f>IF(B779="", "", TEXT(B779, "mmmm"))</f>
        <v>April</v>
      </c>
      <c r="G779">
        <f>IF(B779="", "", YEAR(B779))</f>
        <v>2024</v>
      </c>
      <c r="H779" t="s">
        <v>2343</v>
      </c>
      <c r="I779" t="s">
        <v>263</v>
      </c>
      <c r="J779" t="s">
        <v>36</v>
      </c>
      <c r="K779" t="s">
        <v>62</v>
      </c>
      <c r="L779" t="s">
        <v>72</v>
      </c>
      <c r="M779" t="s">
        <v>73</v>
      </c>
      <c r="N779" t="s">
        <v>74</v>
      </c>
      <c r="O779" t="s">
        <v>75</v>
      </c>
      <c r="P779" t="s">
        <v>2344</v>
      </c>
      <c r="Q779" t="s">
        <v>30</v>
      </c>
      <c r="R779">
        <v>4</v>
      </c>
      <c r="S779" s="15">
        <v>1489.74</v>
      </c>
      <c r="T779" s="4">
        <v>0.15</v>
      </c>
      <c r="U779" s="3" t="str">
        <f>IF(T779&lt;0, "negative_discount", IF(AND(T779&gt;0.5, T779&lt;=1), "high_discount", ""))</f>
        <v/>
      </c>
      <c r="V779" s="11">
        <v>5065.12</v>
      </c>
      <c r="W779" s="12">
        <v>5065.12</v>
      </c>
      <c r="X779" s="11">
        <v>3530.12</v>
      </c>
      <c r="Y779" s="11">
        <v>1535</v>
      </c>
      <c r="Z779" s="11">
        <f>ROUND(W779-X779,2)</f>
        <v>1535</v>
      </c>
      <c r="AA779" s="4">
        <f>IF(W779=0,0,Z779/W779)</f>
        <v>0.30305303724294785</v>
      </c>
      <c r="AB779" t="s">
        <v>151</v>
      </c>
      <c r="AC779" t="s">
        <v>67</v>
      </c>
      <c r="AD779" t="str">
        <f>IF(AND(E779="", T779&gt;=0, T779&lt;=0.5, K779&lt;&gt;"Unknown", Q779&lt;&gt;"Unknown"), "CLEAN", _xlfn.CONCAT("WARNING: ", IF(E779&lt;&gt;"","invalid_date",""), IF(T779&lt;0,"negative_discount",""), IF(AND(T779&gt;0.5,T779&lt;=1),"high_discount",""), IF(K779="Unknown","missing_region",""), IF(Q779="Unknown","missing_ship_mode","")))</f>
        <v>WARNING: invalid_date</v>
      </c>
      <c r="AE779" t="str">
        <f>IF(COUNTIF($AF$2:$AF$926,AF779)&gt;1,"DUPLICATE","UNIQUE")</f>
        <v>UNIQUE</v>
      </c>
      <c r="AF779" t="str">
        <f>A779&amp;"|"&amp;B779&amp;"|"&amp;H779&amp;"|"&amp;I779&amp;"|"&amp;R779&amp;"|"&amp;S779&amp;"|"&amp;V779</f>
        <v>ORD-2024-10778|2024-04-02|CUST-6879|Kabir Singh|4|1489.74|5065.12</v>
      </c>
      <c r="AG779" t="str">
        <f>IF(COUNTIF($A$2:$A$913,A779)&gt;1,"TRUE","FALSE")</f>
        <v>FALSE</v>
      </c>
    </row>
    <row r="780" spans="1:33">
      <c r="A780" t="s">
        <v>2345</v>
      </c>
      <c r="B780" t="s">
        <v>1072</v>
      </c>
      <c r="C780" t="s">
        <v>1072</v>
      </c>
      <c r="D780">
        <f>IF(OR(B780="", C780=""), "", (C780 - B780))</f>
        <v>0</v>
      </c>
      <c r="E780" t="str">
        <f>IF(C780&lt;B780, "INVALID: Ship date before order date", "")</f>
        <v/>
      </c>
      <c r="F780" t="str">
        <f>IF(B780="", "", TEXT(B780, "mmmm"))</f>
        <v>July</v>
      </c>
      <c r="G780">
        <f>IF(B780="", "", YEAR(B780))</f>
        <v>2024</v>
      </c>
      <c r="H780" t="s">
        <v>2346</v>
      </c>
      <c r="I780" t="s">
        <v>22</v>
      </c>
      <c r="J780" t="s">
        <v>36</v>
      </c>
      <c r="K780" t="s">
        <v>24</v>
      </c>
      <c r="L780" t="s">
        <v>234</v>
      </c>
      <c r="M780" t="s">
        <v>235</v>
      </c>
      <c r="N780" t="s">
        <v>74</v>
      </c>
      <c r="O780" t="s">
        <v>79</v>
      </c>
      <c r="P780" t="s">
        <v>2347</v>
      </c>
      <c r="Q780" t="s">
        <v>30</v>
      </c>
      <c r="R780">
        <v>4</v>
      </c>
      <c r="S780" s="15">
        <v>1676.88</v>
      </c>
      <c r="T780" s="4">
        <v>0</v>
      </c>
      <c r="U780" s="3" t="str">
        <f>IF(T780&lt;0, "negative_discount", IF(AND(T780&gt;0.5, T780&lt;=1), "high_discount", ""))</f>
        <v/>
      </c>
      <c r="V780" s="11">
        <v>6707.52</v>
      </c>
      <c r="W780" s="12">
        <v>6707.52</v>
      </c>
      <c r="X780" s="11">
        <v>5672.57</v>
      </c>
      <c r="Y780" s="11">
        <v>1034.95</v>
      </c>
      <c r="Z780" s="11">
        <f>ROUND(W780-X780,2)</f>
        <v>1034.95</v>
      </c>
      <c r="AA780" s="4">
        <f>IF(W780=0,0,Z780/W780)</f>
        <v>0.1542969681789991</v>
      </c>
      <c r="AB780" t="s">
        <v>31</v>
      </c>
      <c r="AC780" t="s">
        <v>32</v>
      </c>
      <c r="AD780" t="str">
        <f>IF(AND(E780="", T780&gt;=0, T780&lt;=0.5, K780&lt;&gt;"Unknown", Q780&lt;&gt;"Unknown"), "CLEAN", _xlfn.CONCAT("WARNING: ", IF(E780&lt;&gt;"","invalid_date",""), IF(T780&lt;0,"negative_discount",""), IF(AND(T780&gt;0.5,T780&lt;=1),"high_discount",""), IF(K780="Unknown","missing_region",""), IF(Q780="Unknown","missing_ship_mode","")))</f>
        <v>CLEAN</v>
      </c>
      <c r="AE780" t="str">
        <f>IF(COUNTIF($AF$2:$AF$926,AF780)&gt;1,"DUPLICATE","UNIQUE")</f>
        <v>UNIQUE</v>
      </c>
      <c r="AF780" t="str">
        <f>A780&amp;"|"&amp;B780&amp;"|"&amp;H780&amp;"|"&amp;I780&amp;"|"&amp;R780&amp;"|"&amp;S780&amp;"|"&amp;V780</f>
        <v>ORD-2024-10779|2024-07-24|CUST-4714|Karan Malhotra|4|1676.88|6707.52</v>
      </c>
      <c r="AG780" t="str">
        <f>IF(COUNTIF($A$2:$A$913,A780)&gt;1,"TRUE","FALSE")</f>
        <v>FALSE</v>
      </c>
    </row>
    <row r="781" spans="1:33">
      <c r="A781" t="s">
        <v>2348</v>
      </c>
      <c r="B781" t="s">
        <v>2807</v>
      </c>
      <c r="C781" t="s">
        <v>528</v>
      </c>
      <c r="D781">
        <f>IF(OR(B781="", C781=""), "", (C781 - B781))</f>
        <v>5</v>
      </c>
      <c r="E781" t="str">
        <f>IF(C781&lt;B781, "INVALID: Ship date before order date", "")</f>
        <v/>
      </c>
      <c r="F781" t="str">
        <f>IF(B781="", "", TEXT(B781, "mmmm"))</f>
        <v>January</v>
      </c>
      <c r="G781">
        <f>IF(B781="", "", YEAR(B781))</f>
        <v>2024</v>
      </c>
      <c r="H781" t="s">
        <v>2349</v>
      </c>
      <c r="I781" t="s">
        <v>112</v>
      </c>
      <c r="J781" t="s">
        <v>36</v>
      </c>
      <c r="K781" t="s">
        <v>53</v>
      </c>
      <c r="L781" t="s">
        <v>83</v>
      </c>
      <c r="M781" t="s">
        <v>84</v>
      </c>
      <c r="N781" t="s">
        <v>40</v>
      </c>
      <c r="O781" t="s">
        <v>65</v>
      </c>
      <c r="P781" t="s">
        <v>2350</v>
      </c>
      <c r="Q781" t="s">
        <v>58</v>
      </c>
      <c r="R781">
        <v>4</v>
      </c>
      <c r="S781" s="15">
        <v>3153.54</v>
      </c>
      <c r="T781" s="4">
        <v>0.05</v>
      </c>
      <c r="U781" s="3" t="str">
        <f>IF(T781&lt;0, "negative_discount", IF(AND(T781&gt;0.5, T781&lt;=1), "high_discount", ""))</f>
        <v/>
      </c>
      <c r="V781" s="11">
        <v>11983.45</v>
      </c>
      <c r="W781" s="12">
        <v>11983.45</v>
      </c>
      <c r="X781" s="11">
        <v>8572.9</v>
      </c>
      <c r="Y781" s="11">
        <v>3410.55</v>
      </c>
      <c r="Z781" s="11">
        <f>ROUND(W781-X781,2)</f>
        <v>3410.55</v>
      </c>
      <c r="AA781" s="4">
        <f>IF(W781=0,0,Z781/W781)</f>
        <v>0.28460501775365193</v>
      </c>
      <c r="AB781" t="s">
        <v>31</v>
      </c>
      <c r="AC781" t="s">
        <v>32</v>
      </c>
      <c r="AD781" t="str">
        <f>IF(AND(E781="", T781&gt;=0, T781&lt;=0.5, K781&lt;&gt;"Unknown", Q781&lt;&gt;"Unknown"), "CLEAN", _xlfn.CONCAT("WARNING: ", IF(E781&lt;&gt;"","invalid_date",""), IF(T781&lt;0,"negative_discount",""), IF(AND(T781&gt;0.5,T781&lt;=1),"high_discount",""), IF(K781="Unknown","missing_region",""), IF(Q781="Unknown","missing_ship_mode","")))</f>
        <v>CLEAN</v>
      </c>
      <c r="AE781" t="str">
        <f>IF(COUNTIF($AF$2:$AF$926,AF781)&gt;1,"DUPLICATE","UNIQUE")</f>
        <v>UNIQUE</v>
      </c>
      <c r="AF781" t="str">
        <f>A781&amp;"|"&amp;B781&amp;"|"&amp;H781&amp;"|"&amp;I781&amp;"|"&amp;R781&amp;"|"&amp;S781&amp;"|"&amp;V781</f>
        <v>ORD-2024-10780|2024-01-15|CUST-7547|Priya Menon|4|3153.54|11983.45</v>
      </c>
      <c r="AG781" t="str">
        <f>IF(COUNTIF($A$2:$A$913,A781)&gt;1,"TRUE","FALSE")</f>
        <v>FALSE</v>
      </c>
    </row>
    <row r="782" spans="1:33">
      <c r="A782" t="s">
        <v>2351</v>
      </c>
      <c r="B782" t="s">
        <v>2841</v>
      </c>
      <c r="C782" t="s">
        <v>350</v>
      </c>
      <c r="D782">
        <f>IF(OR(B782="", C782=""), "", (C782 - B782))</f>
        <v>6</v>
      </c>
      <c r="E782" t="str">
        <f>IF(C782&lt;B782, "INVALID: Ship date before order date", "")</f>
        <v/>
      </c>
      <c r="F782" t="str">
        <f>IF(B782="", "", TEXT(B782, "mmmm"))</f>
        <v>August</v>
      </c>
      <c r="G782">
        <f>IF(B782="", "", YEAR(B782))</f>
        <v>2024</v>
      </c>
      <c r="H782" t="s">
        <v>2352</v>
      </c>
      <c r="I782" t="s">
        <v>158</v>
      </c>
      <c r="J782" t="s">
        <v>36</v>
      </c>
      <c r="K782" t="s">
        <v>62</v>
      </c>
      <c r="L782" t="s">
        <v>25</v>
      </c>
      <c r="M782" t="s">
        <v>107</v>
      </c>
      <c r="N782" t="s">
        <v>40</v>
      </c>
      <c r="O782" t="s">
        <v>65</v>
      </c>
      <c r="P782" t="s">
        <v>2353</v>
      </c>
      <c r="Q782" t="s">
        <v>43</v>
      </c>
      <c r="R782">
        <v>4</v>
      </c>
      <c r="S782" s="15">
        <v>426.43</v>
      </c>
      <c r="T782" s="4">
        <v>0.2</v>
      </c>
      <c r="U782" s="3" t="str">
        <f>IF(T782&lt;0, "negative_discount", IF(AND(T782&gt;0.5, T782&lt;=1), "high_discount", ""))</f>
        <v/>
      </c>
      <c r="V782" s="11">
        <v>1364.58</v>
      </c>
      <c r="W782" s="12">
        <v>1364.58</v>
      </c>
      <c r="X782" s="11">
        <v>978.16</v>
      </c>
      <c r="Y782" s="11">
        <v>386.42</v>
      </c>
      <c r="Z782" s="11">
        <f>ROUND(W782-X782,2)</f>
        <v>386.42</v>
      </c>
      <c r="AA782" s="4">
        <f>IF(W782=0,0,Z782/W782)</f>
        <v>0.28317870700142173</v>
      </c>
      <c r="AB782" t="s">
        <v>31</v>
      </c>
      <c r="AC782" t="s">
        <v>32</v>
      </c>
      <c r="AD782" t="str">
        <f>IF(AND(E782="", T782&gt;=0, T782&lt;=0.5, K782&lt;&gt;"Unknown", Q782&lt;&gt;"Unknown"), "CLEAN", _xlfn.CONCAT("WARNING: ", IF(E782&lt;&gt;"","invalid_date",""), IF(T782&lt;0,"negative_discount",""), IF(AND(T782&gt;0.5,T782&lt;=1),"high_discount",""), IF(K782="Unknown","missing_region",""), IF(Q782="Unknown","missing_ship_mode","")))</f>
        <v>CLEAN</v>
      </c>
      <c r="AE782" t="str">
        <f>IF(COUNTIF($AF$2:$AF$926,AF782)&gt;1,"DUPLICATE","UNIQUE")</f>
        <v>UNIQUE</v>
      </c>
      <c r="AF782" t="str">
        <f>A782&amp;"|"&amp;B782&amp;"|"&amp;H782&amp;"|"&amp;I782&amp;"|"&amp;R782&amp;"|"&amp;S782&amp;"|"&amp;V782</f>
        <v>ORD-2024-10781|2024-08-04|CUST-3288|Diya Patel|4|426.43|1364.58</v>
      </c>
      <c r="AG782" t="str">
        <f>IF(COUNTIF($A$2:$A$913,A782)&gt;1,"TRUE","FALSE")</f>
        <v>FALSE</v>
      </c>
    </row>
    <row r="783" spans="1:33">
      <c r="A783" t="s">
        <v>2354</v>
      </c>
      <c r="B783" t="s">
        <v>2355</v>
      </c>
      <c r="C783" t="s">
        <v>1442</v>
      </c>
      <c r="D783">
        <f>IF(OR(B783="", C783=""), "", (C783 - B783))</f>
        <v>8</v>
      </c>
      <c r="E783" t="str">
        <f>IF(C783&lt;B783, "INVALID: Ship date before order date", "")</f>
        <v/>
      </c>
      <c r="F783" t="str">
        <f>IF(B783="", "", TEXT(B783, "mmmm"))</f>
        <v>February</v>
      </c>
      <c r="G783">
        <f>IF(B783="", "", YEAR(B783))</f>
        <v>2024</v>
      </c>
      <c r="H783" t="s">
        <v>2356</v>
      </c>
      <c r="I783" t="s">
        <v>22</v>
      </c>
      <c r="J783" t="s">
        <v>93</v>
      </c>
      <c r="K783" t="s">
        <v>62</v>
      </c>
      <c r="L783" t="s">
        <v>25</v>
      </c>
      <c r="M783" t="s">
        <v>107</v>
      </c>
      <c r="N783" t="s">
        <v>27</v>
      </c>
      <c r="O783" t="s">
        <v>90</v>
      </c>
      <c r="P783" t="s">
        <v>2357</v>
      </c>
      <c r="Q783" t="s">
        <v>49</v>
      </c>
      <c r="R783">
        <v>3</v>
      </c>
      <c r="S783" s="15">
        <v>383.4</v>
      </c>
      <c r="T783" s="4">
        <v>0.25</v>
      </c>
      <c r="U783" s="3" t="str">
        <f>IF(T783&lt;0, "negative_discount", IF(AND(T783&gt;0.5, T783&lt;=1), "high_discount", ""))</f>
        <v/>
      </c>
      <c r="V783" s="11">
        <v>862.65</v>
      </c>
      <c r="W783" s="12">
        <v>862.65</v>
      </c>
      <c r="X783" s="11">
        <v>603.73</v>
      </c>
      <c r="Y783" s="11">
        <v>258.92</v>
      </c>
      <c r="Z783" s="11">
        <f>ROUND(W783-X783,2)</f>
        <v>258.92</v>
      </c>
      <c r="AA783" s="4">
        <f>IF(W783=0,0,Z783/W783)</f>
        <v>0.30014490233582569</v>
      </c>
      <c r="AB783" t="s">
        <v>109</v>
      </c>
      <c r="AC783" t="s">
        <v>100</v>
      </c>
      <c r="AD783" t="str">
        <f>IF(AND(E783="", T783&gt;=0, T783&lt;=0.5, K783&lt;&gt;"Unknown", Q783&lt;&gt;"Unknown"), "CLEAN", _xlfn.CONCAT("WARNING: ", IF(E783&lt;&gt;"","invalid_date",""), IF(T783&lt;0,"negative_discount",""), IF(AND(T783&gt;0.5,T783&lt;=1),"high_discount",""), IF(K783="Unknown","missing_region",""), IF(Q783="Unknown","missing_ship_mode","")))</f>
        <v>CLEAN</v>
      </c>
      <c r="AE783" t="str">
        <f>IF(COUNTIF($AF$2:$AF$926,AF783)&gt;1,"DUPLICATE","UNIQUE")</f>
        <v>UNIQUE</v>
      </c>
      <c r="AF783" t="str">
        <f>A783&amp;"|"&amp;B783&amp;"|"&amp;H783&amp;"|"&amp;I783&amp;"|"&amp;R783&amp;"|"&amp;S783&amp;"|"&amp;V783</f>
        <v>ORD-2024-10782|2024-02-02|CUST-8597|Karan Malhotra|3|383.4|862.65</v>
      </c>
      <c r="AG783" t="str">
        <f>IF(COUNTIF($A$2:$A$913,A783)&gt;1,"TRUE","FALSE")</f>
        <v>FALSE</v>
      </c>
    </row>
    <row r="784" spans="1:33">
      <c r="A784" t="s">
        <v>3328</v>
      </c>
      <c r="B784" t="s">
        <v>927</v>
      </c>
      <c r="C784" t="s">
        <v>2867</v>
      </c>
      <c r="D784">
        <f>IF(OR(B784="", C784=""), "", (C784 - B784))</f>
        <v>8</v>
      </c>
      <c r="E784" t="str">
        <f>IF(C784&lt;B784, "INVALID: Ship date before order date", "")</f>
        <v/>
      </c>
      <c r="F784" t="str">
        <f>IF(B784="", "", TEXT(B784, "mmmm"))</f>
        <v>March</v>
      </c>
      <c r="G784">
        <f>IF(B784="", "", YEAR(B784))</f>
        <v>2025</v>
      </c>
      <c r="H784" t="s">
        <v>2358</v>
      </c>
      <c r="I784" t="s">
        <v>35</v>
      </c>
      <c r="J784" t="s">
        <v>89</v>
      </c>
      <c r="K784" t="s">
        <v>37</v>
      </c>
      <c r="L784" t="s">
        <v>96</v>
      </c>
      <c r="M784" t="s">
        <v>97</v>
      </c>
      <c r="N784" t="s">
        <v>74</v>
      </c>
      <c r="O784" t="s">
        <v>79</v>
      </c>
      <c r="P784" t="s">
        <v>2359</v>
      </c>
      <c r="Q784" t="s">
        <v>58</v>
      </c>
      <c r="R784">
        <v>2</v>
      </c>
      <c r="S784" s="15">
        <v>669.63</v>
      </c>
      <c r="T784" s="4">
        <v>0.15</v>
      </c>
      <c r="U784" s="3" t="str">
        <f>IF(T784&lt;0, "negative_discount", IF(AND(T784&gt;0.5, T784&lt;=1), "high_discount", ""))</f>
        <v/>
      </c>
      <c r="V784" s="11">
        <v>1138.3699999999999</v>
      </c>
      <c r="W784" s="12">
        <v>1138.3699999999999</v>
      </c>
      <c r="X784" s="11">
        <v>797.34</v>
      </c>
      <c r="Y784" s="11">
        <v>341.03</v>
      </c>
      <c r="Z784" s="11">
        <f>ROUND(W784-X784,2)</f>
        <v>341.03</v>
      </c>
      <c r="AA784" s="4">
        <f>IF(W784=0,0,Z784/W784)</f>
        <v>0.29957746602598451</v>
      </c>
      <c r="AB784" t="s">
        <v>31</v>
      </c>
      <c r="AC784" t="s">
        <v>32</v>
      </c>
      <c r="AD784" t="str">
        <f>IF(AND(E784="", T784&gt;=0, T784&lt;=0.5, K784&lt;&gt;"Unknown", Q784&lt;&gt;"Unknown"), "CLEAN", _xlfn.CONCAT("WARNING: ", IF(E784&lt;&gt;"","invalid_date",""), IF(T784&lt;0,"negative_discount",""), IF(AND(T784&gt;0.5,T784&lt;=1),"high_discount",""), IF(K784="Unknown","missing_region",""), IF(Q784="Unknown","missing_ship_mode","")))</f>
        <v>CLEAN</v>
      </c>
      <c r="AE784" t="str">
        <f>IF(COUNTIF($AF$2:$AF$926,AF784)&gt;1,"DUPLICATE","UNIQUE")</f>
        <v>UNIQUE</v>
      </c>
      <c r="AF784" t="str">
        <f>A784&amp;"|"&amp;B784&amp;"|"&amp;H784&amp;"|"&amp;I784&amp;"|"&amp;R784&amp;"|"&amp;S784&amp;"|"&amp;V784</f>
        <v>ORD-2025-10783|2025-03-14|CUST-9085|Mira Das|2|669.63|1138.37</v>
      </c>
      <c r="AG784" t="str">
        <f>IF(COUNTIF($A$2:$A$913,A784)&gt;1,"TRUE","FALSE")</f>
        <v>FALSE</v>
      </c>
    </row>
    <row r="785" spans="1:33">
      <c r="A785" t="s">
        <v>2360</v>
      </c>
      <c r="B785" t="s">
        <v>2361</v>
      </c>
      <c r="C785" t="s">
        <v>2361</v>
      </c>
      <c r="D785">
        <f>IF(OR(B785="", C785=""), "", (C785 - B785))</f>
        <v>0</v>
      </c>
      <c r="E785" t="str">
        <f>IF(C785&lt;B785, "INVALID: Ship date before order date", "")</f>
        <v/>
      </c>
      <c r="F785" t="str">
        <f>IF(B785="", "", TEXT(B785, "mmmm"))</f>
        <v>June</v>
      </c>
      <c r="G785">
        <f>IF(B785="", "", YEAR(B785))</f>
        <v>2024</v>
      </c>
      <c r="H785" t="s">
        <v>2362</v>
      </c>
      <c r="I785" t="s">
        <v>126</v>
      </c>
      <c r="J785" t="s">
        <v>36</v>
      </c>
      <c r="K785" t="s">
        <v>37</v>
      </c>
      <c r="L785" t="s">
        <v>142</v>
      </c>
      <c r="M785" t="s">
        <v>143</v>
      </c>
      <c r="N785" t="s">
        <v>27</v>
      </c>
      <c r="O785" t="s">
        <v>47</v>
      </c>
      <c r="P785" t="s">
        <v>2363</v>
      </c>
      <c r="Q785" t="s">
        <v>30</v>
      </c>
      <c r="R785">
        <v>1</v>
      </c>
      <c r="S785" s="15">
        <v>2581.9299999999998</v>
      </c>
      <c r="T785" s="4">
        <v>0.05</v>
      </c>
      <c r="U785" s="3" t="str">
        <f>IF(T785&lt;0, "negative_discount", IF(AND(T785&gt;0.5, T785&lt;=1), "high_discount", ""))</f>
        <v/>
      </c>
      <c r="V785" s="11">
        <v>2452.83</v>
      </c>
      <c r="W785" s="12">
        <v>2452.83</v>
      </c>
      <c r="X785" s="11">
        <v>1906.7</v>
      </c>
      <c r="Y785" s="11">
        <v>546.13</v>
      </c>
      <c r="Z785" s="11">
        <f>ROUND(W785-X785,2)</f>
        <v>546.13</v>
      </c>
      <c r="AA785" s="4">
        <f>IF(W785=0,0,Z785/W785)</f>
        <v>0.22265301712715516</v>
      </c>
      <c r="AB785" t="s">
        <v>31</v>
      </c>
      <c r="AC785" t="s">
        <v>32</v>
      </c>
      <c r="AD785" t="str">
        <f>IF(AND(E785="", T785&gt;=0, T785&lt;=0.5, K785&lt;&gt;"Unknown", Q785&lt;&gt;"Unknown"), "CLEAN", _xlfn.CONCAT("WARNING: ", IF(E785&lt;&gt;"","invalid_date",""), IF(T785&lt;0,"negative_discount",""), IF(AND(T785&gt;0.5,T785&lt;=1),"high_discount",""), IF(K785="Unknown","missing_region",""), IF(Q785="Unknown","missing_ship_mode","")))</f>
        <v>CLEAN</v>
      </c>
      <c r="AE785" t="str">
        <f>IF(COUNTIF($AF$2:$AF$926,AF785)&gt;1,"DUPLICATE","UNIQUE")</f>
        <v>UNIQUE</v>
      </c>
      <c r="AF785" t="str">
        <f>A785&amp;"|"&amp;B785&amp;"|"&amp;H785&amp;"|"&amp;I785&amp;"|"&amp;R785&amp;"|"&amp;S785&amp;"|"&amp;V785</f>
        <v>ORD-2024-10784|2024-06-07|CUST-7746|Aarav Sharma|1|2581.93|2452.83</v>
      </c>
      <c r="AG785" t="str">
        <f>IF(COUNTIF($A$2:$A$913,A785)&gt;1,"TRUE","FALSE")</f>
        <v>FALSE</v>
      </c>
    </row>
    <row r="786" spans="1:33">
      <c r="A786" t="s">
        <v>3329</v>
      </c>
      <c r="B786" t="s">
        <v>506</v>
      </c>
      <c r="C786" t="s">
        <v>1652</v>
      </c>
      <c r="D786">
        <f>IF(OR(B786="", C786=""), "", (C786 - B786))</f>
        <v>1</v>
      </c>
      <c r="E786" t="str">
        <f>IF(C786&lt;B786, "INVALID: Ship date before order date", "")</f>
        <v/>
      </c>
      <c r="F786" t="str">
        <f>IF(B786="", "", TEXT(B786, "mmmm"))</f>
        <v>October</v>
      </c>
      <c r="G786">
        <f>IF(B786="", "", YEAR(B786))</f>
        <v>2025</v>
      </c>
      <c r="H786" t="s">
        <v>2364</v>
      </c>
      <c r="I786" t="s">
        <v>112</v>
      </c>
      <c r="J786" t="s">
        <v>89</v>
      </c>
      <c r="K786" t="s">
        <v>24</v>
      </c>
      <c r="L786" t="s">
        <v>120</v>
      </c>
      <c r="M786" t="s">
        <v>121</v>
      </c>
      <c r="N786" t="s">
        <v>74</v>
      </c>
      <c r="O786" t="s">
        <v>79</v>
      </c>
      <c r="P786" t="s">
        <v>2365</v>
      </c>
      <c r="Q786" t="s">
        <v>49</v>
      </c>
      <c r="R786">
        <v>4</v>
      </c>
      <c r="S786" s="15">
        <v>418.18</v>
      </c>
      <c r="T786" s="4">
        <v>0.05</v>
      </c>
      <c r="U786" s="3" t="str">
        <f>IF(T786&lt;0, "negative_discount", IF(AND(T786&gt;0.5, T786&lt;=1), "high_discount", ""))</f>
        <v/>
      </c>
      <c r="V786" s="11">
        <v>1589.08</v>
      </c>
      <c r="W786" s="12">
        <v>1589.08</v>
      </c>
      <c r="X786" s="11">
        <v>1084.6600000000001</v>
      </c>
      <c r="Y786" s="11">
        <v>504.42</v>
      </c>
      <c r="Z786" s="11">
        <f>ROUND(W786-X786,2)</f>
        <v>504.42</v>
      </c>
      <c r="AA786" s="4">
        <f>IF(W786=0,0,Z786/W786)</f>
        <v>0.31742895260150528</v>
      </c>
      <c r="AB786" t="s">
        <v>31</v>
      </c>
      <c r="AC786" t="s">
        <v>32</v>
      </c>
      <c r="AD786" t="str">
        <f>IF(AND(E786="", T786&gt;=0, T786&lt;=0.5, K786&lt;&gt;"Unknown", Q786&lt;&gt;"Unknown"), "CLEAN", _xlfn.CONCAT("WARNING: ", IF(E786&lt;&gt;"","invalid_date",""), IF(T786&lt;0,"negative_discount",""), IF(AND(T786&gt;0.5,T786&lt;=1),"high_discount",""), IF(K786="Unknown","missing_region",""), IF(Q786="Unknown","missing_ship_mode","")))</f>
        <v>CLEAN</v>
      </c>
      <c r="AE786" t="str">
        <f>IF(COUNTIF($AF$2:$AF$926,AF786)&gt;1,"DUPLICATE","UNIQUE")</f>
        <v>UNIQUE</v>
      </c>
      <c r="AF786" t="str">
        <f>A786&amp;"|"&amp;B786&amp;"|"&amp;H786&amp;"|"&amp;I786&amp;"|"&amp;R786&amp;"|"&amp;S786&amp;"|"&amp;V786</f>
        <v>ORD-2025-10785|2025-10-04|CUST-3119|Priya Menon|4|418.18|1589.08</v>
      </c>
      <c r="AG786" t="str">
        <f>IF(COUNTIF($A$2:$A$913,A786)&gt;1,"TRUE","FALSE")</f>
        <v>FALSE</v>
      </c>
    </row>
    <row r="787" spans="1:33">
      <c r="A787" t="s">
        <v>2366</v>
      </c>
      <c r="B787" t="s">
        <v>2880</v>
      </c>
      <c r="C787" t="s">
        <v>1838</v>
      </c>
      <c r="D787">
        <f>IF(OR(B787="", C787=""), "", (C787 - B787))</f>
        <v>6</v>
      </c>
      <c r="E787" t="str">
        <f>IF(C787&lt;B787, "INVALID: Ship date before order date", "")</f>
        <v/>
      </c>
      <c r="F787" t="str">
        <f>IF(B787="", "", TEXT(B787, "mmmm"))</f>
        <v>May</v>
      </c>
      <c r="G787">
        <f>IF(B787="", "", YEAR(B787))</f>
        <v>2024</v>
      </c>
      <c r="H787" t="s">
        <v>2367</v>
      </c>
      <c r="I787" t="s">
        <v>158</v>
      </c>
      <c r="J787" t="s">
        <v>36</v>
      </c>
      <c r="K787" t="s">
        <v>24</v>
      </c>
      <c r="L787" t="s">
        <v>234</v>
      </c>
      <c r="M787" t="s">
        <v>235</v>
      </c>
      <c r="N787" t="s">
        <v>27</v>
      </c>
      <c r="O787" t="s">
        <v>122</v>
      </c>
      <c r="P787" t="s">
        <v>2368</v>
      </c>
      <c r="Q787" t="s">
        <v>43</v>
      </c>
      <c r="R787">
        <v>2</v>
      </c>
      <c r="S787" s="15">
        <v>3012.94</v>
      </c>
      <c r="T787" s="4">
        <v>0.25</v>
      </c>
      <c r="U787" s="3" t="str">
        <f>IF(T787&lt;0, "negative_discount", IF(AND(T787&gt;0.5, T787&lt;=1), "high_discount", ""))</f>
        <v/>
      </c>
      <c r="V787" s="11">
        <v>4519.41</v>
      </c>
      <c r="W787" s="12">
        <v>4519.41</v>
      </c>
      <c r="X787" s="11">
        <v>3504.16</v>
      </c>
      <c r="Y787" s="11">
        <v>1275.55</v>
      </c>
      <c r="Z787" s="11">
        <f>ROUND(W787-X787,2)</f>
        <v>1015.25</v>
      </c>
      <c r="AA787" s="4">
        <f>IF(W787=0,0,Z787/W787)</f>
        <v>0.22464215461752751</v>
      </c>
      <c r="AB787" t="s">
        <v>151</v>
      </c>
      <c r="AC787" t="s">
        <v>67</v>
      </c>
      <c r="AD787" t="str">
        <f>IF(AND(E787="", T787&gt;=0, T787&lt;=0.5, K787&lt;&gt;"Unknown", Q787&lt;&gt;"Unknown"), "CLEAN", _xlfn.CONCAT("WARNING: ", IF(E787&lt;&gt;"","invalid_date",""), IF(T787&lt;0,"negative_discount",""), IF(AND(T787&gt;0.5,T787&lt;=1),"high_discount",""), IF(K787="Unknown","missing_region",""), IF(Q787="Unknown","missing_ship_mode","")))</f>
        <v>CLEAN</v>
      </c>
      <c r="AE787" t="str">
        <f>IF(COUNTIF($AF$2:$AF$926,AF787)&gt;1,"DUPLICATE","UNIQUE")</f>
        <v>UNIQUE</v>
      </c>
      <c r="AF787" t="str">
        <f>A787&amp;"|"&amp;B787&amp;"|"&amp;H787&amp;"|"&amp;I787&amp;"|"&amp;R787&amp;"|"&amp;S787&amp;"|"&amp;V787</f>
        <v>ORD-2024-10786|2024-05-23|CUST-7518|Diya Patel|2|3012.94|4519.41</v>
      </c>
      <c r="AG787" t="str">
        <f>IF(COUNTIF($A$2:$A$913,A787)&gt;1,"TRUE","FALSE")</f>
        <v>FALSE</v>
      </c>
    </row>
    <row r="788" spans="1:33">
      <c r="A788" t="s">
        <v>3330</v>
      </c>
      <c r="B788" t="s">
        <v>1555</v>
      </c>
      <c r="C788" t="s">
        <v>2700</v>
      </c>
      <c r="D788">
        <f>IF(OR(B788="", C788=""), "", (C788 - B788))</f>
        <v>2</v>
      </c>
      <c r="E788" t="str">
        <f>IF(C788&lt;B788, "INVALID: Ship date before order date", "")</f>
        <v/>
      </c>
      <c r="F788" t="str">
        <f>IF(B788="", "", TEXT(B788, "mmmm"))</f>
        <v>July</v>
      </c>
      <c r="G788">
        <f>IF(B788="", "", YEAR(B788))</f>
        <v>2025</v>
      </c>
      <c r="H788" t="s">
        <v>2369</v>
      </c>
      <c r="I788" t="s">
        <v>61</v>
      </c>
      <c r="J788" t="s">
        <v>89</v>
      </c>
      <c r="K788" t="s">
        <v>24</v>
      </c>
      <c r="L788" t="s">
        <v>25</v>
      </c>
      <c r="M788" t="s">
        <v>26</v>
      </c>
      <c r="N788" t="s">
        <v>40</v>
      </c>
      <c r="O788" t="s">
        <v>56</v>
      </c>
      <c r="P788" t="s">
        <v>2370</v>
      </c>
      <c r="Q788" t="s">
        <v>2970</v>
      </c>
      <c r="R788">
        <v>4</v>
      </c>
      <c r="S788" s="15">
        <v>715.45</v>
      </c>
      <c r="T788" s="4">
        <v>0.05</v>
      </c>
      <c r="U788" s="3" t="str">
        <f>IF(T788&lt;0, "negative_discount", IF(AND(T788&gt;0.5, T788&lt;=1), "high_discount", ""))</f>
        <v/>
      </c>
      <c r="V788" s="11">
        <v>2718.71</v>
      </c>
      <c r="W788" s="12">
        <v>2718.71</v>
      </c>
      <c r="X788" s="11">
        <v>2065.0500000000002</v>
      </c>
      <c r="Y788" s="11">
        <v>653.66</v>
      </c>
      <c r="Z788" s="11">
        <f>ROUND(W788-X788,2)</f>
        <v>653.66</v>
      </c>
      <c r="AA788" s="4">
        <f>IF(W788=0,0,Z788/W788)</f>
        <v>0.24043020403058801</v>
      </c>
      <c r="AB788" t="s">
        <v>99</v>
      </c>
      <c r="AC788" t="s">
        <v>100</v>
      </c>
      <c r="AD788" t="str">
        <f>IF(AND(E788="", T788&gt;=0, T788&lt;=0.5, K788&lt;&gt;"Unknown", Q788&lt;&gt;"Unknown"), "CLEAN", _xlfn.CONCAT("WARNING: ", IF(E788&lt;&gt;"","invalid_date",""), IF(T788&lt;0,"negative_discount",""), IF(AND(T788&gt;0.5,T788&lt;=1),"high_discount",""), IF(K788="Unknown","missing_region",""), IF(Q788="Unknown","missing_ship_mode","")))</f>
        <v>WARNING: missing_ship_mode</v>
      </c>
      <c r="AE788" t="str">
        <f>IF(COUNTIF($AF$2:$AF$926,AF788)&gt;1,"DUPLICATE","UNIQUE")</f>
        <v>UNIQUE</v>
      </c>
      <c r="AF788" t="str">
        <f>A788&amp;"|"&amp;B788&amp;"|"&amp;H788&amp;"|"&amp;I788&amp;"|"&amp;R788&amp;"|"&amp;S788&amp;"|"&amp;V788</f>
        <v>ORD-2025-10787|2025-07-06|CUST-1343|Ananya Rao|4|715.45|2718.71</v>
      </c>
      <c r="AG788" t="str">
        <f>IF(COUNTIF($A$2:$A$913,A788)&gt;1,"TRUE","FALSE")</f>
        <v>FALSE</v>
      </c>
    </row>
    <row r="789" spans="1:33">
      <c r="A789" t="s">
        <v>2371</v>
      </c>
      <c r="B789" t="s">
        <v>858</v>
      </c>
      <c r="C789" t="s">
        <v>2372</v>
      </c>
      <c r="D789">
        <f>IF(OR(B789="", C789=""), "", (C789 - B789))</f>
        <v>6</v>
      </c>
      <c r="E789" t="str">
        <f>IF(C789&lt;B789, "INVALID: Ship date before order date", "")</f>
        <v/>
      </c>
      <c r="F789" t="str">
        <f>IF(B789="", "", TEXT(B789, "mmmm"))</f>
        <v>September</v>
      </c>
      <c r="G789">
        <f>IF(B789="", "", YEAR(B789))</f>
        <v>2024</v>
      </c>
      <c r="H789" t="s">
        <v>2373</v>
      </c>
      <c r="I789" t="s">
        <v>61</v>
      </c>
      <c r="J789" t="s">
        <v>93</v>
      </c>
      <c r="K789" t="s">
        <v>37</v>
      </c>
      <c r="L789" t="s">
        <v>142</v>
      </c>
      <c r="M789" t="s">
        <v>143</v>
      </c>
      <c r="N789" t="s">
        <v>27</v>
      </c>
      <c r="O789" t="s">
        <v>28</v>
      </c>
      <c r="P789" t="s">
        <v>2374</v>
      </c>
      <c r="Q789" t="s">
        <v>30</v>
      </c>
      <c r="R789">
        <v>2</v>
      </c>
      <c r="S789" s="15">
        <v>3718.77</v>
      </c>
      <c r="T789" s="4">
        <v>0.05</v>
      </c>
      <c r="U789" s="3" t="str">
        <f>IF(T789&lt;0, "negative_discount", IF(AND(T789&gt;0.5, T789&lt;=1), "high_discount", ""))</f>
        <v/>
      </c>
      <c r="V789" s="11">
        <v>7065.66</v>
      </c>
      <c r="W789" s="12">
        <v>7065.66</v>
      </c>
      <c r="X789" s="11">
        <v>4915.2700000000004</v>
      </c>
      <c r="Y789" s="11">
        <v>2150.39</v>
      </c>
      <c r="Z789" s="11">
        <f>ROUND(W789-X789,2)</f>
        <v>2150.39</v>
      </c>
      <c r="AA789" s="4">
        <f>IF(W789=0,0,Z789/W789)</f>
        <v>0.30434382633752544</v>
      </c>
      <c r="AB789" t="s">
        <v>31</v>
      </c>
      <c r="AC789" t="s">
        <v>32</v>
      </c>
      <c r="AD789" t="str">
        <f>IF(AND(E789="", T789&gt;=0, T789&lt;=0.5, K789&lt;&gt;"Unknown", Q789&lt;&gt;"Unknown"), "CLEAN", _xlfn.CONCAT("WARNING: ", IF(E789&lt;&gt;"","invalid_date",""), IF(T789&lt;0,"negative_discount",""), IF(AND(T789&gt;0.5,T789&lt;=1),"high_discount",""), IF(K789="Unknown","missing_region",""), IF(Q789="Unknown","missing_ship_mode","")))</f>
        <v>CLEAN</v>
      </c>
      <c r="AE789" t="str">
        <f>IF(COUNTIF($AF$2:$AF$926,AF789)&gt;1,"DUPLICATE","UNIQUE")</f>
        <v>UNIQUE</v>
      </c>
      <c r="AF789" t="str">
        <f>A789&amp;"|"&amp;B789&amp;"|"&amp;H789&amp;"|"&amp;I789&amp;"|"&amp;R789&amp;"|"&amp;S789&amp;"|"&amp;V789</f>
        <v>ORD-2024-10788|2024-09-12|CUST-7548|Ananya Rao|2|3718.77|7065.66</v>
      </c>
      <c r="AG789" t="str">
        <f>IF(COUNTIF($A$2:$A$913,A789)&gt;1,"TRUE","FALSE")</f>
        <v>FALSE</v>
      </c>
    </row>
    <row r="790" spans="1:33">
      <c r="A790" t="s">
        <v>2375</v>
      </c>
      <c r="B790" t="s">
        <v>2828</v>
      </c>
      <c r="C790" t="s">
        <v>1660</v>
      </c>
      <c r="D790">
        <f>IF(OR(B790="", C790=""), "", (C790 - B790))</f>
        <v>-175</v>
      </c>
      <c r="E790" t="str">
        <f>IF(C790&lt;B790, "INVALID: Ship date before order date", "")</f>
        <v>INVALID: Ship date before order date</v>
      </c>
      <c r="F790" t="str">
        <f>IF(B790="", "", TEXT(B790, "mmmm"))</f>
        <v>August</v>
      </c>
      <c r="G790">
        <f>IF(B790="", "", YEAR(B790))</f>
        <v>2024</v>
      </c>
      <c r="H790" t="s">
        <v>2376</v>
      </c>
      <c r="I790" t="s">
        <v>46</v>
      </c>
      <c r="J790" t="s">
        <v>89</v>
      </c>
      <c r="K790" t="s">
        <v>24</v>
      </c>
      <c r="L790" t="s">
        <v>134</v>
      </c>
      <c r="M790" t="s">
        <v>135</v>
      </c>
      <c r="N790" t="s">
        <v>40</v>
      </c>
      <c r="O790" t="s">
        <v>65</v>
      </c>
      <c r="P790" t="s">
        <v>2377</v>
      </c>
      <c r="Q790" t="s">
        <v>58</v>
      </c>
      <c r="R790">
        <v>8</v>
      </c>
      <c r="S790" s="15">
        <v>2487.64</v>
      </c>
      <c r="T790" s="4">
        <v>0.1</v>
      </c>
      <c r="U790" s="3" t="str">
        <f>IF(T790&lt;0, "negative_discount", IF(AND(T790&gt;0.5, T790&lt;=1), "high_discount", ""))</f>
        <v/>
      </c>
      <c r="V790" s="11">
        <v>17911.009999999998</v>
      </c>
      <c r="W790" s="12">
        <v>17911.009999999998</v>
      </c>
      <c r="X790" s="11">
        <v>11546.05</v>
      </c>
      <c r="Y790" s="11">
        <v>6364.96</v>
      </c>
      <c r="Z790" s="11">
        <f>ROUND(W790-X790,2)</f>
        <v>6364.96</v>
      </c>
      <c r="AA790" s="4">
        <f>IF(W790=0,0,Z790/W790)</f>
        <v>0.35536577780929163</v>
      </c>
      <c r="AB790" t="s">
        <v>151</v>
      </c>
      <c r="AC790" t="s">
        <v>100</v>
      </c>
      <c r="AD790" t="str">
        <f>IF(AND(E790="", T790&gt;=0, T790&lt;=0.5, K790&lt;&gt;"Unknown", Q790&lt;&gt;"Unknown"), "CLEAN", _xlfn.CONCAT("WARNING: ", IF(E790&lt;&gt;"","invalid_date",""), IF(T790&lt;0,"negative_discount",""), IF(AND(T790&gt;0.5,T790&lt;=1),"high_discount",""), IF(K790="Unknown","missing_region",""), IF(Q790="Unknown","missing_ship_mode","")))</f>
        <v>WARNING: invalid_date</v>
      </c>
      <c r="AE790" t="str">
        <f>IF(COUNTIF($AF$2:$AF$926,AF790)&gt;1,"DUPLICATE","UNIQUE")</f>
        <v>UNIQUE</v>
      </c>
      <c r="AF790" t="str">
        <f>A790&amp;"|"&amp;B790&amp;"|"&amp;H790&amp;"|"&amp;I790&amp;"|"&amp;R790&amp;"|"&amp;S790&amp;"|"&amp;V790</f>
        <v>ORD-2024-10789|2024-08-01|CUST-3631|Isha Nair|8|2487.64|17911.01</v>
      </c>
      <c r="AG790" t="str">
        <f>IF(COUNTIF($A$2:$A$913,A790)&gt;1,"TRUE","FALSE")</f>
        <v>FALSE</v>
      </c>
    </row>
    <row r="791" spans="1:33">
      <c r="A791" t="s">
        <v>3331</v>
      </c>
      <c r="B791" t="s">
        <v>2825</v>
      </c>
      <c r="C791" t="s">
        <v>2576</v>
      </c>
      <c r="D791">
        <f>IF(OR(B791="", C791=""), "", (C791 - B791))</f>
        <v>1</v>
      </c>
      <c r="E791" t="str">
        <f>IF(C791&lt;B791, "INVALID: Ship date before order date", "")</f>
        <v/>
      </c>
      <c r="F791" t="str">
        <f>IF(B791="", "", TEXT(B791, "mmmm"))</f>
        <v>March</v>
      </c>
      <c r="G791">
        <f>IF(B791="", "", YEAR(B791))</f>
        <v>2025</v>
      </c>
      <c r="H791" t="s">
        <v>2378</v>
      </c>
      <c r="I791" t="s">
        <v>112</v>
      </c>
      <c r="J791" t="s">
        <v>93</v>
      </c>
      <c r="K791" t="s">
        <v>2970</v>
      </c>
      <c r="L791" t="s">
        <v>25</v>
      </c>
      <c r="M791" t="s">
        <v>107</v>
      </c>
      <c r="N791" t="s">
        <v>74</v>
      </c>
      <c r="O791" t="s">
        <v>79</v>
      </c>
      <c r="P791" t="s">
        <v>2379</v>
      </c>
      <c r="Q791" t="s">
        <v>43</v>
      </c>
      <c r="R791">
        <v>4</v>
      </c>
      <c r="S791" s="15">
        <v>3537.48</v>
      </c>
      <c r="T791" s="4">
        <v>0</v>
      </c>
      <c r="U791" s="3" t="str">
        <f>IF(T791&lt;0, "negative_discount", IF(AND(T791&gt;0.5, T791&lt;=1), "high_discount", ""))</f>
        <v/>
      </c>
      <c r="V791" s="11">
        <v>14149.92</v>
      </c>
      <c r="W791" s="12">
        <v>14149.92</v>
      </c>
      <c r="X791" s="11">
        <v>9466.51</v>
      </c>
      <c r="Y791" s="11">
        <v>4683.41</v>
      </c>
      <c r="Z791" s="11">
        <f>ROUND(W791-X791,2)</f>
        <v>4683.41</v>
      </c>
      <c r="AA791" s="4">
        <f>IF(W791=0,0,Z791/W791)</f>
        <v>0.33098491016203624</v>
      </c>
      <c r="AB791" t="s">
        <v>31</v>
      </c>
      <c r="AC791" t="s">
        <v>32</v>
      </c>
      <c r="AD791" t="str">
        <f>IF(AND(E791="", T791&gt;=0, T791&lt;=0.5, K791&lt;&gt;"Unknown", Q791&lt;&gt;"Unknown"), "CLEAN", _xlfn.CONCAT("WARNING: ", IF(E791&lt;&gt;"","invalid_date",""), IF(T791&lt;0,"negative_discount",""), IF(AND(T791&gt;0.5,T791&lt;=1),"high_discount",""), IF(K791="Unknown","missing_region",""), IF(Q791="Unknown","missing_ship_mode","")))</f>
        <v>WARNING: missing_region</v>
      </c>
      <c r="AE791" t="str">
        <f>IF(COUNTIF($AF$2:$AF$926,AF791)&gt;1,"DUPLICATE","UNIQUE")</f>
        <v>UNIQUE</v>
      </c>
      <c r="AF791" t="str">
        <f>A791&amp;"|"&amp;B791&amp;"|"&amp;H791&amp;"|"&amp;I791&amp;"|"&amp;R791&amp;"|"&amp;S791&amp;"|"&amp;V791</f>
        <v>ORD-2025-10790|2025-03-07|CUST-1453|Priya Menon|4|3537.48|14149.92</v>
      </c>
      <c r="AG791" t="str">
        <f>IF(COUNTIF($A$2:$A$913,A791)&gt;1,"TRUE","FALSE")</f>
        <v>FALSE</v>
      </c>
    </row>
    <row r="792" spans="1:33">
      <c r="A792" t="s">
        <v>2380</v>
      </c>
      <c r="B792" t="s">
        <v>2716</v>
      </c>
      <c r="C792" t="s">
        <v>2381</v>
      </c>
      <c r="D792">
        <f>IF(OR(B792="", C792=""), "", (C792 - B792))</f>
        <v>2</v>
      </c>
      <c r="E792" t="str">
        <f>IF(C792&lt;B792, "INVALID: Ship date before order date", "")</f>
        <v/>
      </c>
      <c r="F792" t="str">
        <f>IF(B792="", "", TEXT(B792, "mmmm"))</f>
        <v>May</v>
      </c>
      <c r="G792">
        <f>IF(B792="", "", YEAR(B792))</f>
        <v>2024</v>
      </c>
      <c r="H792" t="s">
        <v>2382</v>
      </c>
      <c r="I792" t="s">
        <v>116</v>
      </c>
      <c r="J792" t="s">
        <v>89</v>
      </c>
      <c r="K792" t="s">
        <v>53</v>
      </c>
      <c r="L792" t="s">
        <v>83</v>
      </c>
      <c r="M792" t="s">
        <v>84</v>
      </c>
      <c r="N792" t="s">
        <v>27</v>
      </c>
      <c r="O792" t="s">
        <v>47</v>
      </c>
      <c r="P792" t="s">
        <v>2383</v>
      </c>
      <c r="Q792" t="s">
        <v>58</v>
      </c>
      <c r="R792">
        <v>8</v>
      </c>
      <c r="S792" s="15">
        <v>667.59</v>
      </c>
      <c r="T792" s="4">
        <v>0.2</v>
      </c>
      <c r="U792" s="3" t="str">
        <f>IF(T792&lt;0, "negative_discount", IF(AND(T792&gt;0.5, T792&lt;=1), "high_discount", ""))</f>
        <v/>
      </c>
      <c r="V792" s="11">
        <v>4272.58</v>
      </c>
      <c r="W792" s="12">
        <v>4272.58</v>
      </c>
      <c r="X792" s="11">
        <v>3328.92</v>
      </c>
      <c r="Y792" s="11">
        <v>943.66</v>
      </c>
      <c r="Z792" s="11">
        <f>ROUND(W792-X792,2)</f>
        <v>943.66</v>
      </c>
      <c r="AA792" s="4">
        <f>IF(W792=0,0,Z792/W792)</f>
        <v>0.22086420851101676</v>
      </c>
      <c r="AB792" t="s">
        <v>31</v>
      </c>
      <c r="AC792" t="s">
        <v>32</v>
      </c>
      <c r="AD792" t="str">
        <f>IF(AND(E792="", T792&gt;=0, T792&lt;=0.5, K792&lt;&gt;"Unknown", Q792&lt;&gt;"Unknown"), "CLEAN", _xlfn.CONCAT("WARNING: ", IF(E792&lt;&gt;"","invalid_date",""), IF(T792&lt;0,"negative_discount",""), IF(AND(T792&gt;0.5,T792&lt;=1),"high_discount",""), IF(K792="Unknown","missing_region",""), IF(Q792="Unknown","missing_ship_mode","")))</f>
        <v>CLEAN</v>
      </c>
      <c r="AE792" t="str">
        <f>IF(COUNTIF($AF$2:$AF$926,AF792)&gt;1,"DUPLICATE","UNIQUE")</f>
        <v>UNIQUE</v>
      </c>
      <c r="AF792" t="str">
        <f>A792&amp;"|"&amp;B792&amp;"|"&amp;H792&amp;"|"&amp;I792&amp;"|"&amp;R792&amp;"|"&amp;S792&amp;"|"&amp;V792</f>
        <v>ORD-2024-10791|2024-05-31|CUST-1951|Rahul Verma|8|667.59|4272.58</v>
      </c>
      <c r="AG792" t="str">
        <f>IF(COUNTIF($A$2:$A$913,A792)&gt;1,"TRUE","FALSE")</f>
        <v>FALSE</v>
      </c>
    </row>
    <row r="793" spans="1:33">
      <c r="A793" t="s">
        <v>2384</v>
      </c>
      <c r="B793" t="s">
        <v>2853</v>
      </c>
      <c r="C793" t="s">
        <v>2385</v>
      </c>
      <c r="D793">
        <f>IF(OR(B793="", C793=""), "", (C793 - B793))</f>
        <v>4</v>
      </c>
      <c r="E793" t="str">
        <f>IF(C793&lt;B793, "INVALID: Ship date before order date", "")</f>
        <v/>
      </c>
      <c r="F793" t="str">
        <f>IF(B793="", "", TEXT(B793, "mmmm"))</f>
        <v>October</v>
      </c>
      <c r="G793">
        <f>IF(B793="", "", YEAR(B793))</f>
        <v>2024</v>
      </c>
      <c r="H793" t="s">
        <v>2386</v>
      </c>
      <c r="I793" t="s">
        <v>116</v>
      </c>
      <c r="J793" t="s">
        <v>93</v>
      </c>
      <c r="K793" t="s">
        <v>53</v>
      </c>
      <c r="L793" t="s">
        <v>171</v>
      </c>
      <c r="M793" t="s">
        <v>172</v>
      </c>
      <c r="N793" t="s">
        <v>40</v>
      </c>
      <c r="O793" t="s">
        <v>153</v>
      </c>
      <c r="P793" t="s">
        <v>2387</v>
      </c>
      <c r="Q793" t="s">
        <v>43</v>
      </c>
      <c r="R793">
        <v>8</v>
      </c>
      <c r="S793" s="15">
        <v>1558.77</v>
      </c>
      <c r="T793" s="4">
        <v>0.25</v>
      </c>
      <c r="U793" s="3" t="str">
        <f>IF(T793&lt;0, "negative_discount", IF(AND(T793&gt;0.5, T793&lt;=1), "high_discount", ""))</f>
        <v/>
      </c>
      <c r="V793" s="11">
        <v>9352.6200000000008</v>
      </c>
      <c r="W793" s="12">
        <v>9352.6200000000008</v>
      </c>
      <c r="X793" s="11">
        <v>5269.41</v>
      </c>
      <c r="Y793" s="11">
        <v>4083.21</v>
      </c>
      <c r="Z793" s="11">
        <f>ROUND(W793-X793,2)</f>
        <v>4083.21</v>
      </c>
      <c r="AA793" s="4">
        <f>IF(W793=0,0,Z793/W793)</f>
        <v>0.43658461479243243</v>
      </c>
      <c r="AB793" t="s">
        <v>31</v>
      </c>
      <c r="AC793" t="s">
        <v>32</v>
      </c>
      <c r="AD793" t="str">
        <f>IF(AND(E793="", T793&gt;=0, T793&lt;=0.5, K793&lt;&gt;"Unknown", Q793&lt;&gt;"Unknown"), "CLEAN", _xlfn.CONCAT("WARNING: ", IF(E793&lt;&gt;"","invalid_date",""), IF(T793&lt;0,"negative_discount",""), IF(AND(T793&gt;0.5,T793&lt;=1),"high_discount",""), IF(K793="Unknown","missing_region",""), IF(Q793="Unknown","missing_ship_mode","")))</f>
        <v>CLEAN</v>
      </c>
      <c r="AE793" t="str">
        <f>IF(COUNTIF($AF$2:$AF$926,AF793)&gt;1,"DUPLICATE","UNIQUE")</f>
        <v>UNIQUE</v>
      </c>
      <c r="AF793" t="str">
        <f>A793&amp;"|"&amp;B793&amp;"|"&amp;H793&amp;"|"&amp;I793&amp;"|"&amp;R793&amp;"|"&amp;S793&amp;"|"&amp;V793</f>
        <v>ORD-2024-10792|2024-10-02|CUST-6300|Rahul Verma|8|1558.77|9352.62</v>
      </c>
      <c r="AG793" t="str">
        <f>IF(COUNTIF($A$2:$A$913,A793)&gt;1,"TRUE","FALSE")</f>
        <v>FALSE</v>
      </c>
    </row>
    <row r="794" spans="1:33">
      <c r="A794" t="s">
        <v>3332</v>
      </c>
      <c r="B794" t="s">
        <v>795</v>
      </c>
      <c r="C794" t="s">
        <v>2893</v>
      </c>
      <c r="D794">
        <f>IF(OR(B794="", C794=""), "", (C794 - B794))</f>
        <v>4</v>
      </c>
      <c r="E794" t="str">
        <f>IF(C794&lt;B794, "INVALID: Ship date before order date", "")</f>
        <v/>
      </c>
      <c r="F794" t="str">
        <f>IF(B794="", "", TEXT(B794, "mmmm"))</f>
        <v>June</v>
      </c>
      <c r="G794">
        <f>IF(B794="", "", YEAR(B794))</f>
        <v>2025</v>
      </c>
      <c r="H794" t="s">
        <v>2388</v>
      </c>
      <c r="I794" t="s">
        <v>52</v>
      </c>
      <c r="J794" t="s">
        <v>36</v>
      </c>
      <c r="K794" t="s">
        <v>37</v>
      </c>
      <c r="L794" t="s">
        <v>163</v>
      </c>
      <c r="M794" t="s">
        <v>164</v>
      </c>
      <c r="N794" t="s">
        <v>40</v>
      </c>
      <c r="O794" t="s">
        <v>56</v>
      </c>
      <c r="P794" t="s">
        <v>2389</v>
      </c>
      <c r="Q794" t="s">
        <v>30</v>
      </c>
      <c r="R794">
        <v>1</v>
      </c>
      <c r="S794" s="15">
        <v>3501.12</v>
      </c>
      <c r="T794" s="4">
        <v>0.2</v>
      </c>
      <c r="U794" s="3" t="str">
        <f>IF(T794&lt;0, "negative_discount", IF(AND(T794&gt;0.5, T794&lt;=1), "high_discount", ""))</f>
        <v/>
      </c>
      <c r="V794" s="11">
        <v>2800.9</v>
      </c>
      <c r="W794" s="12">
        <v>2800.9</v>
      </c>
      <c r="X794" s="11">
        <v>1735.98</v>
      </c>
      <c r="Y794" s="11">
        <v>1064.92</v>
      </c>
      <c r="Z794" s="11">
        <f>ROUND(W794-X794,2)</f>
        <v>1064.92</v>
      </c>
      <c r="AA794" s="4">
        <f>IF(W794=0,0,Z794/W794)</f>
        <v>0.38020636224070836</v>
      </c>
      <c r="AB794" t="s">
        <v>31</v>
      </c>
      <c r="AC794" t="s">
        <v>100</v>
      </c>
      <c r="AD794" t="str">
        <f>IF(AND(E794="", T794&gt;=0, T794&lt;=0.5, K794&lt;&gt;"Unknown", Q794&lt;&gt;"Unknown"), "CLEAN", _xlfn.CONCAT("WARNING: ", IF(E794&lt;&gt;"","invalid_date",""), IF(T794&lt;0,"negative_discount",""), IF(AND(T794&gt;0.5,T794&lt;=1),"high_discount",""), IF(K794="Unknown","missing_region",""), IF(Q794="Unknown","missing_ship_mode","")))</f>
        <v>CLEAN</v>
      </c>
      <c r="AE794" t="str">
        <f>IF(COUNTIF($AF$2:$AF$926,AF794)&gt;1,"DUPLICATE","UNIQUE")</f>
        <v>UNIQUE</v>
      </c>
      <c r="AF794" t="str">
        <f>A794&amp;"|"&amp;B794&amp;"|"&amp;H794&amp;"|"&amp;I794&amp;"|"&amp;R794&amp;"|"&amp;S794&amp;"|"&amp;V794</f>
        <v>ORD-2025-10793|2025-06-04|CUST-1417|Arjun Bose|1|3501.12|2800.9</v>
      </c>
      <c r="AG794" t="str">
        <f>IF(COUNTIF($A$2:$A$913,A794)&gt;1,"TRUE","FALSE")</f>
        <v>FALSE</v>
      </c>
    </row>
    <row r="795" spans="1:33">
      <c r="A795" t="s">
        <v>2390</v>
      </c>
      <c r="B795" t="s">
        <v>2748</v>
      </c>
      <c r="C795" t="s">
        <v>2913</v>
      </c>
      <c r="D795">
        <f>IF(OR(B795="", C795=""), "", (C795 - B795))</f>
        <v>6</v>
      </c>
      <c r="E795" t="str">
        <f>IF(C795&lt;B795, "INVALID: Ship date before order date", "")</f>
        <v/>
      </c>
      <c r="F795" t="str">
        <f>IF(B795="", "", TEXT(B795, "mmmm"))</f>
        <v>May</v>
      </c>
      <c r="G795">
        <f>IF(B795="", "", YEAR(B795))</f>
        <v>2024</v>
      </c>
      <c r="H795" t="s">
        <v>2391</v>
      </c>
      <c r="I795" t="s">
        <v>71</v>
      </c>
      <c r="J795" t="s">
        <v>89</v>
      </c>
      <c r="K795" t="s">
        <v>24</v>
      </c>
      <c r="L795" t="s">
        <v>25</v>
      </c>
      <c r="M795" t="s">
        <v>26</v>
      </c>
      <c r="N795" t="s">
        <v>74</v>
      </c>
      <c r="O795" t="s">
        <v>79</v>
      </c>
      <c r="P795" t="s">
        <v>2392</v>
      </c>
      <c r="Q795" t="s">
        <v>30</v>
      </c>
      <c r="R795">
        <v>5</v>
      </c>
      <c r="S795" s="15">
        <v>4302.32</v>
      </c>
      <c r="T795" s="4">
        <v>0</v>
      </c>
      <c r="U795" s="3" t="str">
        <f>IF(T795&lt;0, "negative_discount", IF(AND(T795&gt;0.5, T795&lt;=1), "high_discount", ""))</f>
        <v/>
      </c>
      <c r="V795" s="11">
        <v>21511.599999999999</v>
      </c>
      <c r="W795" s="12">
        <v>21511.599999999999</v>
      </c>
      <c r="X795" s="11">
        <v>15408.47</v>
      </c>
      <c r="Y795" s="11">
        <v>6103.13</v>
      </c>
      <c r="Z795" s="11">
        <f>ROUND(W795-X795,2)</f>
        <v>6103.13</v>
      </c>
      <c r="AA795" s="4">
        <f>IF(W795=0,0,Z795/W795)</f>
        <v>0.28371343833094703</v>
      </c>
      <c r="AB795" t="s">
        <v>31</v>
      </c>
      <c r="AC795" t="s">
        <v>32</v>
      </c>
      <c r="AD795" t="str">
        <f>IF(AND(E795="", T795&gt;=0, T795&lt;=0.5, K795&lt;&gt;"Unknown", Q795&lt;&gt;"Unknown"), "CLEAN", _xlfn.CONCAT("WARNING: ", IF(E795&lt;&gt;"","invalid_date",""), IF(T795&lt;0,"negative_discount",""), IF(AND(T795&gt;0.5,T795&lt;=1),"high_discount",""), IF(K795="Unknown","missing_region",""), IF(Q795="Unknown","missing_ship_mode","")))</f>
        <v>CLEAN</v>
      </c>
      <c r="AE795" t="str">
        <f>IF(COUNTIF($AF$2:$AF$926,AF795)&gt;1,"DUPLICATE","UNIQUE")</f>
        <v>UNIQUE</v>
      </c>
      <c r="AF795" t="str">
        <f>A795&amp;"|"&amp;B795&amp;"|"&amp;H795&amp;"|"&amp;I795&amp;"|"&amp;R795&amp;"|"&amp;S795&amp;"|"&amp;V795</f>
        <v>ORD-2024-10794|2024-05-28|CUST-5421|Vikram Iyer|5|4302.32|21511.6</v>
      </c>
      <c r="AG795" t="str">
        <f>IF(COUNTIF($A$2:$A$913,A795)&gt;1,"TRUE","FALSE")</f>
        <v>FALSE</v>
      </c>
    </row>
    <row r="796" spans="1:33">
      <c r="A796" t="s">
        <v>3333</v>
      </c>
      <c r="B796" t="s">
        <v>2393</v>
      </c>
      <c r="C796" t="s">
        <v>656</v>
      </c>
      <c r="D796">
        <f>IF(OR(B796="", C796=""), "", (C796 - B796))</f>
        <v>2</v>
      </c>
      <c r="E796" t="str">
        <f>IF(C796&lt;B796, "INVALID: Ship date before order date", "")</f>
        <v/>
      </c>
      <c r="F796" t="str">
        <f>IF(B796="", "", TEXT(B796, "mmmm"))</f>
        <v>June</v>
      </c>
      <c r="G796">
        <f>IF(B796="", "", YEAR(B796))</f>
        <v>2025</v>
      </c>
      <c r="H796" t="s">
        <v>2394</v>
      </c>
      <c r="I796" t="s">
        <v>131</v>
      </c>
      <c r="J796" t="s">
        <v>89</v>
      </c>
      <c r="K796" t="s">
        <v>37</v>
      </c>
      <c r="L796" t="s">
        <v>163</v>
      </c>
      <c r="M796" t="s">
        <v>164</v>
      </c>
      <c r="N796" t="s">
        <v>27</v>
      </c>
      <c r="O796" t="s">
        <v>28</v>
      </c>
      <c r="P796" t="s">
        <v>2395</v>
      </c>
      <c r="Q796" t="s">
        <v>58</v>
      </c>
      <c r="R796">
        <v>9</v>
      </c>
      <c r="S796" s="15">
        <v>951.55</v>
      </c>
      <c r="T796" s="4">
        <v>0.15</v>
      </c>
      <c r="U796" s="3" t="str">
        <f>IF(T796&lt;0, "negative_discount", IF(AND(T796&gt;0.5, T796&lt;=1), "high_discount", ""))</f>
        <v/>
      </c>
      <c r="V796" s="11">
        <v>7279.36</v>
      </c>
      <c r="W796" s="12">
        <v>7279.36</v>
      </c>
      <c r="X796" s="11">
        <v>4870.3900000000003</v>
      </c>
      <c r="Y796" s="11">
        <v>2408.9699999999998</v>
      </c>
      <c r="Z796" s="11">
        <f>ROUND(W796-X796,2)</f>
        <v>2408.9699999999998</v>
      </c>
      <c r="AA796" s="4">
        <f>IF(W796=0,0,Z796/W796)</f>
        <v>0.33093156541234392</v>
      </c>
      <c r="AB796" t="s">
        <v>31</v>
      </c>
      <c r="AC796" t="s">
        <v>32</v>
      </c>
      <c r="AD796" t="str">
        <f>IF(AND(E796="", T796&gt;=0, T796&lt;=0.5, K796&lt;&gt;"Unknown", Q796&lt;&gt;"Unknown"), "CLEAN", _xlfn.CONCAT("WARNING: ", IF(E796&lt;&gt;"","invalid_date",""), IF(T796&lt;0,"negative_discount",""), IF(AND(T796&gt;0.5,T796&lt;=1),"high_discount",""), IF(K796="Unknown","missing_region",""), IF(Q796="Unknown","missing_ship_mode","")))</f>
        <v>CLEAN</v>
      </c>
      <c r="AE796" t="str">
        <f>IF(COUNTIF($AF$2:$AF$926,AF796)&gt;1,"DUPLICATE","UNIQUE")</f>
        <v>UNIQUE</v>
      </c>
      <c r="AF796" t="str">
        <f>A796&amp;"|"&amp;B796&amp;"|"&amp;H796&amp;"|"&amp;I796&amp;"|"&amp;R796&amp;"|"&amp;S796&amp;"|"&amp;V796</f>
        <v>ORD-2025-10795|2025-06-22|CUST-2829|Sneha Kapoor|9|951.55|7279.36</v>
      </c>
      <c r="AG796" t="str">
        <f>IF(COUNTIF($A$2:$A$913,A796)&gt;1,"TRUE","FALSE")</f>
        <v>FALSE</v>
      </c>
    </row>
    <row r="797" spans="1:33">
      <c r="A797" t="s">
        <v>2396</v>
      </c>
      <c r="B797" t="s">
        <v>371</v>
      </c>
      <c r="C797" t="s">
        <v>371</v>
      </c>
      <c r="D797">
        <f>IF(OR(B797="", C797=""), "", (C797 - B797))</f>
        <v>0</v>
      </c>
      <c r="E797" t="str">
        <f>IF(C797&lt;B797, "INVALID: Ship date before order date", "")</f>
        <v/>
      </c>
      <c r="F797" t="str">
        <f>IF(B797="", "", TEXT(B797, "mmmm"))</f>
        <v>July</v>
      </c>
      <c r="G797">
        <f>IF(B797="", "", YEAR(B797))</f>
        <v>2024</v>
      </c>
      <c r="H797" t="s">
        <v>2397</v>
      </c>
      <c r="I797" t="s">
        <v>158</v>
      </c>
      <c r="J797" t="s">
        <v>93</v>
      </c>
      <c r="K797" t="s">
        <v>37</v>
      </c>
      <c r="L797" t="s">
        <v>38</v>
      </c>
      <c r="M797" t="s">
        <v>39</v>
      </c>
      <c r="N797" t="s">
        <v>74</v>
      </c>
      <c r="O797" t="s">
        <v>79</v>
      </c>
      <c r="P797" t="s">
        <v>2398</v>
      </c>
      <c r="Q797" t="s">
        <v>43</v>
      </c>
      <c r="R797">
        <v>9</v>
      </c>
      <c r="S797" s="15">
        <v>2894.66</v>
      </c>
      <c r="T797" s="4">
        <v>0</v>
      </c>
      <c r="U797" s="3" t="str">
        <f>IF(T797&lt;0, "negative_discount", IF(AND(T797&gt;0.5, T797&lt;=1), "high_discount", ""))</f>
        <v/>
      </c>
      <c r="V797" s="11">
        <v>26051.94</v>
      </c>
      <c r="W797" s="12">
        <v>26051.94</v>
      </c>
      <c r="X797" s="11">
        <v>16883.59</v>
      </c>
      <c r="Y797" s="11">
        <v>9168.35</v>
      </c>
      <c r="Z797" s="11">
        <f>ROUND(W797-X797,2)</f>
        <v>9168.35</v>
      </c>
      <c r="AA797" s="4">
        <f>IF(W797=0,0,Z797/W797)</f>
        <v>0.35192580667696921</v>
      </c>
      <c r="AB797" t="s">
        <v>99</v>
      </c>
      <c r="AC797" t="s">
        <v>67</v>
      </c>
      <c r="AD797" t="str">
        <f>IF(AND(E797="", T797&gt;=0, T797&lt;=0.5, K797&lt;&gt;"Unknown", Q797&lt;&gt;"Unknown"), "CLEAN", _xlfn.CONCAT("WARNING: ", IF(E797&lt;&gt;"","invalid_date",""), IF(T797&lt;0,"negative_discount",""), IF(AND(T797&gt;0.5,T797&lt;=1),"high_discount",""), IF(K797="Unknown","missing_region",""), IF(Q797="Unknown","missing_ship_mode","")))</f>
        <v>CLEAN</v>
      </c>
      <c r="AE797" t="str">
        <f>IF(COUNTIF($AF$2:$AF$926,AF797)&gt;1,"DUPLICATE","UNIQUE")</f>
        <v>UNIQUE</v>
      </c>
      <c r="AF797" t="str">
        <f>A797&amp;"|"&amp;B797&amp;"|"&amp;H797&amp;"|"&amp;I797&amp;"|"&amp;R797&amp;"|"&amp;S797&amp;"|"&amp;V797</f>
        <v>ORD-2024-10796|2024-07-30|CUST-6529|Diya Patel|9|2894.66|26051.94</v>
      </c>
      <c r="AG797" t="str">
        <f>IF(COUNTIF($A$2:$A$913,A797)&gt;1,"TRUE","FALSE")</f>
        <v>FALSE</v>
      </c>
    </row>
    <row r="798" spans="1:33">
      <c r="A798" t="s">
        <v>2399</v>
      </c>
      <c r="B798" t="s">
        <v>2717</v>
      </c>
      <c r="C798" t="s">
        <v>714</v>
      </c>
      <c r="D798">
        <f>IF(OR(B798="", C798=""), "", (C798 - B798))</f>
        <v>7</v>
      </c>
      <c r="E798" t="str">
        <f>IF(C798&lt;B798, "INVALID: Ship date before order date", "")</f>
        <v/>
      </c>
      <c r="F798" t="str">
        <f>IF(B798="", "", TEXT(B798, "mmmm"))</f>
        <v>March</v>
      </c>
      <c r="G798">
        <f>IF(B798="", "", YEAR(B798))</f>
        <v>2024</v>
      </c>
      <c r="H798" t="s">
        <v>2400</v>
      </c>
      <c r="I798" t="s">
        <v>139</v>
      </c>
      <c r="J798" t="s">
        <v>36</v>
      </c>
      <c r="K798" t="s">
        <v>53</v>
      </c>
      <c r="L798" t="s">
        <v>83</v>
      </c>
      <c r="M798" t="s">
        <v>84</v>
      </c>
      <c r="N798" t="s">
        <v>74</v>
      </c>
      <c r="O798" t="s">
        <v>272</v>
      </c>
      <c r="P798" t="s">
        <v>2401</v>
      </c>
      <c r="Q798" t="s">
        <v>49</v>
      </c>
      <c r="R798">
        <v>6</v>
      </c>
      <c r="S798" s="15">
        <v>1894.44</v>
      </c>
      <c r="T798" s="4">
        <v>0.15</v>
      </c>
      <c r="U798" s="3" t="str">
        <f>IF(T798&lt;0, "negative_discount", IF(AND(T798&gt;0.5, T798&lt;=1), "high_discount", ""))</f>
        <v/>
      </c>
      <c r="V798" s="11">
        <v>9661.64</v>
      </c>
      <c r="W798" s="12">
        <v>9661.64</v>
      </c>
      <c r="X798" s="11">
        <v>6303.77</v>
      </c>
      <c r="Y798" s="11">
        <v>3357.87</v>
      </c>
      <c r="Z798" s="11">
        <f>ROUND(W798-X798,2)</f>
        <v>3357.87</v>
      </c>
      <c r="AA798" s="4">
        <f>IF(W798=0,0,Z798/W798)</f>
        <v>0.34754658629383833</v>
      </c>
      <c r="AB798" t="s">
        <v>31</v>
      </c>
      <c r="AC798" t="s">
        <v>32</v>
      </c>
      <c r="AD798" t="str">
        <f>IF(AND(E798="", T798&gt;=0, T798&lt;=0.5, K798&lt;&gt;"Unknown", Q798&lt;&gt;"Unknown"), "CLEAN", _xlfn.CONCAT("WARNING: ", IF(E798&lt;&gt;"","invalid_date",""), IF(T798&lt;0,"negative_discount",""), IF(AND(T798&gt;0.5,T798&lt;=1),"high_discount",""), IF(K798="Unknown","missing_region",""), IF(Q798="Unknown","missing_ship_mode","")))</f>
        <v>CLEAN</v>
      </c>
      <c r="AE798" t="str">
        <f>IF(COUNTIF($AF$2:$AF$926,AF798)&gt;1,"DUPLICATE","UNIQUE")</f>
        <v>UNIQUE</v>
      </c>
      <c r="AF798" t="str">
        <f>A798&amp;"|"&amp;B798&amp;"|"&amp;H798&amp;"|"&amp;I798&amp;"|"&amp;R798&amp;"|"&amp;S798&amp;"|"&amp;V798</f>
        <v>ORD-2024-10797|2024-03-23|CUST-3126|Rohan Mehta|6|1894.44|9661.64</v>
      </c>
      <c r="AG798" t="str">
        <f>IF(COUNTIF($A$2:$A$913,A798)&gt;1,"TRUE","FALSE")</f>
        <v>FALSE</v>
      </c>
    </row>
    <row r="799" spans="1:33">
      <c r="A799" t="s">
        <v>2402</v>
      </c>
      <c r="B799" t="s">
        <v>2881</v>
      </c>
      <c r="C799" t="s">
        <v>2533</v>
      </c>
      <c r="D799">
        <f>IF(OR(B799="", C799=""), "", (C799 - B799))</f>
        <v>4</v>
      </c>
      <c r="E799" t="str">
        <f>IF(C799&lt;B799, "INVALID: Ship date before order date", "")</f>
        <v/>
      </c>
      <c r="F799" t="str">
        <f>IF(B799="", "", TEXT(B799, "mmmm"))</f>
        <v>April</v>
      </c>
      <c r="G799">
        <f>IF(B799="", "", YEAR(B799))</f>
        <v>2024</v>
      </c>
      <c r="H799" t="s">
        <v>2403</v>
      </c>
      <c r="I799" t="s">
        <v>126</v>
      </c>
      <c r="J799" t="s">
        <v>23</v>
      </c>
      <c r="K799" t="s">
        <v>37</v>
      </c>
      <c r="L799" t="s">
        <v>38</v>
      </c>
      <c r="M799" t="s">
        <v>39</v>
      </c>
      <c r="N799" t="s">
        <v>27</v>
      </c>
      <c r="O799" t="s">
        <v>149</v>
      </c>
      <c r="P799" t="s">
        <v>2404</v>
      </c>
      <c r="Q799" t="s">
        <v>49</v>
      </c>
      <c r="R799">
        <v>8</v>
      </c>
      <c r="S799" s="15">
        <v>1714.37</v>
      </c>
      <c r="T799" s="4">
        <v>0</v>
      </c>
      <c r="U799" s="3" t="str">
        <f>IF(T799&lt;0, "negative_discount", IF(AND(T799&gt;0.5, T799&lt;=1), "high_discount", ""))</f>
        <v/>
      </c>
      <c r="V799" s="11">
        <v>13714.96</v>
      </c>
      <c r="W799" s="12">
        <v>13714.96</v>
      </c>
      <c r="X799" s="11">
        <v>10550.47</v>
      </c>
      <c r="Y799" s="11">
        <v>3164.49</v>
      </c>
      <c r="Z799" s="11">
        <f>ROUND(W799-X799,2)</f>
        <v>3164.49</v>
      </c>
      <c r="AA799" s="4">
        <f>IF(W799=0,0,Z799/W799)</f>
        <v>0.23073271814135804</v>
      </c>
      <c r="AB799" t="s">
        <v>151</v>
      </c>
      <c r="AC799" t="s">
        <v>67</v>
      </c>
      <c r="AD799" t="str">
        <f>IF(AND(E799="", T799&gt;=0, T799&lt;=0.5, K799&lt;&gt;"Unknown", Q799&lt;&gt;"Unknown"), "CLEAN", _xlfn.CONCAT("WARNING: ", IF(E799&lt;&gt;"","invalid_date",""), IF(T799&lt;0,"negative_discount",""), IF(AND(T799&gt;0.5,T799&lt;=1),"high_discount",""), IF(K799="Unknown","missing_region",""), IF(Q799="Unknown","missing_ship_mode","")))</f>
        <v>CLEAN</v>
      </c>
      <c r="AE799" t="str">
        <f>IF(COUNTIF($AF$2:$AF$926,AF799)&gt;1,"DUPLICATE","UNIQUE")</f>
        <v>UNIQUE</v>
      </c>
      <c r="AF799" t="str">
        <f>A799&amp;"|"&amp;B799&amp;"|"&amp;H799&amp;"|"&amp;I799&amp;"|"&amp;R799&amp;"|"&amp;S799&amp;"|"&amp;V799</f>
        <v>ORD-2024-10798|2024-04-18|CUST-3991|Aarav Sharma|8|1714.37|13714.96</v>
      </c>
      <c r="AG799" t="str">
        <f>IF(COUNTIF($A$2:$A$913,A799)&gt;1,"TRUE","FALSE")</f>
        <v>FALSE</v>
      </c>
    </row>
    <row r="800" spans="1:33">
      <c r="A800" t="s">
        <v>3334</v>
      </c>
      <c r="B800" t="s">
        <v>2405</v>
      </c>
      <c r="C800" t="s">
        <v>1561</v>
      </c>
      <c r="D800">
        <f>IF(OR(B800="", C800=""), "", (C800 - B800))</f>
        <v>58</v>
      </c>
      <c r="E800" t="str">
        <f>IF(C800&lt;B800, "INVALID: Ship date before order date", "")</f>
        <v/>
      </c>
      <c r="F800" t="str">
        <f>IF(B800="", "", TEXT(B800, "mmmm"))</f>
        <v>July</v>
      </c>
      <c r="G800">
        <f>IF(B800="", "", YEAR(B800))</f>
        <v>2025</v>
      </c>
      <c r="H800" t="s">
        <v>2406</v>
      </c>
      <c r="I800" t="s">
        <v>88</v>
      </c>
      <c r="J800" t="s">
        <v>89</v>
      </c>
      <c r="K800" t="s">
        <v>24</v>
      </c>
      <c r="L800" t="s">
        <v>353</v>
      </c>
      <c r="M800" t="s">
        <v>354</v>
      </c>
      <c r="N800" t="s">
        <v>40</v>
      </c>
      <c r="O800" t="s">
        <v>56</v>
      </c>
      <c r="P800" t="s">
        <v>2407</v>
      </c>
      <c r="Q800" t="s">
        <v>58</v>
      </c>
      <c r="R800">
        <v>9</v>
      </c>
      <c r="S800" s="15">
        <v>1706.05</v>
      </c>
      <c r="T800" s="4">
        <v>0</v>
      </c>
      <c r="U800" s="3" t="str">
        <f>IF(T800&lt;0, "negative_discount", IF(AND(T800&gt;0.5, T800&lt;=1), "high_discount", ""))</f>
        <v/>
      </c>
      <c r="V800" s="11">
        <v>15354.45</v>
      </c>
      <c r="W800" s="12">
        <v>15354.45</v>
      </c>
      <c r="X800" s="11">
        <v>9656.5</v>
      </c>
      <c r="Y800" s="11">
        <v>5697.95</v>
      </c>
      <c r="Z800" s="11">
        <f>ROUND(W800-X800,2)</f>
        <v>5697.95</v>
      </c>
      <c r="AA800" s="4">
        <f>IF(W800=0,0,Z800/W800)</f>
        <v>0.37109437329243311</v>
      </c>
      <c r="AB800" t="s">
        <v>31</v>
      </c>
      <c r="AC800" t="s">
        <v>32</v>
      </c>
      <c r="AD800" t="str">
        <f>IF(AND(E800="", T800&gt;=0, T800&lt;=0.5, K800&lt;&gt;"Unknown", Q800&lt;&gt;"Unknown"), "CLEAN", _xlfn.CONCAT("WARNING: ", IF(E800&lt;&gt;"","invalid_date",""), IF(T800&lt;0,"negative_discount",""), IF(AND(T800&gt;0.5,T800&lt;=1),"high_discount",""), IF(K800="Unknown","missing_region",""), IF(Q800="Unknown","missing_ship_mode","")))</f>
        <v>CLEAN</v>
      </c>
      <c r="AE800" t="str">
        <f>IF(COUNTIF($AF$2:$AF$926,AF800)&gt;1,"DUPLICATE","UNIQUE")</f>
        <v>UNIQUE</v>
      </c>
      <c r="AF800" t="str">
        <f>A800&amp;"|"&amp;B800&amp;"|"&amp;H800&amp;"|"&amp;I800&amp;"|"&amp;R800&amp;"|"&amp;S800&amp;"|"&amp;V800</f>
        <v>ORD-2025-10799|2025-07-11|CUST-7553|Aditi Sen|9|1706.05|15354.45</v>
      </c>
      <c r="AG800" t="str">
        <f>IF(COUNTIF($A$2:$A$913,A800)&gt;1,"TRUE","FALSE")</f>
        <v>FALSE</v>
      </c>
    </row>
    <row r="801" spans="1:33">
      <c r="A801" t="s">
        <v>2408</v>
      </c>
      <c r="B801" t="s">
        <v>2687</v>
      </c>
      <c r="C801" t="s">
        <v>1646</v>
      </c>
      <c r="D801">
        <f>IF(OR(B801="", C801=""), "", (C801 - B801))</f>
        <v>7</v>
      </c>
      <c r="E801" t="str">
        <f>IF(C801&lt;B801, "INVALID: Ship date before order date", "")</f>
        <v/>
      </c>
      <c r="F801" t="str">
        <f>IF(B801="", "", TEXT(B801, "mmmm"))</f>
        <v>October</v>
      </c>
      <c r="G801">
        <f>IF(B801="", "", YEAR(B801))</f>
        <v>2024</v>
      </c>
      <c r="H801" t="s">
        <v>2409</v>
      </c>
      <c r="I801" t="s">
        <v>46</v>
      </c>
      <c r="J801" t="s">
        <v>93</v>
      </c>
      <c r="K801" t="s">
        <v>24</v>
      </c>
      <c r="L801" t="s">
        <v>234</v>
      </c>
      <c r="M801" t="s">
        <v>235</v>
      </c>
      <c r="N801" t="s">
        <v>74</v>
      </c>
      <c r="O801" t="s">
        <v>75</v>
      </c>
      <c r="P801" t="s">
        <v>2410</v>
      </c>
      <c r="Q801" t="s">
        <v>2970</v>
      </c>
      <c r="R801">
        <v>5</v>
      </c>
      <c r="S801" s="15">
        <v>967.41</v>
      </c>
      <c r="T801" s="4">
        <v>0.05</v>
      </c>
      <c r="U801" s="3" t="str">
        <f>IF(T801&lt;0, "negative_discount", IF(AND(T801&gt;0.5, T801&lt;=1), "high_discount", ""))</f>
        <v/>
      </c>
      <c r="V801" s="11">
        <v>4595.2</v>
      </c>
      <c r="W801" s="12">
        <v>4595.2</v>
      </c>
      <c r="X801" s="11">
        <v>3887.41</v>
      </c>
      <c r="Y801" s="11">
        <v>707.79</v>
      </c>
      <c r="Z801" s="11">
        <f>ROUND(W801-X801,2)</f>
        <v>707.79</v>
      </c>
      <c r="AA801" s="4">
        <f>IF(W801=0,0,Z801/W801)</f>
        <v>0.15402811629526461</v>
      </c>
      <c r="AB801" t="s">
        <v>31</v>
      </c>
      <c r="AC801" t="s">
        <v>100</v>
      </c>
      <c r="AD801" t="str">
        <f>IF(AND(E801="", T801&gt;=0, T801&lt;=0.5, K801&lt;&gt;"Unknown", Q801&lt;&gt;"Unknown"), "CLEAN", _xlfn.CONCAT("WARNING: ", IF(E801&lt;&gt;"","invalid_date",""), IF(T801&lt;0,"negative_discount",""), IF(AND(T801&gt;0.5,T801&lt;=1),"high_discount",""), IF(K801="Unknown","missing_region",""), IF(Q801="Unknown","missing_ship_mode","")))</f>
        <v>WARNING: missing_ship_mode</v>
      </c>
      <c r="AE801" t="str">
        <f>IF(COUNTIF($AF$2:$AF$926,AF801)&gt;1,"DUPLICATE","UNIQUE")</f>
        <v>UNIQUE</v>
      </c>
      <c r="AF801" t="str">
        <f>A801&amp;"|"&amp;B801&amp;"|"&amp;H801&amp;"|"&amp;I801&amp;"|"&amp;R801&amp;"|"&amp;S801&amp;"|"&amp;V801</f>
        <v>ORD-2024-10800|2024-10-10|CUST-8527|Isha Nair|5|967.41|4595.2</v>
      </c>
      <c r="AG801" t="str">
        <f>IF(COUNTIF($A$2:$A$913,A801)&gt;1,"TRUE","FALSE")</f>
        <v>FALSE</v>
      </c>
    </row>
    <row r="802" spans="1:33">
      <c r="A802" t="s">
        <v>2411</v>
      </c>
      <c r="B802" t="s">
        <v>2882</v>
      </c>
      <c r="C802" t="s">
        <v>2412</v>
      </c>
      <c r="D802">
        <f>IF(OR(B802="", C802=""), "", (C802 - B802))</f>
        <v>6</v>
      </c>
      <c r="E802" t="str">
        <f>IF(C802&lt;B802, "INVALID: Ship date before order date", "")</f>
        <v/>
      </c>
      <c r="F802" t="str">
        <f>IF(B802="", "", TEXT(B802, "mmmm"))</f>
        <v>March</v>
      </c>
      <c r="G802">
        <f>IF(B802="", "", YEAR(B802))</f>
        <v>2024</v>
      </c>
      <c r="H802" t="s">
        <v>2413</v>
      </c>
      <c r="I802" t="s">
        <v>71</v>
      </c>
      <c r="J802" t="s">
        <v>36</v>
      </c>
      <c r="K802" t="s">
        <v>62</v>
      </c>
      <c r="L802" t="s">
        <v>63</v>
      </c>
      <c r="M802" t="s">
        <v>64</v>
      </c>
      <c r="N802" t="s">
        <v>27</v>
      </c>
      <c r="O802" t="s">
        <v>122</v>
      </c>
      <c r="P802" t="s">
        <v>2414</v>
      </c>
      <c r="Q802" t="s">
        <v>30</v>
      </c>
      <c r="R802">
        <v>6</v>
      </c>
      <c r="S802" s="15">
        <v>4163.72</v>
      </c>
      <c r="T802" s="4">
        <v>0.15</v>
      </c>
      <c r="U802" s="3" t="str">
        <f>IF(T802&lt;0, "negative_discount", IF(AND(T802&gt;0.5, T802&lt;=1), "high_discount", ""))</f>
        <v/>
      </c>
      <c r="V802" s="11">
        <v>21234.97</v>
      </c>
      <c r="W802" s="12">
        <v>21234.97</v>
      </c>
      <c r="X802" s="11">
        <v>16736.09</v>
      </c>
      <c r="Y802" s="11">
        <v>4498.88</v>
      </c>
      <c r="Z802" s="11">
        <f>ROUND(W802-X802,2)</f>
        <v>4498.88</v>
      </c>
      <c r="AA802" s="4">
        <f>IF(W802=0,0,Z802/W802)</f>
        <v>0.21186184863929641</v>
      </c>
      <c r="AB802" t="s">
        <v>31</v>
      </c>
      <c r="AC802" t="s">
        <v>32</v>
      </c>
      <c r="AD802" t="str">
        <f>IF(AND(E802="", T802&gt;=0, T802&lt;=0.5, K802&lt;&gt;"Unknown", Q802&lt;&gt;"Unknown"), "CLEAN", _xlfn.CONCAT("WARNING: ", IF(E802&lt;&gt;"","invalid_date",""), IF(T802&lt;0,"negative_discount",""), IF(AND(T802&gt;0.5,T802&lt;=1),"high_discount",""), IF(K802="Unknown","missing_region",""), IF(Q802="Unknown","missing_ship_mode","")))</f>
        <v>CLEAN</v>
      </c>
      <c r="AE802" t="str">
        <f>IF(COUNTIF($AF$2:$AF$926,AF802)&gt;1,"DUPLICATE","UNIQUE")</f>
        <v>UNIQUE</v>
      </c>
      <c r="AF802" t="str">
        <f>A802&amp;"|"&amp;B802&amp;"|"&amp;H802&amp;"|"&amp;I802&amp;"|"&amp;R802&amp;"|"&amp;S802&amp;"|"&amp;V802</f>
        <v>ORD-2024-10801|2024-03-01|CUST-5015|Vikram Iyer|6|4163.72|21234.97</v>
      </c>
      <c r="AG802" t="str">
        <f>IF(COUNTIF($A$2:$A$913,A802)&gt;1,"TRUE","FALSE")</f>
        <v>FALSE</v>
      </c>
    </row>
    <row r="803" spans="1:33">
      <c r="A803" t="s">
        <v>3335</v>
      </c>
      <c r="B803" t="s">
        <v>2415</v>
      </c>
      <c r="C803" t="s">
        <v>2899</v>
      </c>
      <c r="D803">
        <f>IF(OR(B803="", C803=""), "", (C803 - B803))</f>
        <v>7</v>
      </c>
      <c r="E803" t="str">
        <f>IF(C803&lt;B803, "INVALID: Ship date before order date", "")</f>
        <v/>
      </c>
      <c r="F803" t="str">
        <f>IF(B803="", "", TEXT(B803, "mmmm"))</f>
        <v>October</v>
      </c>
      <c r="G803">
        <f>IF(B803="", "", YEAR(B803))</f>
        <v>2025</v>
      </c>
      <c r="H803" t="s">
        <v>2416</v>
      </c>
      <c r="I803" t="s">
        <v>126</v>
      </c>
      <c r="J803" t="s">
        <v>93</v>
      </c>
      <c r="K803" t="s">
        <v>37</v>
      </c>
      <c r="L803" t="s">
        <v>38</v>
      </c>
      <c r="M803" t="s">
        <v>39</v>
      </c>
      <c r="N803" t="s">
        <v>74</v>
      </c>
      <c r="O803" t="s">
        <v>75</v>
      </c>
      <c r="P803" t="s">
        <v>2417</v>
      </c>
      <c r="Q803" t="s">
        <v>30</v>
      </c>
      <c r="R803">
        <v>3</v>
      </c>
      <c r="S803" s="15">
        <v>3372.21</v>
      </c>
      <c r="T803" s="4">
        <v>0.2</v>
      </c>
      <c r="U803" s="3" t="str">
        <f>IF(T803&lt;0, "negative_discount", IF(AND(T803&gt;0.5, T803&lt;=1), "high_discount", ""))</f>
        <v/>
      </c>
      <c r="V803" s="11">
        <v>8093.3</v>
      </c>
      <c r="W803" s="12">
        <v>8093.3</v>
      </c>
      <c r="X803" s="11">
        <v>6052.43</v>
      </c>
      <c r="Y803" s="11">
        <v>2040.87</v>
      </c>
      <c r="Z803" s="11">
        <f>ROUND(W803-X803,2)</f>
        <v>2040.87</v>
      </c>
      <c r="AA803" s="4">
        <f>IF(W803=0,0,Z803/W803)</f>
        <v>0.252167842536419</v>
      </c>
      <c r="AB803" t="s">
        <v>109</v>
      </c>
      <c r="AC803" t="s">
        <v>67</v>
      </c>
      <c r="AD803" t="str">
        <f>IF(AND(E803="", T803&gt;=0, T803&lt;=0.5, K803&lt;&gt;"Unknown", Q803&lt;&gt;"Unknown"), "CLEAN", _xlfn.CONCAT("WARNING: ", IF(E803&lt;&gt;"","invalid_date",""), IF(T803&lt;0,"negative_discount",""), IF(AND(T803&gt;0.5,T803&lt;=1),"high_discount",""), IF(K803="Unknown","missing_region",""), IF(Q803="Unknown","missing_ship_mode","")))</f>
        <v>CLEAN</v>
      </c>
      <c r="AE803" t="str">
        <f>IF(COUNTIF($AF$2:$AF$926,AF803)&gt;1,"DUPLICATE","UNIQUE")</f>
        <v>UNIQUE</v>
      </c>
      <c r="AF803" t="str">
        <f>A803&amp;"|"&amp;B803&amp;"|"&amp;H803&amp;"|"&amp;I803&amp;"|"&amp;R803&amp;"|"&amp;S803&amp;"|"&amp;V803</f>
        <v>ORD-2025-10802|2025-10-08|CUST-3344|Aarav Sharma|3|3372.21|8093.3</v>
      </c>
      <c r="AG803" t="str">
        <f>IF(COUNTIF($A$2:$A$913,A803)&gt;1,"TRUE","FALSE")</f>
        <v>FALSE</v>
      </c>
    </row>
    <row r="804" spans="1:33">
      <c r="A804" t="s">
        <v>3336</v>
      </c>
      <c r="B804" t="s">
        <v>2418</v>
      </c>
      <c r="C804" t="s">
        <v>2418</v>
      </c>
      <c r="D804">
        <f>IF(OR(B804="", C804=""), "", (C804 - B804))</f>
        <v>0</v>
      </c>
      <c r="E804" t="str">
        <f>IF(C804&lt;B804, "INVALID: Ship date before order date", "")</f>
        <v/>
      </c>
      <c r="F804" t="str">
        <f>IF(B804="", "", TEXT(B804, "mmmm"))</f>
        <v>February</v>
      </c>
      <c r="G804">
        <f>IF(B804="", "", YEAR(B804))</f>
        <v>2025</v>
      </c>
      <c r="H804" t="s">
        <v>2419</v>
      </c>
      <c r="I804" t="s">
        <v>139</v>
      </c>
      <c r="J804" t="s">
        <v>36</v>
      </c>
      <c r="K804" t="s">
        <v>37</v>
      </c>
      <c r="L804" t="s">
        <v>163</v>
      </c>
      <c r="M804" t="s">
        <v>164</v>
      </c>
      <c r="N804" t="s">
        <v>40</v>
      </c>
      <c r="O804" t="s">
        <v>56</v>
      </c>
      <c r="P804" t="s">
        <v>2420</v>
      </c>
      <c r="Q804" t="s">
        <v>30</v>
      </c>
      <c r="R804">
        <v>6</v>
      </c>
      <c r="S804" s="15">
        <v>1441.91</v>
      </c>
      <c r="T804" s="4">
        <v>0</v>
      </c>
      <c r="U804" s="3" t="str">
        <f>IF(T804&lt;0, "negative_discount", IF(AND(T804&gt;0.5, T804&lt;=1), "high_discount", ""))</f>
        <v/>
      </c>
      <c r="V804" s="11">
        <v>8651.4599999999991</v>
      </c>
      <c r="W804" s="12">
        <v>8651.4599999999991</v>
      </c>
      <c r="X804" s="11">
        <v>5254.62</v>
      </c>
      <c r="Y804" s="11">
        <v>3396.84</v>
      </c>
      <c r="Z804" s="11">
        <f>ROUND(W804-X804,2)</f>
        <v>3396.84</v>
      </c>
      <c r="AA804" s="4">
        <f>IF(W804=0,0,Z804/W804)</f>
        <v>0.39263199506210517</v>
      </c>
      <c r="AB804" t="s">
        <v>151</v>
      </c>
      <c r="AC804" t="s">
        <v>100</v>
      </c>
      <c r="AD804" t="str">
        <f>IF(AND(E804="", T804&gt;=0, T804&lt;=0.5, K804&lt;&gt;"Unknown", Q804&lt;&gt;"Unknown"), "CLEAN", _xlfn.CONCAT("WARNING: ", IF(E804&lt;&gt;"","invalid_date",""), IF(T804&lt;0,"negative_discount",""), IF(AND(T804&gt;0.5,T804&lt;=1),"high_discount",""), IF(K804="Unknown","missing_region",""), IF(Q804="Unknown","missing_ship_mode","")))</f>
        <v>CLEAN</v>
      </c>
      <c r="AE804" t="str">
        <f>IF(COUNTIF($AF$2:$AF$926,AF804)&gt;1,"DUPLICATE","UNIQUE")</f>
        <v>UNIQUE</v>
      </c>
      <c r="AF804" t="str">
        <f>A804&amp;"|"&amp;B804&amp;"|"&amp;H804&amp;"|"&amp;I804&amp;"|"&amp;R804&amp;"|"&amp;S804&amp;"|"&amp;V804</f>
        <v>ORD-2025-10803|2025-02-16|CUST-5866|Rohan Mehta|6|1441.91|8651.46</v>
      </c>
      <c r="AG804" t="str">
        <f>IF(COUNTIF($A$2:$A$913,A804)&gt;1,"TRUE","FALSE")</f>
        <v>FALSE</v>
      </c>
    </row>
    <row r="805" spans="1:33">
      <c r="A805" t="s">
        <v>2421</v>
      </c>
      <c r="B805" t="s">
        <v>684</v>
      </c>
      <c r="C805" t="s">
        <v>513</v>
      </c>
      <c r="D805">
        <f>IF(OR(B805="", C805=""), "", (C805 - B805))</f>
        <v>4</v>
      </c>
      <c r="E805" t="str">
        <f>IF(C805&lt;B805, "INVALID: Ship date before order date", "")</f>
        <v/>
      </c>
      <c r="F805" t="str">
        <f>IF(B805="", "", TEXT(B805, "mmmm"))</f>
        <v>December</v>
      </c>
      <c r="G805">
        <f>IF(B805="", "", YEAR(B805))</f>
        <v>2024</v>
      </c>
      <c r="H805" t="s">
        <v>2422</v>
      </c>
      <c r="I805" t="s">
        <v>139</v>
      </c>
      <c r="J805" t="s">
        <v>23</v>
      </c>
      <c r="K805" t="s">
        <v>2970</v>
      </c>
      <c r="L805" t="s">
        <v>226</v>
      </c>
      <c r="M805" t="s">
        <v>227</v>
      </c>
      <c r="N805" t="s">
        <v>27</v>
      </c>
      <c r="O805" t="s">
        <v>90</v>
      </c>
      <c r="P805" t="s">
        <v>2423</v>
      </c>
      <c r="Q805" t="s">
        <v>49</v>
      </c>
      <c r="R805">
        <v>1</v>
      </c>
      <c r="S805" s="15">
        <v>4306.6499999999996</v>
      </c>
      <c r="T805" s="4">
        <v>0</v>
      </c>
      <c r="U805" s="3" t="str">
        <f>IF(T805&lt;0, "negative_discount", IF(AND(T805&gt;0.5, T805&lt;=1), "high_discount", ""))</f>
        <v/>
      </c>
      <c r="V805" s="11">
        <v>4306.6499999999996</v>
      </c>
      <c r="W805" s="12">
        <v>4306.6499999999996</v>
      </c>
      <c r="X805" s="11">
        <v>2568.8200000000002</v>
      </c>
      <c r="Y805" s="11">
        <v>1737.83</v>
      </c>
      <c r="Z805" s="11">
        <f>ROUND(W805-X805,2)</f>
        <v>1737.83</v>
      </c>
      <c r="AA805" s="4">
        <f>IF(W805=0,0,Z805/W805)</f>
        <v>0.40352245945224247</v>
      </c>
      <c r="AB805" t="s">
        <v>31</v>
      </c>
      <c r="AC805" t="s">
        <v>32</v>
      </c>
      <c r="AD805" t="str">
        <f>IF(AND(E805="", T805&gt;=0, T805&lt;=0.5, K805&lt;&gt;"Unknown", Q805&lt;&gt;"Unknown"), "CLEAN", _xlfn.CONCAT("WARNING: ", IF(E805&lt;&gt;"","invalid_date",""), IF(T805&lt;0,"negative_discount",""), IF(AND(T805&gt;0.5,T805&lt;=1),"high_discount",""), IF(K805="Unknown","missing_region",""), IF(Q805="Unknown","missing_ship_mode","")))</f>
        <v>WARNING: missing_region</v>
      </c>
      <c r="AE805" t="str">
        <f>IF(COUNTIF($AF$2:$AF$926,AF805)&gt;1,"DUPLICATE","UNIQUE")</f>
        <v>UNIQUE</v>
      </c>
      <c r="AF805" t="str">
        <f>A805&amp;"|"&amp;B805&amp;"|"&amp;H805&amp;"|"&amp;I805&amp;"|"&amp;R805&amp;"|"&amp;S805&amp;"|"&amp;V805</f>
        <v>ORD-2024-10804|2024-12-09|CUST-7180|Rohan Mehta|1|4306.65|4306.65</v>
      </c>
      <c r="AG805" t="str">
        <f>IF(COUNTIF($A$2:$A$913,A805)&gt;1,"TRUE","FALSE")</f>
        <v>FALSE</v>
      </c>
    </row>
    <row r="806" spans="1:33">
      <c r="A806" t="s">
        <v>3337</v>
      </c>
      <c r="B806" t="s">
        <v>2883</v>
      </c>
      <c r="C806" t="s">
        <v>2806</v>
      </c>
      <c r="D806">
        <f>IF(OR(B806="", C806=""), "", (C806 - B806))</f>
        <v>-21</v>
      </c>
      <c r="E806" t="str">
        <f>IF(C806&lt;B806, "INVALID: Ship date before order date", "")</f>
        <v>INVALID: Ship date before order date</v>
      </c>
      <c r="F806" t="str">
        <f>IF(B806="", "", TEXT(B806, "mmmm"))</f>
        <v>October</v>
      </c>
      <c r="G806">
        <f>IF(B806="", "", YEAR(B806))</f>
        <v>2025</v>
      </c>
      <c r="H806" t="s">
        <v>2424</v>
      </c>
      <c r="I806" t="s">
        <v>116</v>
      </c>
      <c r="J806" t="s">
        <v>93</v>
      </c>
      <c r="K806" t="s">
        <v>53</v>
      </c>
      <c r="L806" t="s">
        <v>54</v>
      </c>
      <c r="M806" t="s">
        <v>55</v>
      </c>
      <c r="N806" t="s">
        <v>40</v>
      </c>
      <c r="O806" t="s">
        <v>56</v>
      </c>
      <c r="P806" t="s">
        <v>2425</v>
      </c>
      <c r="Q806" t="s">
        <v>58</v>
      </c>
      <c r="R806">
        <v>1</v>
      </c>
      <c r="S806" s="15">
        <v>2050.62</v>
      </c>
      <c r="T806" s="4">
        <v>0.05</v>
      </c>
      <c r="U806" s="3" t="str">
        <f>IF(T806&lt;0, "negative_discount", IF(AND(T806&gt;0.5, T806&lt;=1), "high_discount", ""))</f>
        <v/>
      </c>
      <c r="V806" s="11">
        <v>1948.09</v>
      </c>
      <c r="W806" s="12">
        <v>1948.09</v>
      </c>
      <c r="X806" s="11">
        <v>1507.08</v>
      </c>
      <c r="Y806" s="11">
        <v>441.01</v>
      </c>
      <c r="Z806" s="11">
        <f>ROUND(W806-X806,2)</f>
        <v>441.01</v>
      </c>
      <c r="AA806" s="4">
        <f>IF(W806=0,0,Z806/W806)</f>
        <v>0.22638071136343804</v>
      </c>
      <c r="AB806" t="s">
        <v>31</v>
      </c>
      <c r="AC806" t="s">
        <v>32</v>
      </c>
      <c r="AD806" t="str">
        <f>IF(AND(E806="", T806&gt;=0, T806&lt;=0.5, K806&lt;&gt;"Unknown", Q806&lt;&gt;"Unknown"), "CLEAN", _xlfn.CONCAT("WARNING: ", IF(E806&lt;&gt;"","invalid_date",""), IF(T806&lt;0,"negative_discount",""), IF(AND(T806&gt;0.5,T806&lt;=1),"high_discount",""), IF(K806="Unknown","missing_region",""), IF(Q806="Unknown","missing_ship_mode","")))</f>
        <v>WARNING: invalid_date</v>
      </c>
      <c r="AE806" t="str">
        <f>IF(COUNTIF($AF$2:$AF$926,AF806)&gt;1,"DUPLICATE","UNIQUE")</f>
        <v>UNIQUE</v>
      </c>
      <c r="AF806" t="str">
        <f>A806&amp;"|"&amp;B806&amp;"|"&amp;H806&amp;"|"&amp;I806&amp;"|"&amp;R806&amp;"|"&amp;S806&amp;"|"&amp;V806</f>
        <v>ORD-2025-10805|2025-10-09|CUST-8745|Rahul Verma|1|2050.62|1948.09</v>
      </c>
      <c r="AG806" t="str">
        <f>IF(COUNTIF($A$2:$A$913,A806)&gt;1,"TRUE","FALSE")</f>
        <v>FALSE</v>
      </c>
    </row>
    <row r="807" spans="1:33">
      <c r="A807" t="s">
        <v>3338</v>
      </c>
      <c r="B807" t="s">
        <v>852</v>
      </c>
      <c r="C807" t="s">
        <v>1554</v>
      </c>
      <c r="D807">
        <f>IF(OR(B807="", C807=""), "", (C807 - B807))</f>
        <v>89</v>
      </c>
      <c r="E807" t="str">
        <f>IF(C807&lt;B807, "INVALID: Ship date before order date", "")</f>
        <v/>
      </c>
      <c r="F807" t="str">
        <f>IF(B807="", "", TEXT(B807, "mmmm"))</f>
        <v>April</v>
      </c>
      <c r="G807">
        <f>IF(B807="", "", YEAR(B807))</f>
        <v>2025</v>
      </c>
      <c r="H807" t="s">
        <v>2295</v>
      </c>
      <c r="I807" t="s">
        <v>112</v>
      </c>
      <c r="J807" t="s">
        <v>93</v>
      </c>
      <c r="K807" t="s">
        <v>37</v>
      </c>
      <c r="L807" t="s">
        <v>163</v>
      </c>
      <c r="M807" t="s">
        <v>164</v>
      </c>
      <c r="N807" t="s">
        <v>27</v>
      </c>
      <c r="O807" t="s">
        <v>149</v>
      </c>
      <c r="P807" t="s">
        <v>2426</v>
      </c>
      <c r="Q807" t="s">
        <v>30</v>
      </c>
      <c r="R807">
        <v>2</v>
      </c>
      <c r="S807" s="15">
        <v>2030.06</v>
      </c>
      <c r="T807" s="4">
        <v>0.25</v>
      </c>
      <c r="U807" s="3" t="str">
        <f>IF(T807&lt;0, "negative_discount", IF(AND(T807&gt;0.5, T807&lt;=1), "high_discount", ""))</f>
        <v/>
      </c>
      <c r="V807" s="11">
        <v>3045.09</v>
      </c>
      <c r="W807" s="12">
        <v>3045.09</v>
      </c>
      <c r="X807" s="11">
        <v>2601.09</v>
      </c>
      <c r="Y807" s="11">
        <v>444</v>
      </c>
      <c r="Z807" s="11">
        <f>ROUND(W807-X807,2)</f>
        <v>444</v>
      </c>
      <c r="AA807" s="4">
        <f>IF(W807=0,0,Z807/W807)</f>
        <v>0.14580849827098705</v>
      </c>
      <c r="AB807" t="s">
        <v>31</v>
      </c>
      <c r="AC807" t="s">
        <v>32</v>
      </c>
      <c r="AD807" t="str">
        <f>IF(AND(E807="", T807&gt;=0, T807&lt;=0.5, K807&lt;&gt;"Unknown", Q807&lt;&gt;"Unknown"), "CLEAN", _xlfn.CONCAT("WARNING: ", IF(E807&lt;&gt;"","invalid_date",""), IF(T807&lt;0,"negative_discount",""), IF(AND(T807&gt;0.5,T807&lt;=1),"high_discount",""), IF(K807="Unknown","missing_region",""), IF(Q807="Unknown","missing_ship_mode","")))</f>
        <v>CLEAN</v>
      </c>
      <c r="AE807" t="str">
        <f>IF(COUNTIF($AF$2:$AF$926,AF807)&gt;1,"DUPLICATE","UNIQUE")</f>
        <v>UNIQUE</v>
      </c>
      <c r="AF807" t="str">
        <f>A807&amp;"|"&amp;B807&amp;"|"&amp;H807&amp;"|"&amp;I807&amp;"|"&amp;R807&amp;"|"&amp;S807&amp;"|"&amp;V807</f>
        <v>ORD-2025-10806|2025-04-06|CUST-2098|Priya Menon|2|2030.06|3045.09</v>
      </c>
      <c r="AG807" t="str">
        <f>IF(COUNTIF($A$2:$A$913,A807)&gt;1,"TRUE","FALSE")</f>
        <v>FALSE</v>
      </c>
    </row>
    <row r="808" spans="1:33">
      <c r="A808" t="s">
        <v>2427</v>
      </c>
      <c r="B808" t="s">
        <v>2863</v>
      </c>
      <c r="C808" t="s">
        <v>2954</v>
      </c>
      <c r="D808">
        <f>IF(OR(B808="", C808=""), "", (C808 - B808))</f>
        <v>65</v>
      </c>
      <c r="E808" t="str">
        <f>IF(C808&lt;B808, "INVALID: Ship date before order date", "")</f>
        <v/>
      </c>
      <c r="F808" t="str">
        <f>IF(B808="", "", TEXT(B808, "mmmm"))</f>
        <v>September</v>
      </c>
      <c r="G808">
        <f>IF(B808="", "", YEAR(B808))</f>
        <v>2024</v>
      </c>
      <c r="H808" t="s">
        <v>2428</v>
      </c>
      <c r="I808" t="s">
        <v>46</v>
      </c>
      <c r="J808" t="s">
        <v>93</v>
      </c>
      <c r="K808" t="s">
        <v>24</v>
      </c>
      <c r="L808" t="s">
        <v>25</v>
      </c>
      <c r="M808" t="s">
        <v>26</v>
      </c>
      <c r="N808" t="s">
        <v>74</v>
      </c>
      <c r="O808" t="s">
        <v>79</v>
      </c>
      <c r="P808" t="s">
        <v>2429</v>
      </c>
      <c r="Q808" t="s">
        <v>58</v>
      </c>
      <c r="R808">
        <v>1</v>
      </c>
      <c r="S808" s="15">
        <v>3665.97</v>
      </c>
      <c r="T808" s="4">
        <v>0.2</v>
      </c>
      <c r="U808" s="3" t="str">
        <f>IF(T808&lt;0, "negative_discount", IF(AND(T808&gt;0.5, T808&lt;=1), "high_discount", ""))</f>
        <v/>
      </c>
      <c r="V808" s="11">
        <v>2932.78</v>
      </c>
      <c r="W808" s="12">
        <v>2932.78</v>
      </c>
      <c r="X808" s="11">
        <v>1900.35</v>
      </c>
      <c r="Y808" s="11">
        <v>1032.43</v>
      </c>
      <c r="Z808" s="11">
        <f>ROUND(W808-X808,2)</f>
        <v>1032.43</v>
      </c>
      <c r="AA808" s="4">
        <f>IF(W808=0,0,Z808/W808)</f>
        <v>0.3520311786086921</v>
      </c>
      <c r="AB808" t="s">
        <v>151</v>
      </c>
      <c r="AC808" t="s">
        <v>67</v>
      </c>
      <c r="AD808" t="str">
        <f>IF(AND(E808="", T808&gt;=0, T808&lt;=0.5, K808&lt;&gt;"Unknown", Q808&lt;&gt;"Unknown"), "CLEAN", _xlfn.CONCAT("WARNING: ", IF(E808&lt;&gt;"","invalid_date",""), IF(T808&lt;0,"negative_discount",""), IF(AND(T808&gt;0.5,T808&lt;=1),"high_discount",""), IF(K808="Unknown","missing_region",""), IF(Q808="Unknown","missing_ship_mode","")))</f>
        <v>CLEAN</v>
      </c>
      <c r="AE808" t="str">
        <f>IF(COUNTIF($AF$2:$AF$926,AF808)&gt;1,"DUPLICATE","UNIQUE")</f>
        <v>UNIQUE</v>
      </c>
      <c r="AF808" t="str">
        <f>A808&amp;"|"&amp;B808&amp;"|"&amp;H808&amp;"|"&amp;I808&amp;"|"&amp;R808&amp;"|"&amp;S808&amp;"|"&amp;V808</f>
        <v>ORD-2024-10807|2024-09-11|CUST-3704|Isha Nair|1|3665.97|2932.78</v>
      </c>
      <c r="AG808" t="str">
        <f>IF(COUNTIF($A$2:$A$913,A808)&gt;1,"TRUE","FALSE")</f>
        <v>FALSE</v>
      </c>
    </row>
    <row r="809" spans="1:33">
      <c r="A809" t="s">
        <v>3339</v>
      </c>
      <c r="B809" t="s">
        <v>826</v>
      </c>
      <c r="C809" t="s">
        <v>1455</v>
      </c>
      <c r="D809">
        <f>IF(OR(B809="", C809=""), "", (C809 - B809))</f>
        <v>1</v>
      </c>
      <c r="E809" t="str">
        <f>IF(C809&lt;B809, "INVALID: Ship date before order date", "")</f>
        <v/>
      </c>
      <c r="F809" t="str">
        <f>IF(B809="", "", TEXT(B809, "mmmm"))</f>
        <v>February</v>
      </c>
      <c r="G809">
        <f>IF(B809="", "", YEAR(B809))</f>
        <v>2025</v>
      </c>
      <c r="H809" t="s">
        <v>2430</v>
      </c>
      <c r="I809" t="s">
        <v>22</v>
      </c>
      <c r="J809" t="s">
        <v>36</v>
      </c>
      <c r="K809" t="s">
        <v>53</v>
      </c>
      <c r="L809" t="s">
        <v>54</v>
      </c>
      <c r="M809" t="s">
        <v>55</v>
      </c>
      <c r="N809" t="s">
        <v>27</v>
      </c>
      <c r="O809" t="s">
        <v>90</v>
      </c>
      <c r="P809" t="s">
        <v>2431</v>
      </c>
      <c r="Q809" t="s">
        <v>58</v>
      </c>
      <c r="R809">
        <v>2</v>
      </c>
      <c r="S809" s="15">
        <v>2432.98</v>
      </c>
      <c r="T809" s="4">
        <v>0.1</v>
      </c>
      <c r="U809" s="3" t="str">
        <f>IF(T809&lt;0, "negative_discount", IF(AND(T809&gt;0.5, T809&lt;=1), "high_discount", ""))</f>
        <v/>
      </c>
      <c r="V809" s="11">
        <v>4379.3599999999997</v>
      </c>
      <c r="W809" s="12">
        <v>4379.3599999999997</v>
      </c>
      <c r="X809" s="11">
        <v>3723.93</v>
      </c>
      <c r="Y809" s="11">
        <v>655.43</v>
      </c>
      <c r="Z809" s="11">
        <f>ROUND(W809-X809,2)</f>
        <v>655.43</v>
      </c>
      <c r="AA809" s="4">
        <f>IF(W809=0,0,Z809/W809)</f>
        <v>0.1496634211391619</v>
      </c>
      <c r="AB809" t="s">
        <v>31</v>
      </c>
      <c r="AC809" t="s">
        <v>32</v>
      </c>
      <c r="AD809" t="str">
        <f>IF(AND(E809="", T809&gt;=0, T809&lt;=0.5, K809&lt;&gt;"Unknown", Q809&lt;&gt;"Unknown"), "CLEAN", _xlfn.CONCAT("WARNING: ", IF(E809&lt;&gt;"","invalid_date",""), IF(T809&lt;0,"negative_discount",""), IF(AND(T809&gt;0.5,T809&lt;=1),"high_discount",""), IF(K809="Unknown","missing_region",""), IF(Q809="Unknown","missing_ship_mode","")))</f>
        <v>CLEAN</v>
      </c>
      <c r="AE809" t="str">
        <f>IF(COUNTIF($AF$2:$AF$926,AF809)&gt;1,"DUPLICATE","UNIQUE")</f>
        <v>UNIQUE</v>
      </c>
      <c r="AF809" t="str">
        <f>A809&amp;"|"&amp;B809&amp;"|"&amp;H809&amp;"|"&amp;I809&amp;"|"&amp;R809&amp;"|"&amp;S809&amp;"|"&amp;V809</f>
        <v>ORD-2025-10808|2025-02-07|CUST-5884|Karan Malhotra|2|2432.98|4379.36</v>
      </c>
      <c r="AG809" t="str">
        <f>IF(COUNTIF($A$2:$A$913,A809)&gt;1,"TRUE","FALSE")</f>
        <v>FALSE</v>
      </c>
    </row>
    <row r="810" spans="1:33">
      <c r="A810" t="s">
        <v>3340</v>
      </c>
      <c r="B810" t="s">
        <v>2432</v>
      </c>
      <c r="C810" t="s">
        <v>1308</v>
      </c>
      <c r="D810">
        <f>IF(OR(B810="", C810=""), "", (C810 - B810))</f>
        <v>-3</v>
      </c>
      <c r="E810" t="str">
        <f>IF(C810&lt;B810, "INVALID: Ship date before order date", "")</f>
        <v>INVALID: Ship date before order date</v>
      </c>
      <c r="F810" t="str">
        <f>IF(B810="", "", TEXT(B810, "mmmm"))</f>
        <v>August</v>
      </c>
      <c r="G810">
        <f>IF(B810="", "", YEAR(B810))</f>
        <v>2025</v>
      </c>
      <c r="H810" t="s">
        <v>2433</v>
      </c>
      <c r="I810" t="s">
        <v>126</v>
      </c>
      <c r="J810" t="s">
        <v>36</v>
      </c>
      <c r="K810" t="s">
        <v>53</v>
      </c>
      <c r="L810" t="s">
        <v>246</v>
      </c>
      <c r="M810" t="s">
        <v>247</v>
      </c>
      <c r="N810" t="s">
        <v>40</v>
      </c>
      <c r="O810" t="s">
        <v>56</v>
      </c>
      <c r="P810" t="s">
        <v>2434</v>
      </c>
      <c r="Q810" t="s">
        <v>49</v>
      </c>
      <c r="R810">
        <v>7</v>
      </c>
      <c r="S810" s="15">
        <v>977.28</v>
      </c>
      <c r="T810" s="4">
        <v>0.2</v>
      </c>
      <c r="U810" s="3" t="str">
        <f>IF(T810&lt;0, "negative_discount", IF(AND(T810&gt;0.5, T810&lt;=1), "high_discount", ""))</f>
        <v/>
      </c>
      <c r="V810" s="11">
        <v>5472.77</v>
      </c>
      <c r="W810" s="12">
        <v>5472.77</v>
      </c>
      <c r="X810" s="11">
        <v>4477.33</v>
      </c>
      <c r="Y810" s="11">
        <v>995.44</v>
      </c>
      <c r="Z810" s="11">
        <f>ROUND(W810-X810,2)</f>
        <v>995.44</v>
      </c>
      <c r="AA810" s="4">
        <f>IF(W810=0,0,Z810/W810)</f>
        <v>0.18188960983194982</v>
      </c>
      <c r="AB810" t="s">
        <v>31</v>
      </c>
      <c r="AC810" t="s">
        <v>32</v>
      </c>
      <c r="AD810" t="str">
        <f>IF(AND(E810="", T810&gt;=0, T810&lt;=0.5, K810&lt;&gt;"Unknown", Q810&lt;&gt;"Unknown"), "CLEAN", _xlfn.CONCAT("WARNING: ", IF(E810&lt;&gt;"","invalid_date",""), IF(T810&lt;0,"negative_discount",""), IF(AND(T810&gt;0.5,T810&lt;=1),"high_discount",""), IF(K810="Unknown","missing_region",""), IF(Q810="Unknown","missing_ship_mode","")))</f>
        <v>WARNING: invalid_date</v>
      </c>
      <c r="AE810" t="str">
        <f>IF(COUNTIF($AF$2:$AF$926,AF810)&gt;1,"DUPLICATE","UNIQUE")</f>
        <v>UNIQUE</v>
      </c>
      <c r="AF810" t="str">
        <f>A810&amp;"|"&amp;B810&amp;"|"&amp;H810&amp;"|"&amp;I810&amp;"|"&amp;R810&amp;"|"&amp;S810&amp;"|"&amp;V810</f>
        <v>ORD-2025-10809|2025-08-31|CUST-7503|Aarav Sharma|7|977.28|5472.77</v>
      </c>
      <c r="AG810" t="str">
        <f>IF(COUNTIF($A$2:$A$913,A810)&gt;1,"TRUE","FALSE")</f>
        <v>FALSE</v>
      </c>
    </row>
    <row r="811" spans="1:33">
      <c r="A811" t="s">
        <v>3341</v>
      </c>
      <c r="B811" t="s">
        <v>1823</v>
      </c>
      <c r="C811" t="s">
        <v>1823</v>
      </c>
      <c r="D811">
        <f>IF(OR(B811="", C811=""), "", (C811 - B811))</f>
        <v>0</v>
      </c>
      <c r="E811" t="str">
        <f>IF(C811&lt;B811, "INVALID: Ship date before order date", "")</f>
        <v/>
      </c>
      <c r="F811" t="str">
        <f>IF(B811="", "", TEXT(B811, "mmmm"))</f>
        <v>June</v>
      </c>
      <c r="G811">
        <f>IF(B811="", "", YEAR(B811))</f>
        <v>2025</v>
      </c>
      <c r="H811" t="s">
        <v>2435</v>
      </c>
      <c r="I811" t="s">
        <v>52</v>
      </c>
      <c r="J811" t="s">
        <v>36</v>
      </c>
      <c r="K811" t="s">
        <v>2970</v>
      </c>
      <c r="L811" t="s">
        <v>120</v>
      </c>
      <c r="M811" t="s">
        <v>121</v>
      </c>
      <c r="N811" t="s">
        <v>27</v>
      </c>
      <c r="O811" t="s">
        <v>149</v>
      </c>
      <c r="P811" t="s">
        <v>2436</v>
      </c>
      <c r="Q811" t="s">
        <v>30</v>
      </c>
      <c r="R811">
        <v>6</v>
      </c>
      <c r="S811" s="15">
        <v>1366.13</v>
      </c>
      <c r="T811" s="4">
        <v>0.1</v>
      </c>
      <c r="U811" s="3" t="str">
        <f>IF(T811&lt;0, "negative_discount", IF(AND(T811&gt;0.5, T811&lt;=1), "high_discount", ""))</f>
        <v/>
      </c>
      <c r="V811" s="11">
        <v>7377.1</v>
      </c>
      <c r="W811" s="12">
        <v>7377.1</v>
      </c>
      <c r="X811" s="11">
        <v>5085.21</v>
      </c>
      <c r="Y811" s="11">
        <v>2291.89</v>
      </c>
      <c r="Z811" s="11">
        <f>ROUND(W811-X811,2)</f>
        <v>2291.89</v>
      </c>
      <c r="AA811" s="4">
        <f>IF(W811=0,0,Z811/W811)</f>
        <v>0.31067628200783504</v>
      </c>
      <c r="AB811" t="s">
        <v>31</v>
      </c>
      <c r="AC811" t="s">
        <v>32</v>
      </c>
      <c r="AD811" t="str">
        <f>IF(AND(E811="", T811&gt;=0, T811&lt;=0.5, K811&lt;&gt;"Unknown", Q811&lt;&gt;"Unknown"), "CLEAN", _xlfn.CONCAT("WARNING: ", IF(E811&lt;&gt;"","invalid_date",""), IF(T811&lt;0,"negative_discount",""), IF(AND(T811&gt;0.5,T811&lt;=1),"high_discount",""), IF(K811="Unknown","missing_region",""), IF(Q811="Unknown","missing_ship_mode","")))</f>
        <v>WARNING: missing_region</v>
      </c>
      <c r="AE811" t="str">
        <f>IF(COUNTIF($AF$2:$AF$926,AF811)&gt;1,"DUPLICATE","UNIQUE")</f>
        <v>UNIQUE</v>
      </c>
      <c r="AF811" t="str">
        <f>A811&amp;"|"&amp;B811&amp;"|"&amp;H811&amp;"|"&amp;I811&amp;"|"&amp;R811&amp;"|"&amp;S811&amp;"|"&amp;V811</f>
        <v>ORD-2025-10810|2025-06-25|CUST-6973|Arjun Bose|6|1366.13|7377.1</v>
      </c>
      <c r="AG811" t="str">
        <f>IF(COUNTIF($A$2:$A$913,A811)&gt;1,"TRUE","FALSE")</f>
        <v>FALSE</v>
      </c>
    </row>
    <row r="812" spans="1:33">
      <c r="A812" t="s">
        <v>2437</v>
      </c>
      <c r="B812" t="s">
        <v>1639</v>
      </c>
      <c r="C812" t="s">
        <v>2841</v>
      </c>
      <c r="D812">
        <f>IF(OR(B812="", C812=""), "", (C812 - B812))</f>
        <v>123</v>
      </c>
      <c r="E812" t="str">
        <f>IF(C812&lt;B812, "INVALID: Ship date before order date", "")</f>
        <v/>
      </c>
      <c r="F812" t="str">
        <f>IF(B812="", "", TEXT(B812, "mmmm"))</f>
        <v>April</v>
      </c>
      <c r="G812">
        <f>IF(B812="", "", YEAR(B812))</f>
        <v>2024</v>
      </c>
      <c r="H812" t="s">
        <v>1640</v>
      </c>
      <c r="I812" t="s">
        <v>263</v>
      </c>
      <c r="J812" t="s">
        <v>93</v>
      </c>
      <c r="K812" t="s">
        <v>62</v>
      </c>
      <c r="L812" t="s">
        <v>176</v>
      </c>
      <c r="M812" t="s">
        <v>177</v>
      </c>
      <c r="N812" t="s">
        <v>74</v>
      </c>
      <c r="O812" t="s">
        <v>79</v>
      </c>
      <c r="P812" t="s">
        <v>2438</v>
      </c>
      <c r="Q812" t="s">
        <v>49</v>
      </c>
      <c r="R812">
        <v>1</v>
      </c>
      <c r="S812" s="15">
        <v>3151.85</v>
      </c>
      <c r="T812" s="4">
        <v>0.25</v>
      </c>
      <c r="U812" s="3" t="str">
        <f>IF(T812&lt;0, "negative_discount", IF(AND(T812&gt;0.5, T812&lt;=1), "high_discount", ""))</f>
        <v/>
      </c>
      <c r="V812" s="11">
        <v>2363.89</v>
      </c>
      <c r="W812" s="12">
        <v>2363.89</v>
      </c>
      <c r="X812" s="11">
        <v>1471.51</v>
      </c>
      <c r="Y812" s="11">
        <v>892.38</v>
      </c>
      <c r="Z812" s="11">
        <f>ROUND(W812-X812,2)</f>
        <v>892.38</v>
      </c>
      <c r="AA812" s="4">
        <f>IF(W812=0,0,Z812/W812)</f>
        <v>0.37750487543836642</v>
      </c>
      <c r="AB812" t="s">
        <v>31</v>
      </c>
      <c r="AC812" t="s">
        <v>32</v>
      </c>
      <c r="AD812" t="str">
        <f>IF(AND(E812="", T812&gt;=0, T812&lt;=0.5, K812&lt;&gt;"Unknown", Q812&lt;&gt;"Unknown"), "CLEAN", _xlfn.CONCAT("WARNING: ", IF(E812&lt;&gt;"","invalid_date",""), IF(T812&lt;0,"negative_discount",""), IF(AND(T812&gt;0.5,T812&lt;=1),"high_discount",""), IF(K812="Unknown","missing_region",""), IF(Q812="Unknown","missing_ship_mode","")))</f>
        <v>CLEAN</v>
      </c>
      <c r="AE812" t="str">
        <f>IF(COUNTIF($AF$2:$AF$926,AF812)&gt;1,"DUPLICATE","UNIQUE")</f>
        <v>UNIQUE</v>
      </c>
      <c r="AF812" t="str">
        <f>A812&amp;"|"&amp;B812&amp;"|"&amp;H812&amp;"|"&amp;I812&amp;"|"&amp;R812&amp;"|"&amp;S812&amp;"|"&amp;V812</f>
        <v>ORD-2024-10811|2024-04-03|CUST-4653|Kabir Singh|1|3151.85|2363.89</v>
      </c>
      <c r="AG812" t="str">
        <f>IF(COUNTIF($A$2:$A$913,A812)&gt;1,"TRUE","FALSE")</f>
        <v>FALSE</v>
      </c>
    </row>
    <row r="813" spans="1:33">
      <c r="A813" t="s">
        <v>2439</v>
      </c>
      <c r="B813" t="s">
        <v>2884</v>
      </c>
      <c r="C813" t="s">
        <v>2955</v>
      </c>
      <c r="D813">
        <f>IF(OR(B813="", C813=""), "", (C813 - B813))</f>
        <v>7</v>
      </c>
      <c r="E813" t="str">
        <f>IF(C813&lt;B813, "INVALID: Ship date before order date", "")</f>
        <v/>
      </c>
      <c r="F813" t="str">
        <f>IF(B813="", "", TEXT(B813, "mmmm"))</f>
        <v>December</v>
      </c>
      <c r="G813">
        <f>IF(B813="", "", YEAR(B813))</f>
        <v>2024</v>
      </c>
      <c r="H813" t="s">
        <v>2440</v>
      </c>
      <c r="I813" t="s">
        <v>139</v>
      </c>
      <c r="J813" t="s">
        <v>93</v>
      </c>
      <c r="K813" t="s">
        <v>24</v>
      </c>
      <c r="L813" t="s">
        <v>234</v>
      </c>
      <c r="M813" t="s">
        <v>235</v>
      </c>
      <c r="N813" t="s">
        <v>74</v>
      </c>
      <c r="O813" t="s">
        <v>75</v>
      </c>
      <c r="P813" t="s">
        <v>2441</v>
      </c>
      <c r="Q813" t="s">
        <v>49</v>
      </c>
      <c r="R813">
        <v>2</v>
      </c>
      <c r="S813" s="15">
        <v>1610.75</v>
      </c>
      <c r="T813" s="4">
        <v>0.2</v>
      </c>
      <c r="U813" s="3" t="str">
        <f>IF(T813&lt;0, "negative_discount", IF(AND(T813&gt;0.5, T813&lt;=1), "high_discount", ""))</f>
        <v/>
      </c>
      <c r="V813" s="11">
        <v>2577.1999999999998</v>
      </c>
      <c r="W813" s="12">
        <v>2577.1999999999998</v>
      </c>
      <c r="X813" s="11">
        <v>1475.87</v>
      </c>
      <c r="Y813" s="11">
        <v>1101.33</v>
      </c>
      <c r="Z813" s="11">
        <f>ROUND(W813-X813,2)</f>
        <v>1101.33</v>
      </c>
      <c r="AA813" s="4">
        <f>IF(W813=0,0,Z813/W813)</f>
        <v>0.42733586838429305</v>
      </c>
      <c r="AB813" t="s">
        <v>31</v>
      </c>
      <c r="AC813" t="s">
        <v>32</v>
      </c>
      <c r="AD813" t="str">
        <f>IF(AND(E813="", T813&gt;=0, T813&lt;=0.5, K813&lt;&gt;"Unknown", Q813&lt;&gt;"Unknown"), "CLEAN", _xlfn.CONCAT("WARNING: ", IF(E813&lt;&gt;"","invalid_date",""), IF(T813&lt;0,"negative_discount",""), IF(AND(T813&gt;0.5,T813&lt;=1),"high_discount",""), IF(K813="Unknown","missing_region",""), IF(Q813="Unknown","missing_ship_mode","")))</f>
        <v>CLEAN</v>
      </c>
      <c r="AE813" t="str">
        <f>IF(COUNTIF($AF$2:$AF$926,AF813)&gt;1,"DUPLICATE","UNIQUE")</f>
        <v>UNIQUE</v>
      </c>
      <c r="AF813" t="str">
        <f>A813&amp;"|"&amp;B813&amp;"|"&amp;H813&amp;"|"&amp;I813&amp;"|"&amp;R813&amp;"|"&amp;S813&amp;"|"&amp;V813</f>
        <v>ORD-2024-10812|2024-12-12|CUST-3303|Rohan Mehta|2|1610.75|2577.2</v>
      </c>
      <c r="AG813" t="str">
        <f>IF(COUNTIF($A$2:$A$913,A813)&gt;1,"TRUE","FALSE")</f>
        <v>FALSE</v>
      </c>
    </row>
    <row r="814" spans="1:33">
      <c r="A814" t="s">
        <v>2442</v>
      </c>
      <c r="B814" t="s">
        <v>548</v>
      </c>
      <c r="C814" t="s">
        <v>1165</v>
      </c>
      <c r="D814">
        <f>IF(OR(B814="", C814=""), "", (C814 - B814))</f>
        <v>5</v>
      </c>
      <c r="E814" t="str">
        <f>IF(C814&lt;B814, "INVALID: Ship date before order date", "")</f>
        <v/>
      </c>
      <c r="F814" t="str">
        <f>IF(B814="", "", TEXT(B814, "mmmm"))</f>
        <v>June</v>
      </c>
      <c r="G814">
        <f>IF(B814="", "", YEAR(B814))</f>
        <v>2024</v>
      </c>
      <c r="H814" t="s">
        <v>2443</v>
      </c>
      <c r="I814" t="s">
        <v>131</v>
      </c>
      <c r="J814" t="s">
        <v>36</v>
      </c>
      <c r="K814" t="s">
        <v>37</v>
      </c>
      <c r="L814" t="s">
        <v>226</v>
      </c>
      <c r="M814" t="s">
        <v>227</v>
      </c>
      <c r="N814" t="s">
        <v>40</v>
      </c>
      <c r="O814" t="s">
        <v>41</v>
      </c>
      <c r="P814" t="s">
        <v>2444</v>
      </c>
      <c r="Q814" t="s">
        <v>49</v>
      </c>
      <c r="R814">
        <v>8</v>
      </c>
      <c r="S814" s="15">
        <v>2228.4699999999998</v>
      </c>
      <c r="T814" s="4">
        <v>0</v>
      </c>
      <c r="U814" s="3" t="str">
        <f>IF(T814&lt;0, "negative_discount", IF(AND(T814&gt;0.5, T814&lt;=1), "high_discount", ""))</f>
        <v/>
      </c>
      <c r="V814" s="11">
        <v>17827.759999999998</v>
      </c>
      <c r="W814" s="12">
        <v>17827.759999999998</v>
      </c>
      <c r="X814" s="11">
        <v>14122.13</v>
      </c>
      <c r="Y814" s="11">
        <v>3705.63</v>
      </c>
      <c r="Z814" s="11">
        <f>ROUND(W814-X814,2)</f>
        <v>3705.63</v>
      </c>
      <c r="AA814" s="4">
        <f>IF(W814=0,0,Z814/W814)</f>
        <v>0.20785729671029901</v>
      </c>
      <c r="AB814" t="s">
        <v>31</v>
      </c>
      <c r="AC814" t="s">
        <v>32</v>
      </c>
      <c r="AD814" t="str">
        <f>IF(AND(E814="", T814&gt;=0, T814&lt;=0.5, K814&lt;&gt;"Unknown", Q814&lt;&gt;"Unknown"), "CLEAN", _xlfn.CONCAT("WARNING: ", IF(E814&lt;&gt;"","invalid_date",""), IF(T814&lt;0,"negative_discount",""), IF(AND(T814&gt;0.5,T814&lt;=1),"high_discount",""), IF(K814="Unknown","missing_region",""), IF(Q814="Unknown","missing_ship_mode","")))</f>
        <v>CLEAN</v>
      </c>
      <c r="AE814" t="str">
        <f>IF(COUNTIF($AF$2:$AF$926,AF814)&gt;1,"DUPLICATE","UNIQUE")</f>
        <v>UNIQUE</v>
      </c>
      <c r="AF814" t="str">
        <f>A814&amp;"|"&amp;B814&amp;"|"&amp;H814&amp;"|"&amp;I814&amp;"|"&amp;R814&amp;"|"&amp;S814&amp;"|"&amp;V814</f>
        <v>ORD-2024-10813|2024-06-15|CUST-5754|Sneha Kapoor|8|2228.47|17827.76</v>
      </c>
      <c r="AG814" t="str">
        <f>IF(COUNTIF($A$2:$A$913,A814)&gt;1,"TRUE","FALSE")</f>
        <v>FALSE</v>
      </c>
    </row>
    <row r="815" spans="1:33">
      <c r="A815" t="s">
        <v>3342</v>
      </c>
      <c r="B815" t="s">
        <v>852</v>
      </c>
      <c r="C815" t="s">
        <v>1679</v>
      </c>
      <c r="D815">
        <f>IF(OR(B815="", C815=""), "", (C815 - B815))</f>
        <v>4</v>
      </c>
      <c r="E815" t="str">
        <f>IF(C815&lt;B815, "INVALID: Ship date before order date", "")</f>
        <v/>
      </c>
      <c r="F815" t="str">
        <f>IF(B815="", "", TEXT(B815, "mmmm"))</f>
        <v>April</v>
      </c>
      <c r="G815">
        <f>IF(B815="", "", YEAR(B815))</f>
        <v>2025</v>
      </c>
      <c r="H815" t="s">
        <v>2445</v>
      </c>
      <c r="I815" t="s">
        <v>139</v>
      </c>
      <c r="J815" t="s">
        <v>23</v>
      </c>
      <c r="K815" t="s">
        <v>37</v>
      </c>
      <c r="L815" t="s">
        <v>38</v>
      </c>
      <c r="M815" t="s">
        <v>39</v>
      </c>
      <c r="N815" t="s">
        <v>40</v>
      </c>
      <c r="O815" t="s">
        <v>153</v>
      </c>
      <c r="P815" t="s">
        <v>1108</v>
      </c>
      <c r="Q815" t="s">
        <v>58</v>
      </c>
      <c r="R815">
        <v>2</v>
      </c>
      <c r="S815" s="15">
        <v>1337.67</v>
      </c>
      <c r="T815" s="4">
        <v>0</v>
      </c>
      <c r="U815" s="3" t="str">
        <f>IF(T815&lt;0, "negative_discount", IF(AND(T815&gt;0.5, T815&lt;=1), "high_discount", ""))</f>
        <v/>
      </c>
      <c r="V815" s="11">
        <v>2675.34</v>
      </c>
      <c r="W815" s="12">
        <v>2675.34</v>
      </c>
      <c r="X815" s="11">
        <v>1595.87</v>
      </c>
      <c r="Y815" s="11">
        <v>1079.47</v>
      </c>
      <c r="Z815" s="11">
        <f>ROUND(W815-X815,2)</f>
        <v>1079.47</v>
      </c>
      <c r="AA815" s="4">
        <f>IF(W815=0,0,Z815/W815)</f>
        <v>0.40348890234512247</v>
      </c>
      <c r="AB815" t="s">
        <v>31</v>
      </c>
      <c r="AC815" t="s">
        <v>32</v>
      </c>
      <c r="AD815" t="str">
        <f>IF(AND(E815="", T815&gt;=0, T815&lt;=0.5, K815&lt;&gt;"Unknown", Q815&lt;&gt;"Unknown"), "CLEAN", _xlfn.CONCAT("WARNING: ", IF(E815&lt;&gt;"","invalid_date",""), IF(T815&lt;0,"negative_discount",""), IF(AND(T815&gt;0.5,T815&lt;=1),"high_discount",""), IF(K815="Unknown","missing_region",""), IF(Q815="Unknown","missing_ship_mode","")))</f>
        <v>CLEAN</v>
      </c>
      <c r="AE815" t="str">
        <f>IF(COUNTIF($AF$2:$AF$926,AF815)&gt;1,"DUPLICATE","UNIQUE")</f>
        <v>UNIQUE</v>
      </c>
      <c r="AF815" t="str">
        <f>A815&amp;"|"&amp;B815&amp;"|"&amp;H815&amp;"|"&amp;I815&amp;"|"&amp;R815&amp;"|"&amp;S815&amp;"|"&amp;V815</f>
        <v>ORD-2025-10814|2025-04-06|CUST-7848|Rohan Mehta|2|1337.67|2675.34</v>
      </c>
      <c r="AG815" t="str">
        <f>IF(COUNTIF($A$2:$A$913,A815)&gt;1,"TRUE","FALSE")</f>
        <v>FALSE</v>
      </c>
    </row>
    <row r="816" spans="1:33">
      <c r="A816" t="s">
        <v>3343</v>
      </c>
      <c r="B816" t="s">
        <v>2758</v>
      </c>
      <c r="C816" t="s">
        <v>403</v>
      </c>
      <c r="D816">
        <f>IF(OR(B816="", C816=""), "", (C816 - B816))</f>
        <v>5</v>
      </c>
      <c r="E816" t="str">
        <f>IF(C816&lt;B816, "INVALID: Ship date before order date", "")</f>
        <v/>
      </c>
      <c r="F816" t="str">
        <f>IF(B816="", "", TEXT(B816, "mmmm"))</f>
        <v>August</v>
      </c>
      <c r="G816">
        <f>IF(B816="", "", YEAR(B816))</f>
        <v>2025</v>
      </c>
      <c r="H816" t="s">
        <v>2446</v>
      </c>
      <c r="I816" t="s">
        <v>52</v>
      </c>
      <c r="J816" t="s">
        <v>23</v>
      </c>
      <c r="K816" t="s">
        <v>62</v>
      </c>
      <c r="L816" t="s">
        <v>72</v>
      </c>
      <c r="M816" t="s">
        <v>73</v>
      </c>
      <c r="N816" t="s">
        <v>27</v>
      </c>
      <c r="O816" t="s">
        <v>90</v>
      </c>
      <c r="P816" t="s">
        <v>2447</v>
      </c>
      <c r="Q816" t="s">
        <v>49</v>
      </c>
      <c r="R816">
        <v>2</v>
      </c>
      <c r="S816" s="15">
        <v>2375.94</v>
      </c>
      <c r="T816" s="4">
        <v>0.25</v>
      </c>
      <c r="U816" s="3" t="str">
        <f>IF(T816&lt;0, "negative_discount", IF(AND(T816&gt;0.5, T816&lt;=1), "high_discount", ""))</f>
        <v/>
      </c>
      <c r="V816" s="11">
        <v>3563.91</v>
      </c>
      <c r="W816" s="12">
        <v>3563.91</v>
      </c>
      <c r="X816" s="11">
        <v>2639.7</v>
      </c>
      <c r="Y816" s="11">
        <v>924.21</v>
      </c>
      <c r="Z816" s="11">
        <f>ROUND(W816-X816,2)</f>
        <v>924.21</v>
      </c>
      <c r="AA816" s="4">
        <f>IF(W816=0,0,Z816/W816)</f>
        <v>0.25932473042248544</v>
      </c>
      <c r="AB816" t="s">
        <v>31</v>
      </c>
      <c r="AC816" t="s">
        <v>32</v>
      </c>
      <c r="AD816" t="str">
        <f>IF(AND(E816="", T816&gt;=0, T816&lt;=0.5, K816&lt;&gt;"Unknown", Q816&lt;&gt;"Unknown"), "CLEAN", _xlfn.CONCAT("WARNING: ", IF(E816&lt;&gt;"","invalid_date",""), IF(T816&lt;0,"negative_discount",""), IF(AND(T816&gt;0.5,T816&lt;=1),"high_discount",""), IF(K816="Unknown","missing_region",""), IF(Q816="Unknown","missing_ship_mode","")))</f>
        <v>CLEAN</v>
      </c>
      <c r="AE816" t="str">
        <f>IF(COUNTIF($AF$2:$AF$926,AF816)&gt;1,"DUPLICATE","UNIQUE")</f>
        <v>UNIQUE</v>
      </c>
      <c r="AF816" t="str">
        <f>A816&amp;"|"&amp;B816&amp;"|"&amp;H816&amp;"|"&amp;I816&amp;"|"&amp;R816&amp;"|"&amp;S816&amp;"|"&amp;V816</f>
        <v>ORD-2025-10815|2025-08-06|CUST-9048|Arjun Bose|2|2375.94|3563.91</v>
      </c>
      <c r="AG816" t="str">
        <f>IF(COUNTIF($A$2:$A$913,A816)&gt;1,"TRUE","FALSE")</f>
        <v>FALSE</v>
      </c>
    </row>
    <row r="817" spans="1:33">
      <c r="A817" t="s">
        <v>2448</v>
      </c>
      <c r="B817" t="s">
        <v>2813</v>
      </c>
      <c r="C817" t="s">
        <v>2449</v>
      </c>
      <c r="D817">
        <f>IF(OR(B817="", C817=""), "", (C817 - B817))</f>
        <v>7</v>
      </c>
      <c r="E817" t="str">
        <f>IF(C817&lt;B817, "INVALID: Ship date before order date", "")</f>
        <v/>
      </c>
      <c r="F817" t="str">
        <f>IF(B817="", "", TEXT(B817, "mmmm"))</f>
        <v>April</v>
      </c>
      <c r="G817">
        <f>IF(B817="", "", YEAR(B817))</f>
        <v>2024</v>
      </c>
      <c r="H817" t="s">
        <v>2450</v>
      </c>
      <c r="I817" t="s">
        <v>158</v>
      </c>
      <c r="J817" t="s">
        <v>23</v>
      </c>
      <c r="K817" t="s">
        <v>37</v>
      </c>
      <c r="L817" t="s">
        <v>38</v>
      </c>
      <c r="M817" t="s">
        <v>39</v>
      </c>
      <c r="N817" t="s">
        <v>74</v>
      </c>
      <c r="O817" t="s">
        <v>272</v>
      </c>
      <c r="P817" t="s">
        <v>2451</v>
      </c>
      <c r="Q817" t="s">
        <v>58</v>
      </c>
      <c r="R817">
        <v>7</v>
      </c>
      <c r="S817" s="15">
        <v>715.81</v>
      </c>
      <c r="T817" s="4">
        <v>0.15</v>
      </c>
      <c r="U817" s="3" t="str">
        <f>IF(T817&lt;0, "negative_discount", IF(AND(T817&gt;0.5, T817&lt;=1), "high_discount", ""))</f>
        <v/>
      </c>
      <c r="V817" s="11">
        <v>4259.07</v>
      </c>
      <c r="W817" s="12">
        <v>4259.07</v>
      </c>
      <c r="X817" s="11">
        <v>3130.32</v>
      </c>
      <c r="Y817" s="11">
        <v>1128.75</v>
      </c>
      <c r="Z817" s="11">
        <f>ROUND(W817-X817,2)</f>
        <v>1128.75</v>
      </c>
      <c r="AA817" s="4">
        <f>IF(W817=0,0,Z817/W817)</f>
        <v>0.26502264578886942</v>
      </c>
      <c r="AB817" t="s">
        <v>109</v>
      </c>
      <c r="AC817" t="s">
        <v>67</v>
      </c>
      <c r="AD817" t="str">
        <f>IF(AND(E817="", T817&gt;=0, T817&lt;=0.5, K817&lt;&gt;"Unknown", Q817&lt;&gt;"Unknown"), "CLEAN", _xlfn.CONCAT("WARNING: ", IF(E817&lt;&gt;"","invalid_date",""), IF(T817&lt;0,"negative_discount",""), IF(AND(T817&gt;0.5,T817&lt;=1),"high_discount",""), IF(K817="Unknown","missing_region",""), IF(Q817="Unknown","missing_ship_mode","")))</f>
        <v>CLEAN</v>
      </c>
      <c r="AE817" t="str">
        <f>IF(COUNTIF($AF$2:$AF$926,AF817)&gt;1,"DUPLICATE","UNIQUE")</f>
        <v>UNIQUE</v>
      </c>
      <c r="AF817" t="str">
        <f>A817&amp;"|"&amp;B817&amp;"|"&amp;H817&amp;"|"&amp;I817&amp;"|"&amp;R817&amp;"|"&amp;S817&amp;"|"&amp;V817</f>
        <v>ORD-2024-10816|2024-04-01|CUST-2951|Diya Patel|7|715.81|4259.07</v>
      </c>
      <c r="AG817" t="str">
        <f>IF(COUNTIF($A$2:$A$913,A817)&gt;1,"TRUE","FALSE")</f>
        <v>FALSE</v>
      </c>
    </row>
    <row r="818" spans="1:33">
      <c r="A818" t="s">
        <v>2452</v>
      </c>
      <c r="B818" t="s">
        <v>2885</v>
      </c>
      <c r="C818" t="s">
        <v>2453</v>
      </c>
      <c r="D818">
        <f>IF(OR(B818="", C818=""), "", (C818 - B818))</f>
        <v>3</v>
      </c>
      <c r="E818" t="str">
        <f>IF(C818&lt;B818, "INVALID: Ship date before order date", "")</f>
        <v/>
      </c>
      <c r="F818" t="str">
        <f>IF(B818="", "", TEXT(B818, "mmmm"))</f>
        <v>November</v>
      </c>
      <c r="G818">
        <f>IF(B818="", "", YEAR(B818))</f>
        <v>2024</v>
      </c>
      <c r="H818" t="s">
        <v>2454</v>
      </c>
      <c r="I818" t="s">
        <v>116</v>
      </c>
      <c r="J818" t="s">
        <v>36</v>
      </c>
      <c r="K818" t="s">
        <v>37</v>
      </c>
      <c r="L818" t="s">
        <v>226</v>
      </c>
      <c r="M818" t="s">
        <v>227</v>
      </c>
      <c r="N818" t="s">
        <v>40</v>
      </c>
      <c r="O818" t="s">
        <v>56</v>
      </c>
      <c r="P818" t="s">
        <v>2455</v>
      </c>
      <c r="Q818" t="s">
        <v>49</v>
      </c>
      <c r="R818">
        <v>1</v>
      </c>
      <c r="S818" s="15">
        <v>874.3</v>
      </c>
      <c r="T818" s="4">
        <v>0.1</v>
      </c>
      <c r="U818" s="3" t="str">
        <f>IF(T818&lt;0, "negative_discount", IF(AND(T818&gt;0.5, T818&lt;=1), "high_discount", ""))</f>
        <v/>
      </c>
      <c r="V818" s="11">
        <v>786.87</v>
      </c>
      <c r="W818" s="12">
        <v>786.87</v>
      </c>
      <c r="X818" s="11">
        <v>498.5</v>
      </c>
      <c r="Y818" s="11">
        <v>288.37</v>
      </c>
      <c r="Z818" s="11">
        <f>ROUND(W818-X818,2)</f>
        <v>288.37</v>
      </c>
      <c r="AA818" s="4">
        <f>IF(W818=0,0,Z818/W818)</f>
        <v>0.36647730883119195</v>
      </c>
      <c r="AB818" t="s">
        <v>31</v>
      </c>
      <c r="AC818" t="s">
        <v>32</v>
      </c>
      <c r="AD818" t="str">
        <f>IF(AND(E818="", T818&gt;=0, T818&lt;=0.5, K818&lt;&gt;"Unknown", Q818&lt;&gt;"Unknown"), "CLEAN", _xlfn.CONCAT("WARNING: ", IF(E818&lt;&gt;"","invalid_date",""), IF(T818&lt;0,"negative_discount",""), IF(AND(T818&gt;0.5,T818&lt;=1),"high_discount",""), IF(K818="Unknown","missing_region",""), IF(Q818="Unknown","missing_ship_mode","")))</f>
        <v>CLEAN</v>
      </c>
      <c r="AE818" t="str">
        <f>IF(COUNTIF($AF$2:$AF$926,AF818)&gt;1,"DUPLICATE","UNIQUE")</f>
        <v>UNIQUE</v>
      </c>
      <c r="AF818" t="str">
        <f>A818&amp;"|"&amp;B818&amp;"|"&amp;H818&amp;"|"&amp;I818&amp;"|"&amp;R818&amp;"|"&amp;S818&amp;"|"&amp;V818</f>
        <v>ORD-2024-10817|2024-11-27|CUST-3072|Rahul Verma|1|874.3|786.87</v>
      </c>
      <c r="AG818" t="str">
        <f>IF(COUNTIF($A$2:$A$913,A818)&gt;1,"TRUE","FALSE")</f>
        <v>FALSE</v>
      </c>
    </row>
    <row r="819" spans="1:33">
      <c r="A819" t="s">
        <v>3344</v>
      </c>
      <c r="B819" t="s">
        <v>2886</v>
      </c>
      <c r="C819" t="s">
        <v>2886</v>
      </c>
      <c r="D819">
        <f>IF(OR(B819="", C819=""), "", (C819 - B819))</f>
        <v>0</v>
      </c>
      <c r="E819" t="str">
        <f>IF(C819&lt;B819, "INVALID: Ship date before order date", "")</f>
        <v/>
      </c>
      <c r="F819" t="str">
        <f>IF(B819="", "", TEXT(B819, "mmmm"))</f>
        <v>April</v>
      </c>
      <c r="G819">
        <f>IF(B819="", "", YEAR(B819))</f>
        <v>2025</v>
      </c>
      <c r="H819" t="s">
        <v>2456</v>
      </c>
      <c r="I819" t="s">
        <v>131</v>
      </c>
      <c r="J819" t="s">
        <v>23</v>
      </c>
      <c r="K819" t="s">
        <v>37</v>
      </c>
      <c r="L819" t="s">
        <v>142</v>
      </c>
      <c r="M819" t="s">
        <v>143</v>
      </c>
      <c r="N819" t="s">
        <v>27</v>
      </c>
      <c r="O819" t="s">
        <v>149</v>
      </c>
      <c r="P819" t="s">
        <v>2457</v>
      </c>
      <c r="Q819" t="s">
        <v>58</v>
      </c>
      <c r="R819">
        <v>6</v>
      </c>
      <c r="S819" s="15">
        <v>1829.69</v>
      </c>
      <c r="T819" s="4">
        <v>0.25</v>
      </c>
      <c r="U819" s="3" t="str">
        <f>IF(T819&lt;0, "negative_discount", IF(AND(T819&gt;0.5, T819&lt;=1), "high_discount", ""))</f>
        <v/>
      </c>
      <c r="V819" s="11">
        <v>8233.6</v>
      </c>
      <c r="W819" s="12">
        <v>8233.61</v>
      </c>
      <c r="X819" s="11">
        <v>4713.79</v>
      </c>
      <c r="Y819" s="11">
        <v>3519.81</v>
      </c>
      <c r="Z819" s="11">
        <f>ROUND(W819-X819,2)</f>
        <v>3519.82</v>
      </c>
      <c r="AA819" s="4">
        <f>IF(W819=0,0,Z819/W819)</f>
        <v>0.4274941368366974</v>
      </c>
      <c r="AB819" t="s">
        <v>31</v>
      </c>
      <c r="AC819" t="s">
        <v>32</v>
      </c>
      <c r="AD819" t="str">
        <f>IF(AND(E819="", T819&gt;=0, T819&lt;=0.5, K819&lt;&gt;"Unknown", Q819&lt;&gt;"Unknown"), "CLEAN", _xlfn.CONCAT("WARNING: ", IF(E819&lt;&gt;"","invalid_date",""), IF(T819&lt;0,"negative_discount",""), IF(AND(T819&gt;0.5,T819&lt;=1),"high_discount",""), IF(K819="Unknown","missing_region",""), IF(Q819="Unknown","missing_ship_mode","")))</f>
        <v>CLEAN</v>
      </c>
      <c r="AE819" t="str">
        <f>IF(COUNTIF($AF$2:$AF$926,AF819)&gt;1,"DUPLICATE","UNIQUE")</f>
        <v>UNIQUE</v>
      </c>
      <c r="AF819" t="str">
        <f>A819&amp;"|"&amp;B819&amp;"|"&amp;H819&amp;"|"&amp;I819&amp;"|"&amp;R819&amp;"|"&amp;S819&amp;"|"&amp;V819</f>
        <v>ORD-2025-10818|2025-04-05|CUST-2221|Sneha Kapoor|6|1829.69|8233.6</v>
      </c>
      <c r="AG819" t="str">
        <f>IF(COUNTIF($A$2:$A$913,A819)&gt;1,"TRUE","FALSE")</f>
        <v>FALSE</v>
      </c>
    </row>
    <row r="820" spans="1:33">
      <c r="A820" t="s">
        <v>2458</v>
      </c>
      <c r="B820" t="s">
        <v>2849</v>
      </c>
      <c r="C820" t="s">
        <v>2836</v>
      </c>
      <c r="D820">
        <f>IF(OR(B820="", C820=""), "", (C820 - B820))</f>
        <v>-142</v>
      </c>
      <c r="E820" t="str">
        <f>IF(C820&lt;B820, "INVALID: Ship date before order date", "")</f>
        <v>INVALID: Ship date before order date</v>
      </c>
      <c r="F820" t="str">
        <f>IF(B820="", "", TEXT(B820, "mmmm"))</f>
        <v>September</v>
      </c>
      <c r="G820">
        <f>IF(B820="", "", YEAR(B820))</f>
        <v>2024</v>
      </c>
      <c r="H820" t="s">
        <v>2459</v>
      </c>
      <c r="I820" t="s">
        <v>112</v>
      </c>
      <c r="J820" t="s">
        <v>36</v>
      </c>
      <c r="K820" t="s">
        <v>62</v>
      </c>
      <c r="L820" t="s">
        <v>63</v>
      </c>
      <c r="M820" t="s">
        <v>64</v>
      </c>
      <c r="N820" t="s">
        <v>27</v>
      </c>
      <c r="O820" t="s">
        <v>90</v>
      </c>
      <c r="P820" t="s">
        <v>2460</v>
      </c>
      <c r="Q820" t="s">
        <v>49</v>
      </c>
      <c r="R820">
        <v>8</v>
      </c>
      <c r="S820" s="15">
        <v>1981.04</v>
      </c>
      <c r="T820" s="4">
        <v>-0.14000000000000001</v>
      </c>
      <c r="U820" s="3" t="str">
        <f>IF(T820&lt;0, "negative_discount", IF(AND(T820&gt;0.5, T820&lt;=1), "high_discount", ""))</f>
        <v>negative_discount</v>
      </c>
      <c r="V820" s="11">
        <v>12678.66</v>
      </c>
      <c r="W820" s="12">
        <v>18067.080000000002</v>
      </c>
      <c r="X820" s="11">
        <v>10088.65</v>
      </c>
      <c r="Y820" s="11">
        <v>2590.0100000000002</v>
      </c>
      <c r="Z820" s="11">
        <f>ROUND(W820-X820,2)</f>
        <v>7978.43</v>
      </c>
      <c r="AA820" s="4">
        <f>IF(W820=0,0,Z820/W820)</f>
        <v>0.44160041356987401</v>
      </c>
      <c r="AB820" t="s">
        <v>31</v>
      </c>
      <c r="AC820" t="s">
        <v>32</v>
      </c>
      <c r="AD820" t="str">
        <f>IF(AND(E820="", T820&gt;=0, T820&lt;=0.5, K820&lt;&gt;"Unknown", Q820&lt;&gt;"Unknown"), "CLEAN", _xlfn.CONCAT("WARNING: ", IF(E820&lt;&gt;"","invalid_date",""), IF(T820&lt;0,"negative_discount",""), IF(AND(T820&gt;0.5,T820&lt;=1),"high_discount",""), IF(K820="Unknown","missing_region",""), IF(Q820="Unknown","missing_ship_mode","")))</f>
        <v>WARNING: invalid_datenegative_discount</v>
      </c>
      <c r="AE820" t="str">
        <f>IF(COUNTIF($AF$2:$AF$926,AF820)&gt;1,"DUPLICATE","UNIQUE")</f>
        <v>UNIQUE</v>
      </c>
      <c r="AF820" t="str">
        <f>A820&amp;"|"&amp;B820&amp;"|"&amp;H820&amp;"|"&amp;I820&amp;"|"&amp;R820&amp;"|"&amp;S820&amp;"|"&amp;V820</f>
        <v>ORD-2024-10819|2024-09-29|CUST-3943|Priya Menon|8|1981.04|12678.66</v>
      </c>
      <c r="AG820" t="str">
        <f>IF(COUNTIF($A$2:$A$913,A820)&gt;1,"TRUE","FALSE")</f>
        <v>FALSE</v>
      </c>
    </row>
    <row r="821" spans="1:33">
      <c r="A821" t="s">
        <v>2461</v>
      </c>
      <c r="B821" t="s">
        <v>2770</v>
      </c>
      <c r="C821" t="s">
        <v>2770</v>
      </c>
      <c r="D821">
        <f>IF(OR(B821="", C821=""), "", (C821 - B821))</f>
        <v>0</v>
      </c>
      <c r="E821" t="str">
        <f>IF(C821&lt;B821, "INVALID: Ship date before order date", "")</f>
        <v/>
      </c>
      <c r="F821" t="str">
        <f>IF(B821="", "", TEXT(B821, "mmmm"))</f>
        <v>July</v>
      </c>
      <c r="G821">
        <f>IF(B821="", "", YEAR(B821))</f>
        <v>2024</v>
      </c>
      <c r="H821" t="s">
        <v>2462</v>
      </c>
      <c r="I821" t="s">
        <v>22</v>
      </c>
      <c r="J821" t="s">
        <v>93</v>
      </c>
      <c r="K821" t="s">
        <v>53</v>
      </c>
      <c r="L821" t="s">
        <v>180</v>
      </c>
      <c r="M821" t="s">
        <v>181</v>
      </c>
      <c r="N821" t="s">
        <v>74</v>
      </c>
      <c r="O821" t="s">
        <v>272</v>
      </c>
      <c r="P821" t="s">
        <v>2463</v>
      </c>
      <c r="Q821" t="s">
        <v>58</v>
      </c>
      <c r="R821">
        <v>8</v>
      </c>
      <c r="S821" s="15">
        <v>4246.01</v>
      </c>
      <c r="T821" s="4">
        <v>0</v>
      </c>
      <c r="U821" s="3" t="str">
        <f>IF(T821&lt;0, "negative_discount", IF(AND(T821&gt;0.5, T821&lt;=1), "high_discount", ""))</f>
        <v/>
      </c>
      <c r="V821" s="11">
        <v>33968.080000000002</v>
      </c>
      <c r="W821" s="12">
        <v>33968.080000000002</v>
      </c>
      <c r="X821" s="11">
        <v>26902.44</v>
      </c>
      <c r="Y821" s="11">
        <v>7065.64</v>
      </c>
      <c r="Z821" s="11">
        <f>ROUND(W821-X821,2)</f>
        <v>7065.64</v>
      </c>
      <c r="AA821" s="4">
        <f>IF(W821=0,0,Z821/W821)</f>
        <v>0.20800822419165288</v>
      </c>
      <c r="AB821" t="s">
        <v>151</v>
      </c>
      <c r="AC821" t="s">
        <v>67</v>
      </c>
      <c r="AD821" t="str">
        <f>IF(AND(E821="", T821&gt;=0, T821&lt;=0.5, K821&lt;&gt;"Unknown", Q821&lt;&gt;"Unknown"), "CLEAN", _xlfn.CONCAT("WARNING: ", IF(E821&lt;&gt;"","invalid_date",""), IF(T821&lt;0,"negative_discount",""), IF(AND(T821&gt;0.5,T821&lt;=1),"high_discount",""), IF(K821="Unknown","missing_region",""), IF(Q821="Unknown","missing_ship_mode","")))</f>
        <v>CLEAN</v>
      </c>
      <c r="AE821" t="str">
        <f>IF(COUNTIF($AF$2:$AF$926,AF821)&gt;1,"DUPLICATE","UNIQUE")</f>
        <v>UNIQUE</v>
      </c>
      <c r="AF821" t="str">
        <f>A821&amp;"|"&amp;B821&amp;"|"&amp;H821&amp;"|"&amp;I821&amp;"|"&amp;R821&amp;"|"&amp;S821&amp;"|"&amp;V821</f>
        <v>ORD-2024-10820|2024-07-31|CUST-7510|Karan Malhotra|8|4246.01|33968.08</v>
      </c>
      <c r="AG821" t="str">
        <f>IF(COUNTIF($A$2:$A$913,A821)&gt;1,"TRUE","FALSE")</f>
        <v>FALSE</v>
      </c>
    </row>
    <row r="822" spans="1:33">
      <c r="A822" t="s">
        <v>3345</v>
      </c>
      <c r="B822" t="s">
        <v>268</v>
      </c>
      <c r="C822" t="s">
        <v>2746</v>
      </c>
      <c r="D822">
        <f>IF(OR(B822="", C822=""), "", (C822 - B822))</f>
        <v>122</v>
      </c>
      <c r="E822" t="str">
        <f>IF(C822&lt;B822, "INVALID: Ship date before order date", "")</f>
        <v/>
      </c>
      <c r="F822" t="str">
        <f>IF(B822="", "", TEXT(B822, "mmmm"))</f>
        <v>June</v>
      </c>
      <c r="G822">
        <f>IF(B822="", "", YEAR(B822))</f>
        <v>2025</v>
      </c>
      <c r="H822" t="s">
        <v>2464</v>
      </c>
      <c r="I822" t="s">
        <v>61</v>
      </c>
      <c r="J822" t="s">
        <v>93</v>
      </c>
      <c r="K822" t="s">
        <v>24</v>
      </c>
      <c r="L822" t="s">
        <v>134</v>
      </c>
      <c r="M822" t="s">
        <v>135</v>
      </c>
      <c r="N822" t="s">
        <v>40</v>
      </c>
      <c r="O822" t="s">
        <v>153</v>
      </c>
      <c r="P822" t="s">
        <v>2465</v>
      </c>
      <c r="Q822" t="s">
        <v>58</v>
      </c>
      <c r="R822">
        <v>2</v>
      </c>
      <c r="S822" s="15">
        <v>319.57</v>
      </c>
      <c r="T822" s="4">
        <v>0.2</v>
      </c>
      <c r="U822" s="3" t="str">
        <f>IF(T822&lt;0, "negative_discount", IF(AND(T822&gt;0.5, T822&lt;=1), "high_discount", ""))</f>
        <v/>
      </c>
      <c r="V822" s="11">
        <v>511.31</v>
      </c>
      <c r="W822" s="12">
        <v>511.31</v>
      </c>
      <c r="X822" s="11">
        <v>436.43</v>
      </c>
      <c r="Y822" s="11">
        <v>74.88</v>
      </c>
      <c r="Z822" s="11">
        <f>ROUND(W822-X822,2)</f>
        <v>74.88</v>
      </c>
      <c r="AA822" s="4">
        <f>IF(W822=0,0,Z822/W822)</f>
        <v>0.14644736070094463</v>
      </c>
      <c r="AB822" t="s">
        <v>31</v>
      </c>
      <c r="AC822" t="s">
        <v>32</v>
      </c>
      <c r="AD822" t="str">
        <f>IF(AND(E822="", T822&gt;=0, T822&lt;=0.5, K822&lt;&gt;"Unknown", Q822&lt;&gt;"Unknown"), "CLEAN", _xlfn.CONCAT("WARNING: ", IF(E822&lt;&gt;"","invalid_date",""), IF(T822&lt;0,"negative_discount",""), IF(AND(T822&gt;0.5,T822&lt;=1),"high_discount",""), IF(K822="Unknown","missing_region",""), IF(Q822="Unknown","missing_ship_mode","")))</f>
        <v>CLEAN</v>
      </c>
      <c r="AE822" t="str">
        <f>IF(COUNTIF($AF$2:$AF$926,AF822)&gt;1,"DUPLICATE","UNIQUE")</f>
        <v>UNIQUE</v>
      </c>
      <c r="AF822" t="str">
        <f>A822&amp;"|"&amp;B822&amp;"|"&amp;H822&amp;"|"&amp;I822&amp;"|"&amp;R822&amp;"|"&amp;S822&amp;"|"&amp;V822</f>
        <v>ORD-2025-10821|2025-06-02|CUST-2041|Ananya Rao|2|319.57|511.31</v>
      </c>
      <c r="AG822" t="str">
        <f>IF(COUNTIF($A$2:$A$913,A822)&gt;1,"TRUE","FALSE")</f>
        <v>FALSE</v>
      </c>
    </row>
    <row r="823" spans="1:33">
      <c r="A823" t="s">
        <v>2466</v>
      </c>
      <c r="B823" t="s">
        <v>2467</v>
      </c>
      <c r="C823" t="s">
        <v>2361</v>
      </c>
      <c r="D823">
        <f>IF(OR(B823="", C823=""), "", (C823 - B823))</f>
        <v>-26</v>
      </c>
      <c r="E823" t="str">
        <f>IF(C823&lt;B823, "INVALID: Ship date before order date", "")</f>
        <v>INVALID: Ship date before order date</v>
      </c>
      <c r="F823" t="str">
        <f>IF(B823="", "", TEXT(B823, "mmmm"))</f>
        <v>July</v>
      </c>
      <c r="G823">
        <f>IF(B823="", "", YEAR(B823))</f>
        <v>2024</v>
      </c>
      <c r="H823" t="s">
        <v>2468</v>
      </c>
      <c r="I823" t="s">
        <v>126</v>
      </c>
      <c r="J823" t="s">
        <v>89</v>
      </c>
      <c r="K823" t="s">
        <v>53</v>
      </c>
      <c r="L823" t="s">
        <v>171</v>
      </c>
      <c r="M823" t="s">
        <v>172</v>
      </c>
      <c r="N823" t="s">
        <v>74</v>
      </c>
      <c r="O823" t="s">
        <v>75</v>
      </c>
      <c r="P823" t="s">
        <v>2469</v>
      </c>
      <c r="Q823" t="s">
        <v>49</v>
      </c>
      <c r="R823">
        <v>7</v>
      </c>
      <c r="S823" s="15">
        <v>1942.49</v>
      </c>
      <c r="T823" s="4">
        <v>0.2</v>
      </c>
      <c r="U823" s="3" t="str">
        <f>IF(T823&lt;0, "negative_discount", IF(AND(T823&gt;0.5, T823&lt;=1), "high_discount", ""))</f>
        <v/>
      </c>
      <c r="V823" s="11">
        <v>10877.94</v>
      </c>
      <c r="W823" s="12">
        <v>10877.94</v>
      </c>
      <c r="X823" s="11">
        <v>9110.14</v>
      </c>
      <c r="Y823" s="11">
        <v>1767.8</v>
      </c>
      <c r="Z823" s="11">
        <f>ROUND(W823-X823,2)</f>
        <v>1767.8</v>
      </c>
      <c r="AA823" s="4">
        <f>IF(W823=0,0,Z823/W823)</f>
        <v>0.16251238745571311</v>
      </c>
      <c r="AB823" t="s">
        <v>31</v>
      </c>
      <c r="AC823" t="s">
        <v>32</v>
      </c>
      <c r="AD823" t="str">
        <f>IF(AND(E823="", T823&gt;=0, T823&lt;=0.5, K823&lt;&gt;"Unknown", Q823&lt;&gt;"Unknown"), "CLEAN", _xlfn.CONCAT("WARNING: ", IF(E823&lt;&gt;"","invalid_date",""), IF(T823&lt;0,"negative_discount",""), IF(AND(T823&gt;0.5,T823&lt;=1),"high_discount",""), IF(K823="Unknown","missing_region",""), IF(Q823="Unknown","missing_ship_mode","")))</f>
        <v>WARNING: invalid_date</v>
      </c>
      <c r="AE823" t="str">
        <f>IF(COUNTIF($AF$2:$AF$926,AF823)&gt;1,"DUPLICATE","UNIQUE")</f>
        <v>UNIQUE</v>
      </c>
      <c r="AF823" t="str">
        <f>A823&amp;"|"&amp;B823&amp;"|"&amp;H823&amp;"|"&amp;I823&amp;"|"&amp;R823&amp;"|"&amp;S823&amp;"|"&amp;V823</f>
        <v>ORD-2024-10822|2024-07-03|CUST-4466|Aarav Sharma|7|1942.49|10877.94</v>
      </c>
      <c r="AG823" t="str">
        <f>IF(COUNTIF($A$2:$A$913,A823)&gt;1,"TRUE","FALSE")</f>
        <v>FALSE</v>
      </c>
    </row>
    <row r="824" spans="1:33">
      <c r="A824" t="s">
        <v>2470</v>
      </c>
      <c r="B824" t="s">
        <v>1736</v>
      </c>
      <c r="C824" t="s">
        <v>2895</v>
      </c>
      <c r="D824">
        <f>IF(OR(B824="", C824=""), "", (C824 - B824))</f>
        <v>-4</v>
      </c>
      <c r="E824" t="str">
        <f>IF(C824&lt;B824, "INVALID: Ship date before order date", "")</f>
        <v>INVALID: Ship date before order date</v>
      </c>
      <c r="F824" t="str">
        <f>IF(B824="", "", TEXT(B824, "mmmm"))</f>
        <v>October</v>
      </c>
      <c r="G824">
        <f>IF(B824="", "", YEAR(B824))</f>
        <v>2024</v>
      </c>
      <c r="H824" t="s">
        <v>2471</v>
      </c>
      <c r="I824" t="s">
        <v>35</v>
      </c>
      <c r="J824" t="s">
        <v>89</v>
      </c>
      <c r="K824" t="s">
        <v>37</v>
      </c>
      <c r="L824" t="s">
        <v>163</v>
      </c>
      <c r="M824" t="s">
        <v>164</v>
      </c>
      <c r="N824" t="s">
        <v>40</v>
      </c>
      <c r="O824" t="s">
        <v>56</v>
      </c>
      <c r="P824" t="s">
        <v>2472</v>
      </c>
      <c r="Q824" t="s">
        <v>30</v>
      </c>
      <c r="R824">
        <v>4</v>
      </c>
      <c r="S824" s="15">
        <v>3202.04</v>
      </c>
      <c r="T824" s="4">
        <v>0.2</v>
      </c>
      <c r="U824" s="3" t="str">
        <f>IF(T824&lt;0, "negative_discount", IF(AND(T824&gt;0.5, T824&lt;=1), "high_discount", ""))</f>
        <v/>
      </c>
      <c r="V824" s="11">
        <v>10246.530000000001</v>
      </c>
      <c r="W824" s="12">
        <v>10246.530000000001</v>
      </c>
      <c r="X824" s="11">
        <v>8634.42</v>
      </c>
      <c r="Y824" s="11">
        <v>1612.11</v>
      </c>
      <c r="Z824" s="11">
        <f>ROUND(W824-X824,2)</f>
        <v>1612.11</v>
      </c>
      <c r="AA824" s="4">
        <f>IF(W824=0,0,Z824/W824)</f>
        <v>0.15733228712549516</v>
      </c>
      <c r="AB824" t="s">
        <v>109</v>
      </c>
      <c r="AC824" t="s">
        <v>100</v>
      </c>
      <c r="AD824" t="str">
        <f>IF(AND(E824="", T824&gt;=0, T824&lt;=0.5, K824&lt;&gt;"Unknown", Q824&lt;&gt;"Unknown"), "CLEAN", _xlfn.CONCAT("WARNING: ", IF(E824&lt;&gt;"","invalid_date",""), IF(T824&lt;0,"negative_discount",""), IF(AND(T824&gt;0.5,T824&lt;=1),"high_discount",""), IF(K824="Unknown","missing_region",""), IF(Q824="Unknown","missing_ship_mode","")))</f>
        <v>WARNING: invalid_date</v>
      </c>
      <c r="AE824" t="str">
        <f>IF(COUNTIF($AF$2:$AF$926,AF824)&gt;1,"DUPLICATE","UNIQUE")</f>
        <v>UNIQUE</v>
      </c>
      <c r="AF824" t="str">
        <f>A824&amp;"|"&amp;B824&amp;"|"&amp;H824&amp;"|"&amp;I824&amp;"|"&amp;R824&amp;"|"&amp;S824&amp;"|"&amp;V824</f>
        <v>ORD-2024-10823|2024-10-12|CUST-3188|Mira Das|4|3202.04|10246.53</v>
      </c>
      <c r="AG824" t="str">
        <f>IF(COUNTIF($A$2:$A$913,A824)&gt;1,"TRUE","FALSE")</f>
        <v>FALSE</v>
      </c>
    </row>
    <row r="825" spans="1:33">
      <c r="A825" t="s">
        <v>3346</v>
      </c>
      <c r="B825" t="s">
        <v>2473</v>
      </c>
      <c r="C825" t="s">
        <v>2804</v>
      </c>
      <c r="D825">
        <f>IF(OR(B825="", C825=""), "", (C825 - B825))</f>
        <v>6</v>
      </c>
      <c r="E825" t="str">
        <f>IF(C825&lt;B825, "INVALID: Ship date before order date", "")</f>
        <v/>
      </c>
      <c r="F825" t="str">
        <f>IF(B825="", "", TEXT(B825, "mmmm"))</f>
        <v>January</v>
      </c>
      <c r="G825">
        <f>IF(B825="", "", YEAR(B825))</f>
        <v>2025</v>
      </c>
      <c r="H825" t="s">
        <v>2474</v>
      </c>
      <c r="I825" t="s">
        <v>35</v>
      </c>
      <c r="J825" t="s">
        <v>93</v>
      </c>
      <c r="K825" t="s">
        <v>62</v>
      </c>
      <c r="L825" t="s">
        <v>185</v>
      </c>
      <c r="M825" t="s">
        <v>186</v>
      </c>
      <c r="N825" t="s">
        <v>27</v>
      </c>
      <c r="O825" t="s">
        <v>28</v>
      </c>
      <c r="P825" t="s">
        <v>2475</v>
      </c>
      <c r="Q825" t="s">
        <v>43</v>
      </c>
      <c r="R825">
        <v>3</v>
      </c>
      <c r="S825" s="15">
        <v>668.33</v>
      </c>
      <c r="T825" s="4">
        <v>0.15</v>
      </c>
      <c r="U825" s="3" t="str">
        <f>IF(T825&lt;0, "negative_discount", IF(AND(T825&gt;0.5, T825&lt;=1), "high_discount", ""))</f>
        <v/>
      </c>
      <c r="V825" s="11">
        <v>1704.24</v>
      </c>
      <c r="W825" s="12">
        <v>1704.24</v>
      </c>
      <c r="X825" s="11">
        <v>957.55</v>
      </c>
      <c r="Y825" s="11">
        <v>746.69</v>
      </c>
      <c r="Z825" s="11">
        <f>ROUND(W825-X825,2)</f>
        <v>746.69</v>
      </c>
      <c r="AA825" s="4">
        <f>IF(W825=0,0,Z825/W825)</f>
        <v>0.43813664742055114</v>
      </c>
      <c r="AB825" t="s">
        <v>31</v>
      </c>
      <c r="AC825" t="s">
        <v>32</v>
      </c>
      <c r="AD825" t="str">
        <f>IF(AND(E825="", T825&gt;=0, T825&lt;=0.5, K825&lt;&gt;"Unknown", Q825&lt;&gt;"Unknown"), "CLEAN", _xlfn.CONCAT("WARNING: ", IF(E825&lt;&gt;"","invalid_date",""), IF(T825&lt;0,"negative_discount",""), IF(AND(T825&gt;0.5,T825&lt;=1),"high_discount",""), IF(K825="Unknown","missing_region",""), IF(Q825="Unknown","missing_ship_mode","")))</f>
        <v>CLEAN</v>
      </c>
      <c r="AE825" t="str">
        <f>IF(COUNTIF($AF$2:$AF$926,AF825)&gt;1,"DUPLICATE","UNIQUE")</f>
        <v>UNIQUE</v>
      </c>
      <c r="AF825" t="str">
        <f>A825&amp;"|"&amp;B825&amp;"|"&amp;H825&amp;"|"&amp;I825&amp;"|"&amp;R825&amp;"|"&amp;S825&amp;"|"&amp;V825</f>
        <v>ORD-2025-10824|2025-01-06|CUST-6638|Mira Das|3|668.33|1704.24</v>
      </c>
      <c r="AG825" t="str">
        <f>IF(COUNTIF($A$2:$A$913,A825)&gt;1,"TRUE","FALSE")</f>
        <v>FALSE</v>
      </c>
    </row>
    <row r="826" spans="1:33">
      <c r="A826" t="s">
        <v>3347</v>
      </c>
      <c r="B826" t="s">
        <v>2005</v>
      </c>
      <c r="C826" t="s">
        <v>2867</v>
      </c>
      <c r="D826">
        <f>IF(OR(B826="", C826=""), "", (C826 - B826))</f>
        <v>1</v>
      </c>
      <c r="E826" t="str">
        <f>IF(C826&lt;B826, "INVALID: Ship date before order date", "")</f>
        <v/>
      </c>
      <c r="F826" t="str">
        <f>IF(B826="", "", TEXT(B826, "mmmm"))</f>
        <v>March</v>
      </c>
      <c r="G826">
        <f>IF(B826="", "", YEAR(B826))</f>
        <v>2025</v>
      </c>
      <c r="H826" t="s">
        <v>2476</v>
      </c>
      <c r="I826" t="s">
        <v>112</v>
      </c>
      <c r="J826" t="s">
        <v>23</v>
      </c>
      <c r="K826" t="s">
        <v>62</v>
      </c>
      <c r="L826" t="s">
        <v>185</v>
      </c>
      <c r="M826" t="s">
        <v>186</v>
      </c>
      <c r="N826" t="s">
        <v>27</v>
      </c>
      <c r="O826" t="s">
        <v>28</v>
      </c>
      <c r="P826" t="s">
        <v>2477</v>
      </c>
      <c r="Q826" t="s">
        <v>49</v>
      </c>
      <c r="R826">
        <v>8</v>
      </c>
      <c r="S826" s="15">
        <v>4436.74</v>
      </c>
      <c r="T826" s="4">
        <v>0.05</v>
      </c>
      <c r="U826" s="3" t="str">
        <f>IF(T826&lt;0, "negative_discount", IF(AND(T826&gt;0.5, T826&lt;=1), "high_discount", ""))</f>
        <v/>
      </c>
      <c r="V826" s="11">
        <v>33719.22</v>
      </c>
      <c r="W826" s="12">
        <v>33719.22</v>
      </c>
      <c r="X826" s="11">
        <v>28924.43</v>
      </c>
      <c r="Y826" s="11">
        <v>4794.79</v>
      </c>
      <c r="Z826" s="11">
        <f>ROUND(W826-X826,2)</f>
        <v>4794.79</v>
      </c>
      <c r="AA826" s="4">
        <f>IF(W826=0,0,Z826/W826)</f>
        <v>0.14219753600468812</v>
      </c>
      <c r="AB826" t="s">
        <v>31</v>
      </c>
      <c r="AC826" t="s">
        <v>32</v>
      </c>
      <c r="AD826" t="str">
        <f>IF(AND(E826="", T826&gt;=0, T826&lt;=0.5, K826&lt;&gt;"Unknown", Q826&lt;&gt;"Unknown"), "CLEAN", _xlfn.CONCAT("WARNING: ", IF(E826&lt;&gt;"","invalid_date",""), IF(T826&lt;0,"negative_discount",""), IF(AND(T826&gt;0.5,T826&lt;=1),"high_discount",""), IF(K826="Unknown","missing_region",""), IF(Q826="Unknown","missing_ship_mode","")))</f>
        <v>CLEAN</v>
      </c>
      <c r="AE826" t="str">
        <f>IF(COUNTIF($AF$2:$AF$926,AF826)&gt;1,"DUPLICATE","UNIQUE")</f>
        <v>UNIQUE</v>
      </c>
      <c r="AF826" t="str">
        <f>A826&amp;"|"&amp;B826&amp;"|"&amp;H826&amp;"|"&amp;I826&amp;"|"&amp;R826&amp;"|"&amp;S826&amp;"|"&amp;V826</f>
        <v>ORD-2025-10825|2025-03-21|CUST-3540|Priya Menon|8|4436.74|33719.22</v>
      </c>
      <c r="AG826" t="str">
        <f>IF(COUNTIF($A$2:$A$913,A826)&gt;1,"TRUE","FALSE")</f>
        <v>FALSE</v>
      </c>
    </row>
    <row r="827" spans="1:33">
      <c r="A827" t="s">
        <v>3348</v>
      </c>
      <c r="B827" t="s">
        <v>2697</v>
      </c>
      <c r="C827" t="s">
        <v>1680</v>
      </c>
      <c r="D827">
        <f>IF(OR(B827="", C827=""), "", (C827 - B827))</f>
        <v>1</v>
      </c>
      <c r="E827" t="str">
        <f>IF(C827&lt;B827, "INVALID: Ship date before order date", "")</f>
        <v/>
      </c>
      <c r="F827" t="str">
        <f>IF(B827="", "", TEXT(B827, "mmmm"))</f>
        <v>April</v>
      </c>
      <c r="G827">
        <f>IF(B827="", "", YEAR(B827))</f>
        <v>2025</v>
      </c>
      <c r="H827" t="s">
        <v>2478</v>
      </c>
      <c r="I827" t="s">
        <v>71</v>
      </c>
      <c r="J827" t="s">
        <v>36</v>
      </c>
      <c r="K827" t="s">
        <v>24</v>
      </c>
      <c r="L827" t="s">
        <v>134</v>
      </c>
      <c r="M827" t="s">
        <v>135</v>
      </c>
      <c r="N827" t="s">
        <v>74</v>
      </c>
      <c r="O827" t="s">
        <v>272</v>
      </c>
      <c r="P827" t="s">
        <v>2479</v>
      </c>
      <c r="Q827" t="s">
        <v>49</v>
      </c>
      <c r="R827">
        <v>1</v>
      </c>
      <c r="S827" s="15">
        <v>2720.17</v>
      </c>
      <c r="T827" s="4">
        <v>0</v>
      </c>
      <c r="U827" s="3" t="str">
        <f>IF(T827&lt;0, "negative_discount", IF(AND(T827&gt;0.5, T827&lt;=1), "high_discount", ""))</f>
        <v/>
      </c>
      <c r="V827" s="11">
        <v>2720.17</v>
      </c>
      <c r="W827" s="12">
        <v>2720.17</v>
      </c>
      <c r="X827" s="11">
        <v>1834.23</v>
      </c>
      <c r="Y827" s="11">
        <v>885.94</v>
      </c>
      <c r="Z827" s="11">
        <f>ROUND(W827-X827,2)</f>
        <v>885.94</v>
      </c>
      <c r="AA827" s="4">
        <f>IF(W827=0,0,Z827/W827)</f>
        <v>0.3256928794891496</v>
      </c>
      <c r="AB827" t="s">
        <v>31</v>
      </c>
      <c r="AC827" t="s">
        <v>32</v>
      </c>
      <c r="AD827" t="str">
        <f>IF(AND(E827="", T827&gt;=0, T827&lt;=0.5, K827&lt;&gt;"Unknown", Q827&lt;&gt;"Unknown"), "CLEAN", _xlfn.CONCAT("WARNING: ", IF(E827&lt;&gt;"","invalid_date",""), IF(T827&lt;0,"negative_discount",""), IF(AND(T827&gt;0.5,T827&lt;=1),"high_discount",""), IF(K827="Unknown","missing_region",""), IF(Q827="Unknown","missing_ship_mode","")))</f>
        <v>CLEAN</v>
      </c>
      <c r="AE827" t="str">
        <f>IF(COUNTIF($AF$2:$AF$926,AF827)&gt;1,"DUPLICATE","UNIQUE")</f>
        <v>UNIQUE</v>
      </c>
      <c r="AF827" t="str">
        <f>A827&amp;"|"&amp;B827&amp;"|"&amp;H827&amp;"|"&amp;I827&amp;"|"&amp;R827&amp;"|"&amp;S827&amp;"|"&amp;V827</f>
        <v>ORD-2025-10826|2025-04-16|CUST-3351|Vikram Iyer|1|2720.17|2720.17</v>
      </c>
      <c r="AG827" t="str">
        <f>IF(COUNTIF($A$2:$A$913,A827)&gt;1,"TRUE","FALSE")</f>
        <v>FALSE</v>
      </c>
    </row>
    <row r="828" spans="1:33">
      <c r="A828" t="s">
        <v>3349</v>
      </c>
      <c r="B828" t="s">
        <v>2015</v>
      </c>
      <c r="C828" t="s">
        <v>1712</v>
      </c>
      <c r="D828">
        <f>IF(OR(B828="", C828=""), "", (C828 - B828))</f>
        <v>4</v>
      </c>
      <c r="E828" t="str">
        <f>IF(C828&lt;B828, "INVALID: Ship date before order date", "")</f>
        <v/>
      </c>
      <c r="F828" t="str">
        <f>IF(B828="", "", TEXT(B828, "mmmm"))</f>
        <v>August</v>
      </c>
      <c r="G828">
        <f>IF(B828="", "", YEAR(B828))</f>
        <v>2025</v>
      </c>
      <c r="H828" t="s">
        <v>2480</v>
      </c>
      <c r="I828" t="s">
        <v>88</v>
      </c>
      <c r="J828" t="s">
        <v>23</v>
      </c>
      <c r="K828" t="s">
        <v>62</v>
      </c>
      <c r="L828" t="s">
        <v>25</v>
      </c>
      <c r="M828" t="s">
        <v>107</v>
      </c>
      <c r="N828" t="s">
        <v>74</v>
      </c>
      <c r="O828" t="s">
        <v>75</v>
      </c>
      <c r="P828" t="s">
        <v>2481</v>
      </c>
      <c r="Q828" t="s">
        <v>58</v>
      </c>
      <c r="R828">
        <v>5</v>
      </c>
      <c r="S828" s="15">
        <v>2190.14</v>
      </c>
      <c r="T828" s="4">
        <v>0.25</v>
      </c>
      <c r="U828" s="3" t="str">
        <f>IF(T828&lt;0, "negative_discount", IF(AND(T828&gt;0.5, T828&lt;=1), "high_discount", ""))</f>
        <v/>
      </c>
      <c r="V828" s="11">
        <v>8213.02</v>
      </c>
      <c r="W828" s="12">
        <v>8213.0300000000007</v>
      </c>
      <c r="X828" s="11">
        <v>5569.3</v>
      </c>
      <c r="Y828" s="11">
        <v>2643.72</v>
      </c>
      <c r="Z828" s="11">
        <f>ROUND(W828-X828,2)</f>
        <v>2643.73</v>
      </c>
      <c r="AA828" s="4">
        <f>IF(W828=0,0,Z828/W828)</f>
        <v>0.3218945991917721</v>
      </c>
      <c r="AB828" t="s">
        <v>31</v>
      </c>
      <c r="AC828" t="s">
        <v>32</v>
      </c>
      <c r="AD828" t="str">
        <f>IF(AND(E828="", T828&gt;=0, T828&lt;=0.5, K828&lt;&gt;"Unknown", Q828&lt;&gt;"Unknown"), "CLEAN", _xlfn.CONCAT("WARNING: ", IF(E828&lt;&gt;"","invalid_date",""), IF(T828&lt;0,"negative_discount",""), IF(AND(T828&gt;0.5,T828&lt;=1),"high_discount",""), IF(K828="Unknown","missing_region",""), IF(Q828="Unknown","missing_ship_mode","")))</f>
        <v>CLEAN</v>
      </c>
      <c r="AE828" t="str">
        <f>IF(COUNTIF($AF$2:$AF$926,AF828)&gt;1,"DUPLICATE","UNIQUE")</f>
        <v>UNIQUE</v>
      </c>
      <c r="AF828" t="str">
        <f>A828&amp;"|"&amp;B828&amp;"|"&amp;H828&amp;"|"&amp;I828&amp;"|"&amp;R828&amp;"|"&amp;S828&amp;"|"&amp;V828</f>
        <v>ORD-2025-10827|2025-08-10|CUST-4375|Aditi Sen|5|2190.14|8213.02</v>
      </c>
      <c r="AG828" t="str">
        <f>IF(COUNTIF($A$2:$A$913,A828)&gt;1,"TRUE","FALSE")</f>
        <v>FALSE</v>
      </c>
    </row>
    <row r="829" spans="1:33">
      <c r="A829" t="s">
        <v>2482</v>
      </c>
      <c r="B829" t="s">
        <v>2861</v>
      </c>
      <c r="C829" t="s">
        <v>2751</v>
      </c>
      <c r="D829">
        <f>IF(OR(B829="", C829=""), "", (C829 - B829))</f>
        <v>-317</v>
      </c>
      <c r="E829" t="str">
        <f>IF(C829&lt;B829, "INVALID: Ship date before order date", "")</f>
        <v>INVALID: Ship date before order date</v>
      </c>
      <c r="F829" t="str">
        <f>IF(B829="", "", TEXT(B829, "mmmm"))</f>
        <v>November</v>
      </c>
      <c r="G829">
        <f>IF(B829="", "", YEAR(B829))</f>
        <v>2024</v>
      </c>
      <c r="H829" t="s">
        <v>2483</v>
      </c>
      <c r="I829" t="s">
        <v>112</v>
      </c>
      <c r="J829" t="s">
        <v>93</v>
      </c>
      <c r="K829" t="s">
        <v>53</v>
      </c>
      <c r="L829" t="s">
        <v>246</v>
      </c>
      <c r="M829" t="s">
        <v>247</v>
      </c>
      <c r="N829" t="s">
        <v>27</v>
      </c>
      <c r="O829" t="s">
        <v>28</v>
      </c>
      <c r="P829" t="s">
        <v>2484</v>
      </c>
      <c r="Q829" t="s">
        <v>43</v>
      </c>
      <c r="R829">
        <v>1</v>
      </c>
      <c r="S829" s="15">
        <v>844.89</v>
      </c>
      <c r="T829" s="4">
        <v>0.25</v>
      </c>
      <c r="U829" s="3" t="str">
        <f>IF(T829&lt;0, "negative_discount", IF(AND(T829&gt;0.5, T829&lt;=1), "high_discount", ""))</f>
        <v/>
      </c>
      <c r="V829" s="11">
        <v>633.66999999999996</v>
      </c>
      <c r="W829" s="12">
        <v>633.66999999999996</v>
      </c>
      <c r="X829" s="11">
        <v>520.47</v>
      </c>
      <c r="Y829" s="11">
        <v>113.2</v>
      </c>
      <c r="Z829" s="11">
        <f>ROUND(W829-X829,2)</f>
        <v>113.2</v>
      </c>
      <c r="AA829" s="4">
        <f>IF(W829=0,0,Z829/W829)</f>
        <v>0.1786418798428204</v>
      </c>
      <c r="AB829" t="s">
        <v>31</v>
      </c>
      <c r="AC829" t="s">
        <v>67</v>
      </c>
      <c r="AD829" t="str">
        <f>IF(AND(E829="", T829&gt;=0, T829&lt;=0.5, K829&lt;&gt;"Unknown", Q829&lt;&gt;"Unknown"), "CLEAN", _xlfn.CONCAT("WARNING: ", IF(E829&lt;&gt;"","invalid_date",""), IF(T829&lt;0,"negative_discount",""), IF(AND(T829&gt;0.5,T829&lt;=1),"high_discount",""), IF(K829="Unknown","missing_region",""), IF(Q829="Unknown","missing_ship_mode","")))</f>
        <v>WARNING: invalid_date</v>
      </c>
      <c r="AE829" t="str">
        <f>IF(COUNTIF($AF$2:$AF$926,AF829)&gt;1,"DUPLICATE","UNIQUE")</f>
        <v>UNIQUE</v>
      </c>
      <c r="AF829" t="str">
        <f>A829&amp;"|"&amp;B829&amp;"|"&amp;H829&amp;"|"&amp;I829&amp;"|"&amp;R829&amp;"|"&amp;S829&amp;"|"&amp;V829</f>
        <v>ORD-2024-10828|2024-11-24|CUST-5125|Priya Menon|1|844.89|633.67</v>
      </c>
      <c r="AG829" t="str">
        <f>IF(COUNTIF($A$2:$A$913,A829)&gt;1,"TRUE","FALSE")</f>
        <v>FALSE</v>
      </c>
    </row>
    <row r="830" spans="1:33">
      <c r="A830" t="s">
        <v>3350</v>
      </c>
      <c r="B830" t="s">
        <v>224</v>
      </c>
      <c r="C830" t="s">
        <v>2956</v>
      </c>
      <c r="D830">
        <f>IF(OR(B830="", C830=""), "", (C830 - B830))</f>
        <v>31</v>
      </c>
      <c r="E830" t="str">
        <f>IF(C830&lt;B830, "INVALID: Ship date before order date", "")</f>
        <v/>
      </c>
      <c r="F830" t="str">
        <f>IF(B830="", "", TEXT(B830, "mmmm"))</f>
        <v>October</v>
      </c>
      <c r="G830">
        <f>IF(B830="", "", YEAR(B830))</f>
        <v>2025</v>
      </c>
      <c r="H830" t="s">
        <v>2485</v>
      </c>
      <c r="I830" t="s">
        <v>22</v>
      </c>
      <c r="J830" t="s">
        <v>89</v>
      </c>
      <c r="K830" t="s">
        <v>37</v>
      </c>
      <c r="L830" t="s">
        <v>38</v>
      </c>
      <c r="M830" t="s">
        <v>39</v>
      </c>
      <c r="N830" t="s">
        <v>40</v>
      </c>
      <c r="O830" t="s">
        <v>65</v>
      </c>
      <c r="P830" t="s">
        <v>2486</v>
      </c>
      <c r="Q830" t="s">
        <v>30</v>
      </c>
      <c r="R830">
        <v>7</v>
      </c>
      <c r="S830" s="15">
        <v>3791.96</v>
      </c>
      <c r="T830" s="4">
        <v>0.05</v>
      </c>
      <c r="U830" s="3" t="str">
        <f>IF(T830&lt;0, "negative_discount", IF(AND(T830&gt;0.5, T830&lt;=1), "high_discount", ""))</f>
        <v/>
      </c>
      <c r="V830" s="11">
        <v>25216.53</v>
      </c>
      <c r="W830" s="12">
        <v>25216.53</v>
      </c>
      <c r="X830" s="11">
        <v>14216.94</v>
      </c>
      <c r="Y830" s="11">
        <v>10999.59</v>
      </c>
      <c r="Z830" s="11">
        <f>ROUND(W830-X830,2)</f>
        <v>10999.59</v>
      </c>
      <c r="AA830" s="4">
        <f>IF(W830=0,0,Z830/W830)</f>
        <v>0.43620553660634515</v>
      </c>
      <c r="AB830" t="s">
        <v>151</v>
      </c>
      <c r="AC830" t="s">
        <v>67</v>
      </c>
      <c r="AD830" t="str">
        <f>IF(AND(E830="", T830&gt;=0, T830&lt;=0.5, K830&lt;&gt;"Unknown", Q830&lt;&gt;"Unknown"), "CLEAN", _xlfn.CONCAT("WARNING: ", IF(E830&lt;&gt;"","invalid_date",""), IF(T830&lt;0,"negative_discount",""), IF(AND(T830&gt;0.5,T830&lt;=1),"high_discount",""), IF(K830="Unknown","missing_region",""), IF(Q830="Unknown","missing_ship_mode","")))</f>
        <v>CLEAN</v>
      </c>
      <c r="AE830" t="str">
        <f>IF(COUNTIF($AF$2:$AF$926,AF830)&gt;1,"DUPLICATE","UNIQUE")</f>
        <v>UNIQUE</v>
      </c>
      <c r="AF830" t="str">
        <f>A830&amp;"|"&amp;B830&amp;"|"&amp;H830&amp;"|"&amp;I830&amp;"|"&amp;R830&amp;"|"&amp;S830&amp;"|"&amp;V830</f>
        <v>ORD-2025-10829|2025-10-10|CUST-6010|Karan Malhotra|7|3791.96|25216.53</v>
      </c>
      <c r="AG830" t="str">
        <f>IF(COUNTIF($A$2:$A$913,A830)&gt;1,"TRUE","FALSE")</f>
        <v>FALSE</v>
      </c>
    </row>
    <row r="831" spans="1:33">
      <c r="A831" t="s">
        <v>2487</v>
      </c>
      <c r="B831" t="s">
        <v>2832</v>
      </c>
      <c r="C831" t="s">
        <v>2764</v>
      </c>
      <c r="D831">
        <f>IF(OR(B831="", C831=""), "", (C831 - B831))</f>
        <v>2</v>
      </c>
      <c r="E831" t="str">
        <f>IF(C831&lt;B831, "INVALID: Ship date before order date", "")</f>
        <v/>
      </c>
      <c r="F831" t="str">
        <f>IF(B831="", "", TEXT(B831, "mmmm"))</f>
        <v>February</v>
      </c>
      <c r="G831">
        <f>IF(B831="", "", YEAR(B831))</f>
        <v>2024</v>
      </c>
      <c r="H831" t="s">
        <v>2488</v>
      </c>
      <c r="I831" t="s">
        <v>88</v>
      </c>
      <c r="J831" t="s">
        <v>36</v>
      </c>
      <c r="K831" t="s">
        <v>62</v>
      </c>
      <c r="L831" t="s">
        <v>185</v>
      </c>
      <c r="M831" t="s">
        <v>186</v>
      </c>
      <c r="N831" t="s">
        <v>40</v>
      </c>
      <c r="O831" t="s">
        <v>56</v>
      </c>
      <c r="P831" t="s">
        <v>2489</v>
      </c>
      <c r="Q831" t="s">
        <v>30</v>
      </c>
      <c r="R831">
        <v>7</v>
      </c>
      <c r="S831" s="15">
        <v>1035.1400000000001</v>
      </c>
      <c r="T831" s="4">
        <v>0.1</v>
      </c>
      <c r="U831" s="3" t="str">
        <f>IF(T831&lt;0, "negative_discount", IF(AND(T831&gt;0.5, T831&lt;=1), "high_discount", ""))</f>
        <v/>
      </c>
      <c r="V831" s="11">
        <v>6521.38</v>
      </c>
      <c r="W831" s="12">
        <v>6521.38</v>
      </c>
      <c r="X831" s="11">
        <v>4511.1000000000004</v>
      </c>
      <c r="Y831" s="11">
        <v>2010.28</v>
      </c>
      <c r="Z831" s="11">
        <f>ROUND(W831-X831,2)</f>
        <v>2010.28</v>
      </c>
      <c r="AA831" s="4">
        <f>IF(W831=0,0,Z831/W831)</f>
        <v>0.30825990817894372</v>
      </c>
      <c r="AB831" t="s">
        <v>31</v>
      </c>
      <c r="AC831" t="s">
        <v>32</v>
      </c>
      <c r="AD831" t="str">
        <f>IF(AND(E831="", T831&gt;=0, T831&lt;=0.5, K831&lt;&gt;"Unknown", Q831&lt;&gt;"Unknown"), "CLEAN", _xlfn.CONCAT("WARNING: ", IF(E831&lt;&gt;"","invalid_date",""), IF(T831&lt;0,"negative_discount",""), IF(AND(T831&gt;0.5,T831&lt;=1),"high_discount",""), IF(K831="Unknown","missing_region",""), IF(Q831="Unknown","missing_ship_mode","")))</f>
        <v>CLEAN</v>
      </c>
      <c r="AE831" t="str">
        <f>IF(COUNTIF($AF$2:$AF$926,AF831)&gt;1,"DUPLICATE","UNIQUE")</f>
        <v>UNIQUE</v>
      </c>
      <c r="AF831" t="str">
        <f>A831&amp;"|"&amp;B831&amp;"|"&amp;H831&amp;"|"&amp;I831&amp;"|"&amp;R831&amp;"|"&amp;S831&amp;"|"&amp;V831</f>
        <v>ORD-2024-10830|2024-02-26|CUST-9036|Aditi Sen|7|1035.14|6521.38</v>
      </c>
      <c r="AG831" t="str">
        <f>IF(COUNTIF($A$2:$A$913,A831)&gt;1,"TRUE","FALSE")</f>
        <v>FALSE</v>
      </c>
    </row>
    <row r="832" spans="1:33">
      <c r="A832" t="s">
        <v>3351</v>
      </c>
      <c r="B832" t="s">
        <v>2678</v>
      </c>
      <c r="C832" t="s">
        <v>1649</v>
      </c>
      <c r="D832">
        <f>IF(OR(B832="", C832=""), "", (C832 - B832))</f>
        <v>3</v>
      </c>
      <c r="E832" t="str">
        <f>IF(C832&lt;B832, "INVALID: Ship date before order date", "")</f>
        <v/>
      </c>
      <c r="F832" t="str">
        <f>IF(B832="", "", TEXT(B832, "mmmm"))</f>
        <v>July</v>
      </c>
      <c r="G832">
        <f>IF(B832="", "", YEAR(B832))</f>
        <v>2025</v>
      </c>
      <c r="H832" t="s">
        <v>2490</v>
      </c>
      <c r="I832" t="s">
        <v>88</v>
      </c>
      <c r="J832" t="s">
        <v>36</v>
      </c>
      <c r="K832" t="s">
        <v>2970</v>
      </c>
      <c r="L832" t="s">
        <v>246</v>
      </c>
      <c r="M832" t="s">
        <v>247</v>
      </c>
      <c r="N832" t="s">
        <v>74</v>
      </c>
      <c r="O832" t="s">
        <v>272</v>
      </c>
      <c r="P832" t="s">
        <v>2491</v>
      </c>
      <c r="Q832" t="s">
        <v>49</v>
      </c>
      <c r="R832">
        <v>6</v>
      </c>
      <c r="S832" s="15">
        <v>2382.88</v>
      </c>
      <c r="T832" s="4">
        <v>0.1</v>
      </c>
      <c r="U832" s="3" t="str">
        <f>IF(T832&lt;0, "negative_discount", IF(AND(T832&gt;0.5, T832&lt;=1), "high_discount", ""))</f>
        <v/>
      </c>
      <c r="V832" s="11">
        <v>12867.55</v>
      </c>
      <c r="W832" s="12">
        <v>12867.55</v>
      </c>
      <c r="X832" s="11">
        <v>10068.94</v>
      </c>
      <c r="Y832" s="11">
        <v>2798.61</v>
      </c>
      <c r="Z832" s="11">
        <f>ROUND(W832-X832,2)</f>
        <v>2798.61</v>
      </c>
      <c r="AA832" s="4">
        <f>IF(W832=0,0,Z832/W832)</f>
        <v>0.2174936176661447</v>
      </c>
      <c r="AB832" t="s">
        <v>31</v>
      </c>
      <c r="AC832" t="s">
        <v>32</v>
      </c>
      <c r="AD832" t="str">
        <f>IF(AND(E832="", T832&gt;=0, T832&lt;=0.5, K832&lt;&gt;"Unknown", Q832&lt;&gt;"Unknown"), "CLEAN", _xlfn.CONCAT("WARNING: ", IF(E832&lt;&gt;"","invalid_date",""), IF(T832&lt;0,"negative_discount",""), IF(AND(T832&gt;0.5,T832&lt;=1),"high_discount",""), IF(K832="Unknown","missing_region",""), IF(Q832="Unknown","missing_ship_mode","")))</f>
        <v>WARNING: missing_region</v>
      </c>
      <c r="AE832" t="str">
        <f>IF(COUNTIF($AF$2:$AF$926,AF832)&gt;1,"DUPLICATE","UNIQUE")</f>
        <v>UNIQUE</v>
      </c>
      <c r="AF832" t="str">
        <f>A832&amp;"|"&amp;B832&amp;"|"&amp;H832&amp;"|"&amp;I832&amp;"|"&amp;R832&amp;"|"&amp;S832&amp;"|"&amp;V832</f>
        <v>ORD-2025-10831|2025-07-15|CUST-7929|Aditi Sen|6|2382.88|12867.55</v>
      </c>
      <c r="AG832" t="str">
        <f>IF(COUNTIF($A$2:$A$913,A832)&gt;1,"TRUE","FALSE")</f>
        <v>FALSE</v>
      </c>
    </row>
    <row r="833" spans="1:33">
      <c r="A833" t="s">
        <v>3352</v>
      </c>
      <c r="B833" t="s">
        <v>2887</v>
      </c>
      <c r="C833" t="s">
        <v>2786</v>
      </c>
      <c r="D833">
        <f>IF(OR(B833="", C833=""), "", (C833 - B833))</f>
        <v>-30</v>
      </c>
      <c r="E833" t="str">
        <f>IF(C833&lt;B833, "INVALID: Ship date before order date", "")</f>
        <v>INVALID: Ship date before order date</v>
      </c>
      <c r="F833" t="str">
        <f>IF(B833="", "", TEXT(B833, "mmmm"))</f>
        <v>April</v>
      </c>
      <c r="G833">
        <f>IF(B833="", "", YEAR(B833))</f>
        <v>2025</v>
      </c>
      <c r="H833" t="s">
        <v>2492</v>
      </c>
      <c r="I833" t="s">
        <v>158</v>
      </c>
      <c r="J833" t="s">
        <v>93</v>
      </c>
      <c r="K833" t="s">
        <v>2970</v>
      </c>
      <c r="L833" t="s">
        <v>234</v>
      </c>
      <c r="M833" t="s">
        <v>235</v>
      </c>
      <c r="N833" t="s">
        <v>40</v>
      </c>
      <c r="O833" t="s">
        <v>65</v>
      </c>
      <c r="P833" t="s">
        <v>2493</v>
      </c>
      <c r="Q833" t="s">
        <v>49</v>
      </c>
      <c r="R833">
        <v>9</v>
      </c>
      <c r="S833" s="15">
        <v>3462.7</v>
      </c>
      <c r="T833" s="4">
        <v>0.15</v>
      </c>
      <c r="U833" s="3" t="str">
        <f>IF(T833&lt;0, "negative_discount", IF(AND(T833&gt;0.5, T833&lt;=1), "high_discount", ""))</f>
        <v/>
      </c>
      <c r="V833" s="11">
        <v>26489.65</v>
      </c>
      <c r="W833" s="12">
        <v>26489.66</v>
      </c>
      <c r="X833" s="11">
        <v>15818.46</v>
      </c>
      <c r="Y833" s="11">
        <v>10671.19</v>
      </c>
      <c r="Z833" s="11">
        <f>ROUND(W833-X833,2)</f>
        <v>10671.2</v>
      </c>
      <c r="AA833" s="4">
        <f>IF(W833=0,0,Z833/W833)</f>
        <v>0.40284397761239671</v>
      </c>
      <c r="AB833" t="s">
        <v>151</v>
      </c>
      <c r="AC833" t="s">
        <v>100</v>
      </c>
      <c r="AD833" t="str">
        <f>IF(AND(E833="", T833&gt;=0, T833&lt;=0.5, K833&lt;&gt;"Unknown", Q833&lt;&gt;"Unknown"), "CLEAN", _xlfn.CONCAT("WARNING: ", IF(E833&lt;&gt;"","invalid_date",""), IF(T833&lt;0,"negative_discount",""), IF(AND(T833&gt;0.5,T833&lt;=1),"high_discount",""), IF(K833="Unknown","missing_region",""), IF(Q833="Unknown","missing_ship_mode","")))</f>
        <v>WARNING: invalid_datemissing_region</v>
      </c>
      <c r="AE833" t="str">
        <f>IF(COUNTIF($AF$2:$AF$926,AF833)&gt;1,"DUPLICATE","UNIQUE")</f>
        <v>UNIQUE</v>
      </c>
      <c r="AF833" t="str">
        <f>A833&amp;"|"&amp;B833&amp;"|"&amp;H833&amp;"|"&amp;I833&amp;"|"&amp;R833&amp;"|"&amp;S833&amp;"|"&amp;V833</f>
        <v>ORD-2025-10832|2025-04-03|CUST-1106|Diya Patel|9|3462.7|26489.65</v>
      </c>
      <c r="AG833" t="str">
        <f>IF(COUNTIF($A$2:$A$913,A833)&gt;1,"TRUE","FALSE")</f>
        <v>FALSE</v>
      </c>
    </row>
    <row r="834" spans="1:33">
      <c r="A834" t="s">
        <v>3353</v>
      </c>
      <c r="B834" t="s">
        <v>886</v>
      </c>
      <c r="C834" t="s">
        <v>1088</v>
      </c>
      <c r="D834">
        <f>IF(OR(B834="", C834=""), "", (C834 - B834))</f>
        <v>2</v>
      </c>
      <c r="E834" t="str">
        <f>IF(C834&lt;B834, "INVALID: Ship date before order date", "")</f>
        <v/>
      </c>
      <c r="F834" t="str">
        <f>IF(B834="", "", TEXT(B834, "mmmm"))</f>
        <v>May</v>
      </c>
      <c r="G834">
        <f>IF(B834="", "", YEAR(B834))</f>
        <v>2025</v>
      </c>
      <c r="H834" t="s">
        <v>2494</v>
      </c>
      <c r="I834" t="s">
        <v>263</v>
      </c>
      <c r="J834" t="s">
        <v>36</v>
      </c>
      <c r="K834" t="s">
        <v>53</v>
      </c>
      <c r="L834" t="s">
        <v>83</v>
      </c>
      <c r="M834" t="s">
        <v>84</v>
      </c>
      <c r="N834" t="s">
        <v>74</v>
      </c>
      <c r="O834" t="s">
        <v>168</v>
      </c>
      <c r="P834" t="s">
        <v>2495</v>
      </c>
      <c r="Q834" t="s">
        <v>30</v>
      </c>
      <c r="R834">
        <v>9</v>
      </c>
      <c r="S834" s="15">
        <v>4302.0200000000004</v>
      </c>
      <c r="T834" s="4">
        <v>0.05</v>
      </c>
      <c r="U834" s="3" t="str">
        <f>IF(T834&lt;0, "negative_discount", IF(AND(T834&gt;0.5, T834&lt;=1), "high_discount", ""))</f>
        <v/>
      </c>
      <c r="V834" s="11">
        <v>36782.269999999997</v>
      </c>
      <c r="W834" s="12">
        <v>36782.269999999997</v>
      </c>
      <c r="X834" s="11">
        <v>25902.81</v>
      </c>
      <c r="Y834" s="11">
        <v>10879.46</v>
      </c>
      <c r="Z834" s="11">
        <f>ROUND(W834-X834,2)</f>
        <v>10879.46</v>
      </c>
      <c r="AA834" s="4">
        <f>IF(W834=0,0,Z834/W834)</f>
        <v>0.2957800048773499</v>
      </c>
      <c r="AB834" t="s">
        <v>31</v>
      </c>
      <c r="AC834" t="s">
        <v>32</v>
      </c>
      <c r="AD834" t="str">
        <f>IF(AND(E834="", T834&gt;=0, T834&lt;=0.5, K834&lt;&gt;"Unknown", Q834&lt;&gt;"Unknown"), "CLEAN", _xlfn.CONCAT("WARNING: ", IF(E834&lt;&gt;"","invalid_date",""), IF(T834&lt;0,"negative_discount",""), IF(AND(T834&gt;0.5,T834&lt;=1),"high_discount",""), IF(K834="Unknown","missing_region",""), IF(Q834="Unknown","missing_ship_mode","")))</f>
        <v>CLEAN</v>
      </c>
      <c r="AE834" t="str">
        <f>IF(COUNTIF($AF$2:$AF$926,AF834)&gt;1,"DUPLICATE","UNIQUE")</f>
        <v>UNIQUE</v>
      </c>
      <c r="AF834" t="str">
        <f>A834&amp;"|"&amp;B834&amp;"|"&amp;H834&amp;"|"&amp;I834&amp;"|"&amp;R834&amp;"|"&amp;S834&amp;"|"&amp;V834</f>
        <v>ORD-2025-10833|2025-05-26|CUST-9557|Kabir Singh|9|4302.02|36782.27</v>
      </c>
      <c r="AG834" t="str">
        <f>IF(COUNTIF($A$2:$A$913,A834)&gt;1,"TRUE","FALSE")</f>
        <v>FALSE</v>
      </c>
    </row>
    <row r="835" spans="1:33">
      <c r="A835" t="s">
        <v>2496</v>
      </c>
      <c r="B835" t="s">
        <v>2497</v>
      </c>
      <c r="C835" t="s">
        <v>2497</v>
      </c>
      <c r="D835">
        <f>IF(OR(B835="", C835=""), "", (C835 - B835))</f>
        <v>0</v>
      </c>
      <c r="E835" t="str">
        <f>IF(C835&lt;B835, "INVALID: Ship date before order date", "")</f>
        <v/>
      </c>
      <c r="F835" t="str">
        <f>IF(B835="", "", TEXT(B835, "mmmm"))</f>
        <v>June</v>
      </c>
      <c r="G835">
        <f>IF(B835="", "", YEAR(B835))</f>
        <v>2024</v>
      </c>
      <c r="H835" t="s">
        <v>2498</v>
      </c>
      <c r="I835" t="s">
        <v>116</v>
      </c>
      <c r="J835" t="s">
        <v>93</v>
      </c>
      <c r="K835" t="s">
        <v>37</v>
      </c>
      <c r="L835" t="s">
        <v>96</v>
      </c>
      <c r="M835" t="s">
        <v>97</v>
      </c>
      <c r="N835" t="s">
        <v>40</v>
      </c>
      <c r="O835" t="s">
        <v>153</v>
      </c>
      <c r="P835" t="s">
        <v>2499</v>
      </c>
      <c r="Q835" t="s">
        <v>49</v>
      </c>
      <c r="R835">
        <v>6</v>
      </c>
      <c r="S835" s="15">
        <v>3949.4</v>
      </c>
      <c r="T835" s="4">
        <v>0</v>
      </c>
      <c r="U835" s="3" t="str">
        <f>IF(T835&lt;0, "negative_discount", IF(AND(T835&gt;0.5, T835&lt;=1), "high_discount", ""))</f>
        <v/>
      </c>
      <c r="V835" s="11">
        <v>23696.400000000001</v>
      </c>
      <c r="W835" s="12">
        <v>23696.400000000001</v>
      </c>
      <c r="X835" s="11">
        <v>18109.77</v>
      </c>
      <c r="Y835" s="11">
        <v>5586.63</v>
      </c>
      <c r="Z835" s="11">
        <f>ROUND(W835-X835,2)</f>
        <v>5586.63</v>
      </c>
      <c r="AA835" s="4">
        <f>IF(W835=0,0,Z835/W835)</f>
        <v>0.2357585962424672</v>
      </c>
      <c r="AB835" t="s">
        <v>31</v>
      </c>
      <c r="AC835" t="s">
        <v>32</v>
      </c>
      <c r="AD835" t="str">
        <f>IF(AND(E835="", T835&gt;=0, T835&lt;=0.5, K835&lt;&gt;"Unknown", Q835&lt;&gt;"Unknown"), "CLEAN", _xlfn.CONCAT("WARNING: ", IF(E835&lt;&gt;"","invalid_date",""), IF(T835&lt;0,"negative_discount",""), IF(AND(T835&gt;0.5,T835&lt;=1),"high_discount",""), IF(K835="Unknown","missing_region",""), IF(Q835="Unknown","missing_ship_mode","")))</f>
        <v>CLEAN</v>
      </c>
      <c r="AE835" t="str">
        <f>IF(COUNTIF($AF$2:$AF$926,AF835)&gt;1,"DUPLICATE","UNIQUE")</f>
        <v>UNIQUE</v>
      </c>
      <c r="AF835" t="str">
        <f>A835&amp;"|"&amp;B835&amp;"|"&amp;H835&amp;"|"&amp;I835&amp;"|"&amp;R835&amp;"|"&amp;S835&amp;"|"&amp;V835</f>
        <v>ORD-2024-10834|2024-06-04|CUST-2689|Rahul Verma|6|3949.4|23696.4</v>
      </c>
      <c r="AG835" t="str">
        <f>IF(COUNTIF($A$2:$A$913,A835)&gt;1,"TRUE","FALSE")</f>
        <v>FALSE</v>
      </c>
    </row>
    <row r="836" spans="1:33">
      <c r="A836" t="s">
        <v>2500</v>
      </c>
      <c r="B836" t="s">
        <v>2710</v>
      </c>
      <c r="C836" t="s">
        <v>2501</v>
      </c>
      <c r="D836">
        <f>IF(OR(B836="", C836=""), "", (C836 - B836))</f>
        <v>4</v>
      </c>
      <c r="E836" t="str">
        <f>IF(C836&lt;B836, "INVALID: Ship date before order date", "")</f>
        <v/>
      </c>
      <c r="F836" t="str">
        <f>IF(B836="", "", TEXT(B836, "mmmm"))</f>
        <v>October</v>
      </c>
      <c r="G836">
        <f>IF(B836="", "", YEAR(B836))</f>
        <v>2024</v>
      </c>
      <c r="H836" t="s">
        <v>2502</v>
      </c>
      <c r="I836" t="s">
        <v>126</v>
      </c>
      <c r="J836" t="s">
        <v>93</v>
      </c>
      <c r="K836" t="s">
        <v>53</v>
      </c>
      <c r="L836" t="s">
        <v>54</v>
      </c>
      <c r="M836" t="s">
        <v>55</v>
      </c>
      <c r="N836" t="s">
        <v>27</v>
      </c>
      <c r="O836" t="s">
        <v>47</v>
      </c>
      <c r="P836" t="s">
        <v>2503</v>
      </c>
      <c r="Q836" t="s">
        <v>49</v>
      </c>
      <c r="R836">
        <v>6</v>
      </c>
      <c r="S836" s="15">
        <v>674.61</v>
      </c>
      <c r="T836" s="4">
        <v>0</v>
      </c>
      <c r="U836" s="3" t="str">
        <f>IF(T836&lt;0, "negative_discount", IF(AND(T836&gt;0.5, T836&lt;=1), "high_discount", ""))</f>
        <v/>
      </c>
      <c r="V836" s="11">
        <v>4047.66</v>
      </c>
      <c r="W836" s="12">
        <v>4047.66</v>
      </c>
      <c r="X836" s="11">
        <v>3078.93</v>
      </c>
      <c r="Y836" s="11">
        <v>1279.79</v>
      </c>
      <c r="Z836" s="11">
        <f>ROUND(W836-X836,2)</f>
        <v>968.73</v>
      </c>
      <c r="AA836" s="4">
        <f>IF(W836=0,0,Z836/W836)</f>
        <v>0.23933087265234729</v>
      </c>
      <c r="AB836" t="s">
        <v>31</v>
      </c>
      <c r="AC836" t="s">
        <v>32</v>
      </c>
      <c r="AD836" t="str">
        <f>IF(AND(E836="", T836&gt;=0, T836&lt;=0.5, K836&lt;&gt;"Unknown", Q836&lt;&gt;"Unknown"), "CLEAN", _xlfn.CONCAT("WARNING: ", IF(E836&lt;&gt;"","invalid_date",""), IF(T836&lt;0,"negative_discount",""), IF(AND(T836&gt;0.5,T836&lt;=1),"high_discount",""), IF(K836="Unknown","missing_region",""), IF(Q836="Unknown","missing_ship_mode","")))</f>
        <v>CLEAN</v>
      </c>
      <c r="AE836" t="str">
        <f>IF(COUNTIF($AF$2:$AF$926,AF836)&gt;1,"DUPLICATE","UNIQUE")</f>
        <v>UNIQUE</v>
      </c>
      <c r="AF836" t="str">
        <f>A836&amp;"|"&amp;B836&amp;"|"&amp;H836&amp;"|"&amp;I836&amp;"|"&amp;R836&amp;"|"&amp;S836&amp;"|"&amp;V836</f>
        <v>ORD-2024-10835|2024-10-18|CUST-2879|Aarav Sharma|6|674.61|4047.66</v>
      </c>
      <c r="AG836" t="str">
        <f>IF(COUNTIF($A$2:$A$913,A836)&gt;1,"TRUE","FALSE")</f>
        <v>FALSE</v>
      </c>
    </row>
    <row r="837" spans="1:33">
      <c r="A837" t="s">
        <v>3354</v>
      </c>
      <c r="B837" t="s">
        <v>2794</v>
      </c>
      <c r="C837" t="s">
        <v>1679</v>
      </c>
      <c r="D837">
        <f>IF(OR(B837="", C837=""), "", (C837 - B837))</f>
        <v>-169</v>
      </c>
      <c r="E837" t="str">
        <f>IF(C837&lt;B837, "INVALID: Ship date before order date", "")</f>
        <v>INVALID: Ship date before order date</v>
      </c>
      <c r="F837" t="str">
        <f>IF(B837="", "", TEXT(B837, "mmmm"))</f>
        <v>September</v>
      </c>
      <c r="G837">
        <f>IF(B837="", "", YEAR(B837))</f>
        <v>2025</v>
      </c>
      <c r="H837" t="s">
        <v>2504</v>
      </c>
      <c r="I837" t="s">
        <v>112</v>
      </c>
      <c r="J837" t="s">
        <v>36</v>
      </c>
      <c r="K837" t="s">
        <v>37</v>
      </c>
      <c r="L837" t="s">
        <v>163</v>
      </c>
      <c r="M837" t="s">
        <v>164</v>
      </c>
      <c r="N837" t="s">
        <v>74</v>
      </c>
      <c r="O837" t="s">
        <v>168</v>
      </c>
      <c r="P837" t="s">
        <v>2505</v>
      </c>
      <c r="Q837" t="s">
        <v>30</v>
      </c>
      <c r="R837">
        <v>7</v>
      </c>
      <c r="S837" s="15">
        <v>1509.59</v>
      </c>
      <c r="T837" s="4">
        <v>0.05</v>
      </c>
      <c r="U837" s="3" t="str">
        <f>IF(T837&lt;0, "negative_discount", IF(AND(T837&gt;0.5, T837&lt;=1), "high_discount", ""))</f>
        <v/>
      </c>
      <c r="V837" s="11">
        <v>10038.77</v>
      </c>
      <c r="W837" s="12">
        <v>10038.77</v>
      </c>
      <c r="X837" s="11">
        <v>5673.1</v>
      </c>
      <c r="Y837" s="11">
        <v>4365.67</v>
      </c>
      <c r="Z837" s="11">
        <f>ROUND(W837-X837,2)</f>
        <v>4365.67</v>
      </c>
      <c r="AA837" s="4">
        <f>IF(W837=0,0,Z837/W837)</f>
        <v>0.43488096649290697</v>
      </c>
      <c r="AB837" t="s">
        <v>31</v>
      </c>
      <c r="AC837" t="s">
        <v>32</v>
      </c>
      <c r="AD837" t="str">
        <f>IF(AND(E837="", T837&gt;=0, T837&lt;=0.5, K837&lt;&gt;"Unknown", Q837&lt;&gt;"Unknown"), "CLEAN", _xlfn.CONCAT("WARNING: ", IF(E837&lt;&gt;"","invalid_date",""), IF(T837&lt;0,"negative_discount",""), IF(AND(T837&gt;0.5,T837&lt;=1),"high_discount",""), IF(K837="Unknown","missing_region",""), IF(Q837="Unknown","missing_ship_mode","")))</f>
        <v>WARNING: invalid_date</v>
      </c>
      <c r="AE837" t="str">
        <f>IF(COUNTIF($AF$2:$AF$926,AF837)&gt;1,"DUPLICATE","UNIQUE")</f>
        <v>UNIQUE</v>
      </c>
      <c r="AF837" t="str">
        <f>A837&amp;"|"&amp;B837&amp;"|"&amp;H837&amp;"|"&amp;I837&amp;"|"&amp;R837&amp;"|"&amp;S837&amp;"|"&amp;V837</f>
        <v>ORD-2025-10836|2025-09-26|CUST-5150|Priya Menon|7|1509.59|10038.77</v>
      </c>
      <c r="AG837" t="str">
        <f>IF(COUNTIF($A$2:$A$913,A837)&gt;1,"TRUE","FALSE")</f>
        <v>FALSE</v>
      </c>
    </row>
    <row r="838" spans="1:33">
      <c r="A838" t="s">
        <v>2506</v>
      </c>
      <c r="B838" t="s">
        <v>1591</v>
      </c>
      <c r="C838" t="s">
        <v>2507</v>
      </c>
      <c r="D838">
        <f>IF(OR(B838="", C838=""), "", (C838 - B838))</f>
        <v>3</v>
      </c>
      <c r="E838" t="str">
        <f>IF(C838&lt;B838, "INVALID: Ship date before order date", "")</f>
        <v/>
      </c>
      <c r="F838" t="str">
        <f>IF(B838="", "", TEXT(B838, "mmmm"))</f>
        <v>December</v>
      </c>
      <c r="G838">
        <f>IF(B838="", "", YEAR(B838))</f>
        <v>2024</v>
      </c>
      <c r="H838" t="s">
        <v>2508</v>
      </c>
      <c r="I838" t="s">
        <v>46</v>
      </c>
      <c r="J838" t="s">
        <v>36</v>
      </c>
      <c r="K838" t="s">
        <v>24</v>
      </c>
      <c r="L838" t="s">
        <v>25</v>
      </c>
      <c r="M838" t="s">
        <v>26</v>
      </c>
      <c r="N838" t="s">
        <v>27</v>
      </c>
      <c r="O838" t="s">
        <v>90</v>
      </c>
      <c r="P838" t="s">
        <v>2509</v>
      </c>
      <c r="Q838" t="s">
        <v>30</v>
      </c>
      <c r="R838">
        <v>2</v>
      </c>
      <c r="S838" s="15">
        <v>537.11</v>
      </c>
      <c r="T838" s="4">
        <v>0</v>
      </c>
      <c r="U838" s="3" t="str">
        <f>IF(T838&lt;0, "negative_discount", IF(AND(T838&gt;0.5, T838&lt;=1), "high_discount", ""))</f>
        <v/>
      </c>
      <c r="V838" s="11">
        <v>1074.22</v>
      </c>
      <c r="W838" s="12">
        <v>1074.22</v>
      </c>
      <c r="X838" s="11">
        <v>850.86</v>
      </c>
      <c r="Y838" s="11">
        <v>223.36</v>
      </c>
      <c r="Z838" s="11">
        <f>ROUND(W838-X838,2)</f>
        <v>223.36</v>
      </c>
      <c r="AA838" s="4">
        <f>IF(W838=0,0,Z838/W838)</f>
        <v>0.20792761259332354</v>
      </c>
      <c r="AB838" t="s">
        <v>31</v>
      </c>
      <c r="AC838" t="s">
        <v>32</v>
      </c>
      <c r="AD838" t="str">
        <f>IF(AND(E838="", T838&gt;=0, T838&lt;=0.5, K838&lt;&gt;"Unknown", Q838&lt;&gt;"Unknown"), "CLEAN", _xlfn.CONCAT("WARNING: ", IF(E838&lt;&gt;"","invalid_date",""), IF(T838&lt;0,"negative_discount",""), IF(AND(T838&gt;0.5,T838&lt;=1),"high_discount",""), IF(K838="Unknown","missing_region",""), IF(Q838="Unknown","missing_ship_mode","")))</f>
        <v>CLEAN</v>
      </c>
      <c r="AE838" t="str">
        <f>IF(COUNTIF($AF$2:$AF$926,AF838)&gt;1,"DUPLICATE","UNIQUE")</f>
        <v>UNIQUE</v>
      </c>
      <c r="AF838" t="str">
        <f>A838&amp;"|"&amp;B838&amp;"|"&amp;H838&amp;"|"&amp;I838&amp;"|"&amp;R838&amp;"|"&amp;S838&amp;"|"&amp;V838</f>
        <v>ORD-2024-10837|2024-12-15|CUST-9776|Isha Nair|2|537.11|1074.22</v>
      </c>
      <c r="AG838" t="str">
        <f>IF(COUNTIF($A$2:$A$913,A838)&gt;1,"TRUE","FALSE")</f>
        <v>FALSE</v>
      </c>
    </row>
    <row r="839" spans="1:33">
      <c r="A839" t="s">
        <v>3355</v>
      </c>
      <c r="B839" t="s">
        <v>345</v>
      </c>
      <c r="C839" t="s">
        <v>2729</v>
      </c>
      <c r="D839">
        <f>IF(OR(B839="", C839=""), "", (C839 - B839))</f>
        <v>1</v>
      </c>
      <c r="E839" t="str">
        <f>IF(C839&lt;B839, "INVALID: Ship date before order date", "")</f>
        <v/>
      </c>
      <c r="F839" t="str">
        <f>IF(B839="", "", TEXT(B839, "mmmm"))</f>
        <v>September</v>
      </c>
      <c r="G839">
        <f>IF(B839="", "", YEAR(B839))</f>
        <v>2025</v>
      </c>
      <c r="H839" t="s">
        <v>2510</v>
      </c>
      <c r="I839" t="s">
        <v>22</v>
      </c>
      <c r="J839" t="s">
        <v>93</v>
      </c>
      <c r="K839" t="s">
        <v>62</v>
      </c>
      <c r="L839" t="s">
        <v>63</v>
      </c>
      <c r="M839" t="s">
        <v>64</v>
      </c>
      <c r="N839" t="s">
        <v>27</v>
      </c>
      <c r="O839" t="s">
        <v>28</v>
      </c>
      <c r="P839" t="s">
        <v>2511</v>
      </c>
      <c r="Q839" t="s">
        <v>49</v>
      </c>
      <c r="R839">
        <v>3</v>
      </c>
      <c r="S839" s="15">
        <v>4177.63</v>
      </c>
      <c r="T839" s="4">
        <v>0.25</v>
      </c>
      <c r="U839" s="3" t="str">
        <f>IF(T839&lt;0, "negative_discount", IF(AND(T839&gt;0.5, T839&lt;=1), "high_discount", ""))</f>
        <v/>
      </c>
      <c r="V839" s="11">
        <v>9399.67</v>
      </c>
      <c r="W839" s="12">
        <v>9399.67</v>
      </c>
      <c r="X839" s="11">
        <v>6540.37</v>
      </c>
      <c r="Y839" s="11">
        <v>2859.3</v>
      </c>
      <c r="Z839" s="11">
        <f>ROUND(W839-X839,2)</f>
        <v>2859.3</v>
      </c>
      <c r="AA839" s="4">
        <f>IF(W839=0,0,Z839/W839)</f>
        <v>0.30419153012818539</v>
      </c>
      <c r="AB839" t="s">
        <v>31</v>
      </c>
      <c r="AC839" t="s">
        <v>32</v>
      </c>
      <c r="AD839" t="str">
        <f>IF(AND(E839="", T839&gt;=0, T839&lt;=0.5, K839&lt;&gt;"Unknown", Q839&lt;&gt;"Unknown"), "CLEAN", _xlfn.CONCAT("WARNING: ", IF(E839&lt;&gt;"","invalid_date",""), IF(T839&lt;0,"negative_discount",""), IF(AND(T839&gt;0.5,T839&lt;=1),"high_discount",""), IF(K839="Unknown","missing_region",""), IF(Q839="Unknown","missing_ship_mode","")))</f>
        <v>CLEAN</v>
      </c>
      <c r="AE839" t="str">
        <f>IF(COUNTIF($AF$2:$AF$926,AF839)&gt;1,"DUPLICATE","UNIQUE")</f>
        <v>UNIQUE</v>
      </c>
      <c r="AF839" t="str">
        <f>A839&amp;"|"&amp;B839&amp;"|"&amp;H839&amp;"|"&amp;I839&amp;"|"&amp;R839&amp;"|"&amp;S839&amp;"|"&amp;V839</f>
        <v>ORD-2025-10838|2025-09-27|CUST-2551|Karan Malhotra|3|4177.63|9399.67</v>
      </c>
      <c r="AG839" t="str">
        <f>IF(COUNTIF($A$2:$A$913,A839)&gt;1,"TRUE","FALSE")</f>
        <v>FALSE</v>
      </c>
    </row>
    <row r="840" spans="1:33">
      <c r="A840" t="s">
        <v>3356</v>
      </c>
      <c r="B840" t="s">
        <v>2887</v>
      </c>
      <c r="C840" t="s">
        <v>2951</v>
      </c>
      <c r="D840">
        <f>IF(OR(B840="", C840=""), "", (C840 - B840))</f>
        <v>4</v>
      </c>
      <c r="E840" t="str">
        <f>IF(C840&lt;B840, "INVALID: Ship date before order date", "")</f>
        <v/>
      </c>
      <c r="F840" t="str">
        <f>IF(B840="", "", TEXT(B840, "mmmm"))</f>
        <v>April</v>
      </c>
      <c r="G840">
        <f>IF(B840="", "", YEAR(B840))</f>
        <v>2025</v>
      </c>
      <c r="H840" t="s">
        <v>2512</v>
      </c>
      <c r="I840" t="s">
        <v>61</v>
      </c>
      <c r="J840" t="s">
        <v>36</v>
      </c>
      <c r="K840" t="s">
        <v>62</v>
      </c>
      <c r="L840" t="s">
        <v>185</v>
      </c>
      <c r="M840" t="s">
        <v>186</v>
      </c>
      <c r="N840" t="s">
        <v>27</v>
      </c>
      <c r="O840" t="s">
        <v>28</v>
      </c>
      <c r="P840" t="s">
        <v>2513</v>
      </c>
      <c r="Q840" t="s">
        <v>43</v>
      </c>
      <c r="R840">
        <v>1</v>
      </c>
      <c r="S840" s="15">
        <v>1470.57</v>
      </c>
      <c r="T840" s="4">
        <v>0</v>
      </c>
      <c r="U840" s="3" t="str">
        <f>IF(T840&lt;0, "negative_discount", IF(AND(T840&gt;0.5, T840&lt;=1), "high_discount", ""))</f>
        <v/>
      </c>
      <c r="V840" s="11">
        <v>1470.57</v>
      </c>
      <c r="W840" s="12">
        <v>1470.57</v>
      </c>
      <c r="X840" s="11">
        <v>834.02</v>
      </c>
      <c r="Y840" s="11">
        <v>636.54999999999995</v>
      </c>
      <c r="Z840" s="11">
        <f>ROUND(W840-X840,2)</f>
        <v>636.54999999999995</v>
      </c>
      <c r="AA840" s="4">
        <f>IF(W840=0,0,Z840/W840)</f>
        <v>0.43285936745615644</v>
      </c>
      <c r="AB840" t="s">
        <v>31</v>
      </c>
      <c r="AC840" t="s">
        <v>100</v>
      </c>
      <c r="AD840" t="str">
        <f>IF(AND(E840="", T840&gt;=0, T840&lt;=0.5, K840&lt;&gt;"Unknown", Q840&lt;&gt;"Unknown"), "CLEAN", _xlfn.CONCAT("WARNING: ", IF(E840&lt;&gt;"","invalid_date",""), IF(T840&lt;0,"negative_discount",""), IF(AND(T840&gt;0.5,T840&lt;=1),"high_discount",""), IF(K840="Unknown","missing_region",""), IF(Q840="Unknown","missing_ship_mode","")))</f>
        <v>CLEAN</v>
      </c>
      <c r="AE840" t="str">
        <f>IF(COUNTIF($AF$2:$AF$926,AF840)&gt;1,"DUPLICATE","UNIQUE")</f>
        <v>UNIQUE</v>
      </c>
      <c r="AF840" t="str">
        <f>A840&amp;"|"&amp;B840&amp;"|"&amp;H840&amp;"|"&amp;I840&amp;"|"&amp;R840&amp;"|"&amp;S840&amp;"|"&amp;V840</f>
        <v>ORD-2025-10839|2025-04-03|CUST-4708|Ananya Rao|1|1470.57|1470.57</v>
      </c>
      <c r="AG840" t="str">
        <f>IF(COUNTIF($A$2:$A$913,A840)&gt;1,"TRUE","FALSE")</f>
        <v>FALSE</v>
      </c>
    </row>
    <row r="841" spans="1:33">
      <c r="A841" t="s">
        <v>2514</v>
      </c>
      <c r="B841" t="s">
        <v>2888</v>
      </c>
      <c r="C841" t="s">
        <v>1124</v>
      </c>
      <c r="D841">
        <f>IF(OR(B841="", C841=""), "", (C841 - B841))</f>
        <v>2</v>
      </c>
      <c r="E841" t="str">
        <f>IF(C841&lt;B841, "INVALID: Ship date before order date", "")</f>
        <v/>
      </c>
      <c r="F841" t="str">
        <f>IF(B841="", "", TEXT(B841, "mmmm"))</f>
        <v>September</v>
      </c>
      <c r="G841">
        <f>IF(B841="", "", YEAR(B841))</f>
        <v>2024</v>
      </c>
      <c r="H841" t="s">
        <v>2515</v>
      </c>
      <c r="I841" t="s">
        <v>139</v>
      </c>
      <c r="J841" t="s">
        <v>93</v>
      </c>
      <c r="K841" t="s">
        <v>37</v>
      </c>
      <c r="L841" t="s">
        <v>38</v>
      </c>
      <c r="M841" t="s">
        <v>39</v>
      </c>
      <c r="N841" t="s">
        <v>74</v>
      </c>
      <c r="O841" t="s">
        <v>168</v>
      </c>
      <c r="P841" t="s">
        <v>2516</v>
      </c>
      <c r="Q841" t="s">
        <v>58</v>
      </c>
      <c r="R841">
        <v>8</v>
      </c>
      <c r="S841" s="15">
        <v>531.42999999999995</v>
      </c>
      <c r="T841" s="4">
        <v>0.1</v>
      </c>
      <c r="U841" s="3" t="str">
        <f>IF(T841&lt;0, "negative_discount", IF(AND(T841&gt;0.5, T841&lt;=1), "high_discount", ""))</f>
        <v/>
      </c>
      <c r="V841" s="11">
        <v>3826.3</v>
      </c>
      <c r="W841" s="12">
        <v>3826.3</v>
      </c>
      <c r="X841" s="11">
        <v>2194.12</v>
      </c>
      <c r="Y841" s="11">
        <v>1632.18</v>
      </c>
      <c r="Z841" s="11">
        <f>ROUND(W841-X841,2)</f>
        <v>1632.18</v>
      </c>
      <c r="AA841" s="4">
        <f>IF(W841=0,0,Z841/W841)</f>
        <v>0.4265687478765387</v>
      </c>
      <c r="AB841" t="s">
        <v>31</v>
      </c>
      <c r="AC841" t="s">
        <v>32</v>
      </c>
      <c r="AD841" t="str">
        <f>IF(AND(E841="", T841&gt;=0, T841&lt;=0.5, K841&lt;&gt;"Unknown", Q841&lt;&gt;"Unknown"), "CLEAN", _xlfn.CONCAT("WARNING: ", IF(E841&lt;&gt;"","invalid_date",""), IF(T841&lt;0,"negative_discount",""), IF(AND(T841&gt;0.5,T841&lt;=1),"high_discount",""), IF(K841="Unknown","missing_region",""), IF(Q841="Unknown","missing_ship_mode","")))</f>
        <v>CLEAN</v>
      </c>
      <c r="AE841" t="str">
        <f>IF(COUNTIF($AF$2:$AF$926,AF841)&gt;1,"DUPLICATE","UNIQUE")</f>
        <v>UNIQUE</v>
      </c>
      <c r="AF841" t="str">
        <f>A841&amp;"|"&amp;B841&amp;"|"&amp;H841&amp;"|"&amp;I841&amp;"|"&amp;R841&amp;"|"&amp;S841&amp;"|"&amp;V841</f>
        <v>ORD-2024-10840|2024-09-20|CUST-8206|Rohan Mehta|8|531.43|3826.3</v>
      </c>
      <c r="AG841" t="str">
        <f>IF(COUNTIF($A$2:$A$913,A841)&gt;1,"TRUE","FALSE")</f>
        <v>FALSE</v>
      </c>
    </row>
    <row r="842" spans="1:33">
      <c r="A842" t="s">
        <v>3357</v>
      </c>
      <c r="B842" t="s">
        <v>1224</v>
      </c>
      <c r="C842" t="s">
        <v>1224</v>
      </c>
      <c r="D842">
        <f>IF(OR(B842="", C842=""), "", (C842 - B842))</f>
        <v>0</v>
      </c>
      <c r="E842" t="str">
        <f>IF(C842&lt;B842, "INVALID: Ship date before order date", "")</f>
        <v/>
      </c>
      <c r="F842" t="str">
        <f>IF(B842="", "", TEXT(B842, "mmmm"))</f>
        <v>September</v>
      </c>
      <c r="G842">
        <f>IF(B842="", "", YEAR(B842))</f>
        <v>2025</v>
      </c>
      <c r="H842" t="s">
        <v>2517</v>
      </c>
      <c r="I842" t="s">
        <v>78</v>
      </c>
      <c r="J842" t="s">
        <v>93</v>
      </c>
      <c r="K842" t="s">
        <v>24</v>
      </c>
      <c r="L842" t="s">
        <v>353</v>
      </c>
      <c r="M842" t="s">
        <v>354</v>
      </c>
      <c r="N842" t="s">
        <v>40</v>
      </c>
      <c r="O842" t="s">
        <v>65</v>
      </c>
      <c r="P842" t="s">
        <v>2518</v>
      </c>
      <c r="Q842" t="s">
        <v>43</v>
      </c>
      <c r="R842">
        <v>4</v>
      </c>
      <c r="S842" s="15">
        <v>1584.11</v>
      </c>
      <c r="T842" s="4">
        <v>0</v>
      </c>
      <c r="U842" s="3" t="str">
        <f>IF(T842&lt;0, "negative_discount", IF(AND(T842&gt;0.5, T842&lt;=1), "high_discount", ""))</f>
        <v/>
      </c>
      <c r="V842" s="11">
        <v>6336.44</v>
      </c>
      <c r="W842" s="12">
        <v>6336.44</v>
      </c>
      <c r="X842" s="11">
        <v>4680.68</v>
      </c>
      <c r="Y842" s="11">
        <v>1655.76</v>
      </c>
      <c r="Z842" s="11">
        <f>ROUND(W842-X842,2)</f>
        <v>1655.76</v>
      </c>
      <c r="AA842" s="4">
        <f>IF(W842=0,0,Z842/W842)</f>
        <v>0.26130761121386775</v>
      </c>
      <c r="AB842" t="s">
        <v>31</v>
      </c>
      <c r="AC842" t="s">
        <v>32</v>
      </c>
      <c r="AD842" t="str">
        <f>IF(AND(E842="", T842&gt;=0, T842&lt;=0.5, K842&lt;&gt;"Unknown", Q842&lt;&gt;"Unknown"), "CLEAN", _xlfn.CONCAT("WARNING: ", IF(E842&lt;&gt;"","invalid_date",""), IF(T842&lt;0,"negative_discount",""), IF(AND(T842&gt;0.5,T842&lt;=1),"high_discount",""), IF(K842="Unknown","missing_region",""), IF(Q842="Unknown","missing_ship_mode","")))</f>
        <v>CLEAN</v>
      </c>
      <c r="AE842" t="str">
        <f>IF(COUNTIF($AF$2:$AF$926,AF842)&gt;1,"DUPLICATE","UNIQUE")</f>
        <v>UNIQUE</v>
      </c>
      <c r="AF842" t="str">
        <f>A842&amp;"|"&amp;B842&amp;"|"&amp;H842&amp;"|"&amp;I842&amp;"|"&amp;R842&amp;"|"&amp;S842&amp;"|"&amp;V842</f>
        <v>ORD-2025-10841|2025-09-19|CUST-1297|Neha Gupta|4|1584.11|6336.44</v>
      </c>
      <c r="AG842" t="str">
        <f>IF(COUNTIF($A$2:$A$913,A842)&gt;1,"TRUE","FALSE")</f>
        <v>FALSE</v>
      </c>
    </row>
    <row r="843" spans="1:33">
      <c r="A843" t="s">
        <v>3358</v>
      </c>
      <c r="B843" t="s">
        <v>2519</v>
      </c>
      <c r="C843" t="s">
        <v>1582</v>
      </c>
      <c r="D843">
        <f>IF(OR(B843="", C843=""), "", (C843 - B843))</f>
        <v>6</v>
      </c>
      <c r="E843" t="str">
        <f>IF(C843&lt;B843, "INVALID: Ship date before order date", "")</f>
        <v/>
      </c>
      <c r="F843" t="str">
        <f>IF(B843="", "", TEXT(B843, "mmmm"))</f>
        <v>February</v>
      </c>
      <c r="G843">
        <f>IF(B843="", "", YEAR(B843))</f>
        <v>2025</v>
      </c>
      <c r="H843" t="s">
        <v>2520</v>
      </c>
      <c r="I843" t="s">
        <v>61</v>
      </c>
      <c r="J843" t="s">
        <v>36</v>
      </c>
      <c r="K843" t="s">
        <v>37</v>
      </c>
      <c r="L843" t="s">
        <v>142</v>
      </c>
      <c r="M843" t="s">
        <v>143</v>
      </c>
      <c r="N843" t="s">
        <v>27</v>
      </c>
      <c r="O843" t="s">
        <v>47</v>
      </c>
      <c r="P843" t="s">
        <v>2521</v>
      </c>
      <c r="Q843" t="s">
        <v>58</v>
      </c>
      <c r="R843">
        <v>9</v>
      </c>
      <c r="S843" s="15">
        <v>3237.16</v>
      </c>
      <c r="T843" s="4">
        <v>0.25</v>
      </c>
      <c r="U843" s="3" t="str">
        <f>IF(T843&lt;0, "negative_discount", IF(AND(T843&gt;0.5, T843&lt;=1), "high_discount", ""))</f>
        <v/>
      </c>
      <c r="V843" s="11">
        <v>21850.83</v>
      </c>
      <c r="W843" s="12">
        <v>21850.83</v>
      </c>
      <c r="X843" s="11">
        <v>16600.13</v>
      </c>
      <c r="Y843" s="11">
        <v>5250.7</v>
      </c>
      <c r="Z843" s="11">
        <f>ROUND(W843-X843,2)</f>
        <v>5250.7</v>
      </c>
      <c r="AA843" s="4">
        <f>IF(W843=0,0,Z843/W843)</f>
        <v>0.24029750814957598</v>
      </c>
      <c r="AB843" t="s">
        <v>31</v>
      </c>
      <c r="AC843" t="s">
        <v>32</v>
      </c>
      <c r="AD843" t="str">
        <f>IF(AND(E843="", T843&gt;=0, T843&lt;=0.5, K843&lt;&gt;"Unknown", Q843&lt;&gt;"Unknown"), "CLEAN", _xlfn.CONCAT("WARNING: ", IF(E843&lt;&gt;"","invalid_date",""), IF(T843&lt;0,"negative_discount",""), IF(AND(T843&gt;0.5,T843&lt;=1),"high_discount",""), IF(K843="Unknown","missing_region",""), IF(Q843="Unknown","missing_ship_mode","")))</f>
        <v>CLEAN</v>
      </c>
      <c r="AE843" t="str">
        <f>IF(COUNTIF($AF$2:$AF$926,AF843)&gt;1,"DUPLICATE","UNIQUE")</f>
        <v>UNIQUE</v>
      </c>
      <c r="AF843" t="str">
        <f>A843&amp;"|"&amp;B843&amp;"|"&amp;H843&amp;"|"&amp;I843&amp;"|"&amp;R843&amp;"|"&amp;S843&amp;"|"&amp;V843</f>
        <v>ORD-2025-10842|2025-02-06|CUST-7558|Ananya Rao|9|3237.16|21850.83</v>
      </c>
      <c r="AG843" t="str">
        <f>IF(COUNTIF($A$2:$A$913,A843)&gt;1,"TRUE","FALSE")</f>
        <v>FALSE</v>
      </c>
    </row>
    <row r="844" spans="1:33">
      <c r="A844" t="s">
        <v>2522</v>
      </c>
      <c r="B844" t="s">
        <v>2821</v>
      </c>
      <c r="C844" t="s">
        <v>714</v>
      </c>
      <c r="D844">
        <f>IF(OR(B844="", C844=""), "", (C844 - B844))</f>
        <v>-1</v>
      </c>
      <c r="E844" t="str">
        <f>IF(C844&lt;B844, "INVALID: Ship date before order date", "")</f>
        <v>INVALID: Ship date before order date</v>
      </c>
      <c r="F844" t="str">
        <f>IF(B844="", "", TEXT(B844, "mmmm"))</f>
        <v>March</v>
      </c>
      <c r="G844">
        <f>IF(B844="", "", YEAR(B844))</f>
        <v>2024</v>
      </c>
      <c r="H844" t="s">
        <v>2523</v>
      </c>
      <c r="I844" t="s">
        <v>263</v>
      </c>
      <c r="J844" t="s">
        <v>23</v>
      </c>
      <c r="K844" t="s">
        <v>24</v>
      </c>
      <c r="L844" t="s">
        <v>234</v>
      </c>
      <c r="M844" t="s">
        <v>235</v>
      </c>
      <c r="N844" t="s">
        <v>74</v>
      </c>
      <c r="O844" t="s">
        <v>272</v>
      </c>
      <c r="P844" t="s">
        <v>2524</v>
      </c>
      <c r="Q844" t="s">
        <v>49</v>
      </c>
      <c r="R844">
        <v>4</v>
      </c>
      <c r="S844" s="15">
        <v>2192.08</v>
      </c>
      <c r="T844" s="4">
        <v>0.15</v>
      </c>
      <c r="U844" s="3" t="str">
        <f>IF(T844&lt;0, "negative_discount", IF(AND(T844&gt;0.5, T844&lt;=1), "high_discount", ""))</f>
        <v/>
      </c>
      <c r="V844" s="11">
        <v>7453.07</v>
      </c>
      <c r="W844" s="12">
        <v>7453.07</v>
      </c>
      <c r="X844" s="11">
        <v>5133.78</v>
      </c>
      <c r="Y844" s="11">
        <v>2319.29</v>
      </c>
      <c r="Z844" s="11">
        <f>ROUND(W844-X844,2)</f>
        <v>2319.29</v>
      </c>
      <c r="AA844" s="4">
        <f>IF(W844=0,0,Z844/W844)</f>
        <v>0.31118586032332984</v>
      </c>
      <c r="AB844" t="s">
        <v>31</v>
      </c>
      <c r="AC844" t="s">
        <v>100</v>
      </c>
      <c r="AD844" t="str">
        <f>IF(AND(E844="", T844&gt;=0, T844&lt;=0.5, K844&lt;&gt;"Unknown", Q844&lt;&gt;"Unknown"), "CLEAN", _xlfn.CONCAT("WARNING: ", IF(E844&lt;&gt;"","invalid_date",""), IF(T844&lt;0,"negative_discount",""), IF(AND(T844&gt;0.5,T844&lt;=1),"high_discount",""), IF(K844="Unknown","missing_region",""), IF(Q844="Unknown","missing_ship_mode","")))</f>
        <v>WARNING: invalid_date</v>
      </c>
      <c r="AE844" t="str">
        <f>IF(COUNTIF($AF$2:$AF$926,AF844)&gt;1,"DUPLICATE","UNIQUE")</f>
        <v>UNIQUE</v>
      </c>
      <c r="AF844" t="str">
        <f>A844&amp;"|"&amp;B844&amp;"|"&amp;H844&amp;"|"&amp;I844&amp;"|"&amp;R844&amp;"|"&amp;S844&amp;"|"&amp;V844</f>
        <v>ORD-2024-10843|2024-03-31|CUST-1798|Kabir Singh|4|2192.08|7453.07</v>
      </c>
      <c r="AG844" t="str">
        <f>IF(COUNTIF($A$2:$A$913,A844)&gt;1,"TRUE","FALSE")</f>
        <v>FALSE</v>
      </c>
    </row>
    <row r="845" spans="1:33">
      <c r="A845" t="s">
        <v>3359</v>
      </c>
      <c r="B845" t="s">
        <v>1649</v>
      </c>
      <c r="C845" t="s">
        <v>2762</v>
      </c>
      <c r="D845">
        <f>IF(OR(B845="", C845=""), "", (C845 - B845))</f>
        <v>7</v>
      </c>
      <c r="E845" t="str">
        <f>IF(C845&lt;B845, "INVALID: Ship date before order date", "")</f>
        <v/>
      </c>
      <c r="F845" t="str">
        <f>IF(B845="", "", TEXT(B845, "mmmm"))</f>
        <v>July</v>
      </c>
      <c r="G845">
        <f>IF(B845="", "", YEAR(B845))</f>
        <v>2025</v>
      </c>
      <c r="H845" t="s">
        <v>2525</v>
      </c>
      <c r="I845" t="s">
        <v>112</v>
      </c>
      <c r="J845" t="s">
        <v>36</v>
      </c>
      <c r="K845" t="s">
        <v>24</v>
      </c>
      <c r="L845" t="s">
        <v>134</v>
      </c>
      <c r="M845" t="s">
        <v>135</v>
      </c>
      <c r="N845" t="s">
        <v>74</v>
      </c>
      <c r="O845" t="s">
        <v>168</v>
      </c>
      <c r="P845" t="s">
        <v>2526</v>
      </c>
      <c r="Q845" t="s">
        <v>49</v>
      </c>
      <c r="R845">
        <v>9</v>
      </c>
      <c r="S845" s="15">
        <v>3989.52</v>
      </c>
      <c r="T845" s="4">
        <v>-0.02</v>
      </c>
      <c r="U845" s="3" t="str">
        <f>IF(T845&lt;0, "negative_discount", IF(AND(T845&gt;0.5, T845&lt;=1), "high_discount", ""))</f>
        <v>negative_discount</v>
      </c>
      <c r="V845" s="11">
        <v>35905.68</v>
      </c>
      <c r="W845" s="12">
        <v>36623.79</v>
      </c>
      <c r="X845" s="11">
        <v>23916.1</v>
      </c>
      <c r="Y845" s="11">
        <v>11989.58</v>
      </c>
      <c r="Z845" s="11">
        <f>ROUND(W845-X845,2)</f>
        <v>12707.69</v>
      </c>
      <c r="AA845" s="4">
        <f>IF(W845=0,0,Z845/W845)</f>
        <v>0.34697910838829077</v>
      </c>
      <c r="AB845" t="s">
        <v>31</v>
      </c>
      <c r="AC845" t="s">
        <v>32</v>
      </c>
      <c r="AD845" t="str">
        <f>IF(AND(E845="", T845&gt;=0, T845&lt;=0.5, K845&lt;&gt;"Unknown", Q845&lt;&gt;"Unknown"), "CLEAN", _xlfn.CONCAT("WARNING: ", IF(E845&lt;&gt;"","invalid_date",""), IF(T845&lt;0,"negative_discount",""), IF(AND(T845&gt;0.5,T845&lt;=1),"high_discount",""), IF(K845="Unknown","missing_region",""), IF(Q845="Unknown","missing_ship_mode","")))</f>
        <v>WARNING: negative_discount</v>
      </c>
      <c r="AE845" t="str">
        <f>IF(COUNTIF($AF$2:$AF$926,AF845)&gt;1,"DUPLICATE","UNIQUE")</f>
        <v>UNIQUE</v>
      </c>
      <c r="AF845" t="str">
        <f>A845&amp;"|"&amp;B845&amp;"|"&amp;H845&amp;"|"&amp;I845&amp;"|"&amp;R845&amp;"|"&amp;S845&amp;"|"&amp;V845</f>
        <v>ORD-2025-10844|2025-07-18|CUST-7333|Priya Menon|9|3989.52|35905.68</v>
      </c>
      <c r="AG845" t="str">
        <f>IF(COUNTIF($A$2:$A$913,A845)&gt;1,"TRUE","FALSE")</f>
        <v>FALSE</v>
      </c>
    </row>
    <row r="846" spans="1:33">
      <c r="A846" t="s">
        <v>3360</v>
      </c>
      <c r="B846" t="s">
        <v>2727</v>
      </c>
      <c r="C846" t="s">
        <v>2630</v>
      </c>
      <c r="D846">
        <f>IF(OR(B846="", C846=""), "", (C846 - B846))</f>
        <v>5</v>
      </c>
      <c r="E846" t="str">
        <f>IF(C846&lt;B846, "INVALID: Ship date before order date", "")</f>
        <v/>
      </c>
      <c r="F846" t="str">
        <f>IF(B846="", "", TEXT(B846, "mmmm"))</f>
        <v>January</v>
      </c>
      <c r="G846">
        <f>IF(B846="", "", YEAR(B846))</f>
        <v>2025</v>
      </c>
      <c r="H846" t="s">
        <v>2527</v>
      </c>
      <c r="I846" t="s">
        <v>88</v>
      </c>
      <c r="J846" t="s">
        <v>93</v>
      </c>
      <c r="K846" t="s">
        <v>62</v>
      </c>
      <c r="L846" t="s">
        <v>185</v>
      </c>
      <c r="M846" t="s">
        <v>186</v>
      </c>
      <c r="N846" t="s">
        <v>27</v>
      </c>
      <c r="O846" t="s">
        <v>47</v>
      </c>
      <c r="P846" t="s">
        <v>2528</v>
      </c>
      <c r="Q846" t="s">
        <v>49</v>
      </c>
      <c r="R846">
        <v>1</v>
      </c>
      <c r="S846" s="15">
        <v>3515.15</v>
      </c>
      <c r="T846" s="4">
        <v>0</v>
      </c>
      <c r="U846" s="3" t="str">
        <f>IF(T846&lt;0, "negative_discount", IF(AND(T846&gt;0.5, T846&lt;=1), "high_discount", ""))</f>
        <v/>
      </c>
      <c r="V846" s="11">
        <v>3515.15</v>
      </c>
      <c r="W846" s="12">
        <v>3515.15</v>
      </c>
      <c r="X846" s="11">
        <v>2216.34</v>
      </c>
      <c r="Y846" s="11">
        <v>1298.81</v>
      </c>
      <c r="Z846" s="11">
        <f>ROUND(W846-X846,2)</f>
        <v>1298.81</v>
      </c>
      <c r="AA846" s="4">
        <f>IF(W846=0,0,Z846/W846)</f>
        <v>0.36948921098672882</v>
      </c>
      <c r="AB846" t="s">
        <v>31</v>
      </c>
      <c r="AC846" t="s">
        <v>32</v>
      </c>
      <c r="AD846" t="str">
        <f>IF(AND(E846="", T846&gt;=0, T846&lt;=0.5, K846&lt;&gt;"Unknown", Q846&lt;&gt;"Unknown"), "CLEAN", _xlfn.CONCAT("WARNING: ", IF(E846&lt;&gt;"","invalid_date",""), IF(T846&lt;0,"negative_discount",""), IF(AND(T846&gt;0.5,T846&lt;=1),"high_discount",""), IF(K846="Unknown","missing_region",""), IF(Q846="Unknown","missing_ship_mode","")))</f>
        <v>CLEAN</v>
      </c>
      <c r="AE846" t="str">
        <f>IF(COUNTIF($AF$2:$AF$926,AF846)&gt;1,"DUPLICATE","UNIQUE")</f>
        <v>UNIQUE</v>
      </c>
      <c r="AF846" t="str">
        <f>A846&amp;"|"&amp;B846&amp;"|"&amp;H846&amp;"|"&amp;I846&amp;"|"&amp;R846&amp;"|"&amp;S846&amp;"|"&amp;V846</f>
        <v>ORD-2025-10845|2025-01-20|CUST-2086|Aditi Sen|1|3515.15|3515.15</v>
      </c>
      <c r="AG846" t="str">
        <f>IF(COUNTIF($A$2:$A$913,A846)&gt;1,"TRUE","FALSE")</f>
        <v>FALSE</v>
      </c>
    </row>
    <row r="847" spans="1:33">
      <c r="A847" t="s">
        <v>2529</v>
      </c>
      <c r="B847" t="s">
        <v>2818</v>
      </c>
      <c r="C847" t="s">
        <v>1727</v>
      </c>
      <c r="D847">
        <f>IF(OR(B847="", C847=""), "", (C847 - B847))</f>
        <v>4</v>
      </c>
      <c r="E847" t="str">
        <f>IF(C847&lt;B847, "INVALID: Ship date before order date", "")</f>
        <v/>
      </c>
      <c r="F847" t="str">
        <f>IF(B847="", "", TEXT(B847, "mmmm"))</f>
        <v>February</v>
      </c>
      <c r="G847">
        <f>IF(B847="", "", YEAR(B847))</f>
        <v>2024</v>
      </c>
      <c r="H847" t="s">
        <v>596</v>
      </c>
      <c r="I847" t="s">
        <v>22</v>
      </c>
      <c r="J847" t="s">
        <v>23</v>
      </c>
      <c r="K847" t="s">
        <v>37</v>
      </c>
      <c r="L847" t="s">
        <v>38</v>
      </c>
      <c r="M847" t="s">
        <v>39</v>
      </c>
      <c r="N847" t="s">
        <v>40</v>
      </c>
      <c r="O847" t="s">
        <v>41</v>
      </c>
      <c r="P847" t="s">
        <v>2530</v>
      </c>
      <c r="Q847" t="s">
        <v>49</v>
      </c>
      <c r="R847">
        <v>9</v>
      </c>
      <c r="S847" s="15">
        <v>3616.23</v>
      </c>
      <c r="T847" s="4">
        <v>0.25</v>
      </c>
      <c r="U847" s="3" t="str">
        <f>IF(T847&lt;0, "negative_discount", IF(AND(T847&gt;0.5, T847&lt;=1), "high_discount", ""))</f>
        <v/>
      </c>
      <c r="V847" s="11">
        <v>24409.55</v>
      </c>
      <c r="W847" s="12">
        <v>24409.55</v>
      </c>
      <c r="X847" s="11">
        <v>17157.580000000002</v>
      </c>
      <c r="Y847" s="11">
        <v>7251.97</v>
      </c>
      <c r="Z847" s="11">
        <f>ROUND(W847-X847,2)</f>
        <v>7251.97</v>
      </c>
      <c r="AA847" s="4">
        <f>IF(W847=0,0,Z847/W847)</f>
        <v>0.29709560397467388</v>
      </c>
      <c r="AB847" t="s">
        <v>109</v>
      </c>
      <c r="AC847" t="s">
        <v>100</v>
      </c>
      <c r="AD847" t="str">
        <f>IF(AND(E847="", T847&gt;=0, T847&lt;=0.5, K847&lt;&gt;"Unknown", Q847&lt;&gt;"Unknown"), "CLEAN", _xlfn.CONCAT("WARNING: ", IF(E847&lt;&gt;"","invalid_date",""), IF(T847&lt;0,"negative_discount",""), IF(AND(T847&gt;0.5,T847&lt;=1),"high_discount",""), IF(K847="Unknown","missing_region",""), IF(Q847="Unknown","missing_ship_mode","")))</f>
        <v>CLEAN</v>
      </c>
      <c r="AE847" t="str">
        <f>IF(COUNTIF($AF$2:$AF$926,AF847)&gt;1,"DUPLICATE","UNIQUE")</f>
        <v>UNIQUE</v>
      </c>
      <c r="AF847" t="str">
        <f>A847&amp;"|"&amp;B847&amp;"|"&amp;H847&amp;"|"&amp;I847&amp;"|"&amp;R847&amp;"|"&amp;S847&amp;"|"&amp;V847</f>
        <v>ORD-2024-10846|2024-02-23|CUST-2367|Karan Malhotra|9|3616.23|24409.55</v>
      </c>
      <c r="AG847" t="str">
        <f>IF(COUNTIF($A$2:$A$913,A847)&gt;1,"TRUE","FALSE")</f>
        <v>FALSE</v>
      </c>
    </row>
    <row r="848" spans="1:33">
      <c r="A848" t="s">
        <v>2531</v>
      </c>
      <c r="B848" t="s">
        <v>2532</v>
      </c>
      <c r="C848" t="s">
        <v>2533</v>
      </c>
      <c r="D848">
        <f>IF(OR(B848="", C848=""), "", (C848 - B848))</f>
        <v>8</v>
      </c>
      <c r="E848" t="str">
        <f>IF(C848&lt;B848, "INVALID: Ship date before order date", "")</f>
        <v/>
      </c>
      <c r="F848" t="str">
        <f>IF(B848="", "", TEXT(B848, "mmmm"))</f>
        <v>April</v>
      </c>
      <c r="G848">
        <f>IF(B848="", "", YEAR(B848))</f>
        <v>2024</v>
      </c>
      <c r="H848" t="s">
        <v>2534</v>
      </c>
      <c r="I848" t="s">
        <v>112</v>
      </c>
      <c r="J848" t="s">
        <v>36</v>
      </c>
      <c r="K848" t="s">
        <v>62</v>
      </c>
      <c r="L848" t="s">
        <v>176</v>
      </c>
      <c r="M848" t="s">
        <v>177</v>
      </c>
      <c r="N848" t="s">
        <v>40</v>
      </c>
      <c r="O848" t="s">
        <v>153</v>
      </c>
      <c r="P848" t="s">
        <v>2535</v>
      </c>
      <c r="Q848" t="s">
        <v>58</v>
      </c>
      <c r="R848">
        <v>2</v>
      </c>
      <c r="S848" s="15">
        <v>3977.52</v>
      </c>
      <c r="T848" s="4">
        <v>0</v>
      </c>
      <c r="U848" s="3" t="str">
        <f>IF(T848&lt;0, "negative_discount", IF(AND(T848&gt;0.5, T848&lt;=1), "high_discount", ""))</f>
        <v/>
      </c>
      <c r="V848" s="11">
        <v>7955.04</v>
      </c>
      <c r="W848" s="12">
        <v>7955.04</v>
      </c>
      <c r="X848" s="11">
        <v>5580.68</v>
      </c>
      <c r="Y848" s="11">
        <v>2374.36</v>
      </c>
      <c r="Z848" s="11">
        <f>ROUND(W848-X848,2)</f>
        <v>2374.36</v>
      </c>
      <c r="AA848" s="4">
        <f>IF(W848=0,0,Z848/W848)</f>
        <v>0.29847241497214344</v>
      </c>
      <c r="AB848" t="s">
        <v>109</v>
      </c>
      <c r="AC848" t="s">
        <v>100</v>
      </c>
      <c r="AD848" t="str">
        <f>IF(AND(E848="", T848&gt;=0, T848&lt;=0.5, K848&lt;&gt;"Unknown", Q848&lt;&gt;"Unknown"), "CLEAN", _xlfn.CONCAT("WARNING: ", IF(E848&lt;&gt;"","invalid_date",""), IF(T848&lt;0,"negative_discount",""), IF(AND(T848&gt;0.5,T848&lt;=1),"high_discount",""), IF(K848="Unknown","missing_region",""), IF(Q848="Unknown","missing_ship_mode","")))</f>
        <v>CLEAN</v>
      </c>
      <c r="AE848" t="str">
        <f>IF(COUNTIF($AF$2:$AF$926,AF848)&gt;1,"DUPLICATE","UNIQUE")</f>
        <v>UNIQUE</v>
      </c>
      <c r="AF848" t="str">
        <f>A848&amp;"|"&amp;B848&amp;"|"&amp;H848&amp;"|"&amp;I848&amp;"|"&amp;R848&amp;"|"&amp;S848&amp;"|"&amp;V848</f>
        <v>ORD-2024-10847|2024-04-14|CUST-6522|Priya Menon|2|3977.52|7955.04</v>
      </c>
      <c r="AG848" t="str">
        <f>IF(COUNTIF($A$2:$A$913,A848)&gt;1,"TRUE","FALSE")</f>
        <v>FALSE</v>
      </c>
    </row>
    <row r="849" spans="1:33">
      <c r="A849" t="s">
        <v>3361</v>
      </c>
      <c r="B849" t="s">
        <v>2536</v>
      </c>
      <c r="C849" t="s">
        <v>2785</v>
      </c>
      <c r="D849">
        <f>IF(OR(B849="", C849=""), "", (C849 - B849))</f>
        <v>2</v>
      </c>
      <c r="E849" t="str">
        <f>IF(C849&lt;B849, "INVALID: Ship date before order date", "")</f>
        <v/>
      </c>
      <c r="F849" t="str">
        <f>IF(B849="", "", TEXT(B849, "mmmm"))</f>
        <v>May</v>
      </c>
      <c r="G849">
        <f>IF(B849="", "", YEAR(B849))</f>
        <v>2025</v>
      </c>
      <c r="H849" t="s">
        <v>2537</v>
      </c>
      <c r="I849" t="s">
        <v>158</v>
      </c>
      <c r="J849" t="s">
        <v>93</v>
      </c>
      <c r="K849" t="s">
        <v>37</v>
      </c>
      <c r="L849" t="s">
        <v>38</v>
      </c>
      <c r="M849" t="s">
        <v>39</v>
      </c>
      <c r="N849" t="s">
        <v>40</v>
      </c>
      <c r="O849" t="s">
        <v>41</v>
      </c>
      <c r="P849" t="s">
        <v>2538</v>
      </c>
      <c r="Q849" t="s">
        <v>30</v>
      </c>
      <c r="R849">
        <v>2</v>
      </c>
      <c r="S849" s="15">
        <v>210.08</v>
      </c>
      <c r="T849" s="4">
        <v>0.2</v>
      </c>
      <c r="U849" s="3" t="str">
        <f>IF(T849&lt;0, "negative_discount", IF(AND(T849&gt;0.5, T849&lt;=1), "high_discount", ""))</f>
        <v/>
      </c>
      <c r="V849" s="11">
        <v>336.13</v>
      </c>
      <c r="W849" s="12">
        <v>336.13</v>
      </c>
      <c r="X849" s="11">
        <v>242.19</v>
      </c>
      <c r="Y849" s="11">
        <v>93.94</v>
      </c>
      <c r="Z849" s="11">
        <f>ROUND(W849-X849,2)</f>
        <v>93.94</v>
      </c>
      <c r="AA849" s="4">
        <f>IF(W849=0,0,Z849/W849)</f>
        <v>0.27947520304644036</v>
      </c>
      <c r="AB849" t="s">
        <v>31</v>
      </c>
      <c r="AC849" t="s">
        <v>32</v>
      </c>
      <c r="AD849" t="str">
        <f>IF(AND(E849="", T849&gt;=0, T849&lt;=0.5, K849&lt;&gt;"Unknown", Q849&lt;&gt;"Unknown"), "CLEAN", _xlfn.CONCAT("WARNING: ", IF(E849&lt;&gt;"","invalid_date",""), IF(T849&lt;0,"negative_discount",""), IF(AND(T849&gt;0.5,T849&lt;=1),"high_discount",""), IF(K849="Unknown","missing_region",""), IF(Q849="Unknown","missing_ship_mode","")))</f>
        <v>CLEAN</v>
      </c>
      <c r="AE849" t="str">
        <f>IF(COUNTIF($AF$2:$AF$926,AF849)&gt;1,"DUPLICATE","UNIQUE")</f>
        <v>UNIQUE</v>
      </c>
      <c r="AF849" t="str">
        <f>A849&amp;"|"&amp;B849&amp;"|"&amp;H849&amp;"|"&amp;I849&amp;"|"&amp;R849&amp;"|"&amp;S849&amp;"|"&amp;V849</f>
        <v>ORD-2025-10848|2025-05-20|CUST-8329|Diya Patel|2|210.08|336.13</v>
      </c>
      <c r="AG849" t="str">
        <f>IF(COUNTIF($A$2:$A$913,A849)&gt;1,"TRUE","FALSE")</f>
        <v>FALSE</v>
      </c>
    </row>
    <row r="850" spans="1:33">
      <c r="A850" t="s">
        <v>3362</v>
      </c>
      <c r="B850" t="s">
        <v>2777</v>
      </c>
      <c r="C850" t="s">
        <v>1075</v>
      </c>
      <c r="D850">
        <f>IF(OR(B850="", C850=""), "", (C850 - B850))</f>
        <v>2</v>
      </c>
      <c r="E850" t="str">
        <f>IF(C850&lt;B850, "INVALID: Ship date before order date", "")</f>
        <v/>
      </c>
      <c r="F850" t="str">
        <f>IF(B850="", "", TEXT(B850, "mmmm"))</f>
        <v>May</v>
      </c>
      <c r="G850">
        <f>IF(B850="", "", YEAR(B850))</f>
        <v>2025</v>
      </c>
      <c r="H850" t="s">
        <v>2539</v>
      </c>
      <c r="I850" t="s">
        <v>116</v>
      </c>
      <c r="J850" t="s">
        <v>93</v>
      </c>
      <c r="K850" t="s">
        <v>53</v>
      </c>
      <c r="L850" t="s">
        <v>246</v>
      </c>
      <c r="M850" t="s">
        <v>247</v>
      </c>
      <c r="N850" t="s">
        <v>40</v>
      </c>
      <c r="O850" t="s">
        <v>56</v>
      </c>
      <c r="P850" t="s">
        <v>2540</v>
      </c>
      <c r="Q850" t="s">
        <v>30</v>
      </c>
      <c r="R850">
        <v>1</v>
      </c>
      <c r="S850" s="15">
        <v>1744.35</v>
      </c>
      <c r="T850" s="4">
        <v>0.25</v>
      </c>
      <c r="U850" s="3" t="str">
        <f>IF(T850&lt;0, "negative_discount", IF(AND(T850&gt;0.5, T850&lt;=1), "high_discount", ""))</f>
        <v/>
      </c>
      <c r="V850" s="11">
        <v>1308.26</v>
      </c>
      <c r="W850" s="12">
        <v>1308.26</v>
      </c>
      <c r="X850" s="11">
        <v>1083.56</v>
      </c>
      <c r="Y850" s="11">
        <v>224.7</v>
      </c>
      <c r="Z850" s="11">
        <f>ROUND(W850-X850,2)</f>
        <v>224.7</v>
      </c>
      <c r="AA850" s="4">
        <f>IF(W850=0,0,Z850/W850)</f>
        <v>0.17175484995337317</v>
      </c>
      <c r="AB850" t="s">
        <v>31</v>
      </c>
      <c r="AC850" t="s">
        <v>32</v>
      </c>
      <c r="AD850" t="str">
        <f>IF(AND(E850="", T850&gt;=0, T850&lt;=0.5, K850&lt;&gt;"Unknown", Q850&lt;&gt;"Unknown"), "CLEAN", _xlfn.CONCAT("WARNING: ", IF(E850&lt;&gt;"","invalid_date",""), IF(T850&lt;0,"negative_discount",""), IF(AND(T850&gt;0.5,T850&lt;=1),"high_discount",""), IF(K850="Unknown","missing_region",""), IF(Q850="Unknown","missing_ship_mode","")))</f>
        <v>CLEAN</v>
      </c>
      <c r="AE850" t="str">
        <f>IF(COUNTIF($AF$2:$AF$926,AF850)&gt;1,"DUPLICATE","UNIQUE")</f>
        <v>UNIQUE</v>
      </c>
      <c r="AF850" t="str">
        <f>A850&amp;"|"&amp;B850&amp;"|"&amp;H850&amp;"|"&amp;I850&amp;"|"&amp;R850&amp;"|"&amp;S850&amp;"|"&amp;V850</f>
        <v>ORD-2025-10849|2025-05-27|CUST-4426|Rahul Verma|1|1744.35|1308.26</v>
      </c>
      <c r="AG850" t="str">
        <f>IF(COUNTIF($A$2:$A$913,A850)&gt;1,"TRUE","FALSE")</f>
        <v>FALSE</v>
      </c>
    </row>
    <row r="851" spans="1:33" ht="16">
      <c r="A851" s="6" t="s">
        <v>2541</v>
      </c>
      <c r="B851" t="s">
        <v>2542</v>
      </c>
      <c r="C851" t="s">
        <v>2872</v>
      </c>
      <c r="D851">
        <f>IF(OR(B851="", C851=""), "", (C851 - B851))</f>
        <v>272</v>
      </c>
      <c r="E851" t="str">
        <f>IF(C851&lt;B851, "INVALID: Ship date before order date", "")</f>
        <v/>
      </c>
      <c r="F851" t="str">
        <f>IF(B851="", "", TEXT(B851, "mmmm"))</f>
        <v>March</v>
      </c>
      <c r="G851">
        <f>IF(B851="", "", YEAR(B851))</f>
        <v>2024</v>
      </c>
      <c r="H851" t="s">
        <v>2543</v>
      </c>
      <c r="I851" t="s">
        <v>46</v>
      </c>
      <c r="J851" t="s">
        <v>93</v>
      </c>
      <c r="K851" t="s">
        <v>62</v>
      </c>
      <c r="L851" t="s">
        <v>176</v>
      </c>
      <c r="M851" t="s">
        <v>177</v>
      </c>
      <c r="N851" t="s">
        <v>40</v>
      </c>
      <c r="O851" t="s">
        <v>153</v>
      </c>
      <c r="P851" t="s">
        <v>2544</v>
      </c>
      <c r="Q851" t="s">
        <v>58</v>
      </c>
      <c r="R851">
        <v>3</v>
      </c>
      <c r="S851" s="15">
        <v>679.63</v>
      </c>
      <c r="T851" s="4">
        <v>0.2</v>
      </c>
      <c r="U851" s="3" t="str">
        <f>IF(T851&lt;0, "negative_discount", IF(AND(T851&gt;0.5, T851&lt;=1), "high_discount", ""))</f>
        <v/>
      </c>
      <c r="V851" s="11">
        <v>1631.11</v>
      </c>
      <c r="W851" s="12">
        <v>1631.11</v>
      </c>
      <c r="X851" s="11">
        <v>898.73</v>
      </c>
      <c r="Y851" s="11">
        <v>396.58</v>
      </c>
      <c r="Z851" s="11">
        <f>ROUND(W851-X851,2)</f>
        <v>732.38</v>
      </c>
      <c r="AA851" s="4">
        <f>IF(W851=0,0,Z851/W851)</f>
        <v>0.44900711785226016</v>
      </c>
      <c r="AB851" t="s">
        <v>31</v>
      </c>
      <c r="AC851" t="s">
        <v>32</v>
      </c>
      <c r="AD851" t="str">
        <f>IF(AND(E851="", T851&gt;=0, T851&lt;=0.5, K851&lt;&gt;"Unknown", Q851&lt;&gt;"Unknown"), "CLEAN", _xlfn.CONCAT("WARNING: ", IF(E851&lt;&gt;"","invalid_date",""), IF(T851&lt;0,"negative_discount",""), IF(AND(T851&gt;0.5,T851&lt;=1),"high_discount",""), IF(K851="Unknown","missing_region",""), IF(Q851="Unknown","missing_ship_mode","")))</f>
        <v>CLEAN</v>
      </c>
      <c r="AE851" t="str">
        <f>IF(COUNTIF($AF$2:$AF$926,AF851)&gt;1,"DUPLICATE","UNIQUE")</f>
        <v>UNIQUE</v>
      </c>
      <c r="AF851" t="str">
        <f>A851&amp;"|"&amp;B851&amp;"|"&amp;H851&amp;"|"&amp;I851&amp;"|"&amp;R851&amp;"|"&amp;S851&amp;"|"&amp;V851</f>
        <v>ORD-2024-10850|2024-03-06|CUST-3360|Isha Nair|3|679.63|1631.11</v>
      </c>
      <c r="AG851" t="str">
        <f>IF(COUNTIF($A$2:$A$913,A851)&gt;1,"TRUE","FALSE")</f>
        <v>FALSE</v>
      </c>
    </row>
    <row r="852" spans="1:33">
      <c r="A852" t="s">
        <v>2545</v>
      </c>
      <c r="B852" t="s">
        <v>2798</v>
      </c>
      <c r="C852" t="s">
        <v>2467</v>
      </c>
      <c r="D852">
        <f>IF(OR(B852="", C852=""), "", (C852 - B852))</f>
        <v>3</v>
      </c>
      <c r="E852" t="str">
        <f>IF(C852&lt;B852, "INVALID: Ship date before order date", "")</f>
        <v/>
      </c>
      <c r="F852" t="str">
        <f>IF(B852="", "", TEXT(B852, "mmmm"))</f>
        <v>June</v>
      </c>
      <c r="G852">
        <f>IF(B852="", "", YEAR(B852))</f>
        <v>2024</v>
      </c>
      <c r="H852" t="s">
        <v>2546</v>
      </c>
      <c r="I852" t="s">
        <v>112</v>
      </c>
      <c r="J852" t="s">
        <v>93</v>
      </c>
      <c r="K852" t="s">
        <v>37</v>
      </c>
      <c r="L852" t="s">
        <v>96</v>
      </c>
      <c r="M852" t="s">
        <v>97</v>
      </c>
      <c r="N852" t="s">
        <v>27</v>
      </c>
      <c r="O852" t="s">
        <v>28</v>
      </c>
      <c r="P852" t="s">
        <v>2547</v>
      </c>
      <c r="Q852" t="s">
        <v>49</v>
      </c>
      <c r="R852">
        <v>6</v>
      </c>
      <c r="S852" s="15">
        <v>1211.01</v>
      </c>
      <c r="T852" s="4">
        <v>0</v>
      </c>
      <c r="U852" s="3" t="str">
        <f>IF(T852&lt;0, "negative_discount", IF(AND(T852&gt;0.5, T852&lt;=1), "high_discount", ""))</f>
        <v/>
      </c>
      <c r="V852" s="11">
        <v>7266.06</v>
      </c>
      <c r="W852" s="12">
        <v>7266.06</v>
      </c>
      <c r="X852" s="11">
        <v>6216.89</v>
      </c>
      <c r="Y852" s="11">
        <v>1049.17</v>
      </c>
      <c r="Z852" s="11">
        <f>ROUND(W852-X852,2)</f>
        <v>1049.17</v>
      </c>
      <c r="AA852" s="4">
        <f>IF(W852=0,0,Z852/W852)</f>
        <v>0.14439324750965449</v>
      </c>
      <c r="AB852" t="s">
        <v>31</v>
      </c>
      <c r="AC852" t="s">
        <v>32</v>
      </c>
      <c r="AD852" t="str">
        <f>IF(AND(E852="", T852&gt;=0, T852&lt;=0.5, K852&lt;&gt;"Unknown", Q852&lt;&gt;"Unknown"), "CLEAN", _xlfn.CONCAT("WARNING: ", IF(E852&lt;&gt;"","invalid_date",""), IF(T852&lt;0,"negative_discount",""), IF(AND(T852&gt;0.5,T852&lt;=1),"high_discount",""), IF(K852="Unknown","missing_region",""), IF(Q852="Unknown","missing_ship_mode","")))</f>
        <v>CLEAN</v>
      </c>
      <c r="AE852" t="str">
        <f>IF(COUNTIF($AF$2:$AF$926,AF852)&gt;1,"DUPLICATE","UNIQUE")</f>
        <v>UNIQUE</v>
      </c>
      <c r="AF852" t="str">
        <f>A852&amp;"|"&amp;B852&amp;"|"&amp;H852&amp;"|"&amp;I852&amp;"|"&amp;R852&amp;"|"&amp;S852&amp;"|"&amp;V852</f>
        <v>ORD-2024-10851|2024-06-30|CUST-2623|Priya Menon|6|1211.01|7266.06</v>
      </c>
      <c r="AG852" t="str">
        <f>IF(COUNTIF($A$2:$A$913,A852)&gt;1,"TRUE","FALSE")</f>
        <v>FALSE</v>
      </c>
    </row>
    <row r="853" spans="1:33">
      <c r="A853" t="s">
        <v>2548</v>
      </c>
      <c r="B853" t="s">
        <v>544</v>
      </c>
      <c r="C853" t="s">
        <v>2813</v>
      </c>
      <c r="D853">
        <f>IF(OR(B853="", C853=""), "", (C853 - B853))</f>
        <v>6</v>
      </c>
      <c r="E853" t="str">
        <f>IF(C853&lt;B853, "INVALID: Ship date before order date", "")</f>
        <v/>
      </c>
      <c r="F853" t="str">
        <f>IF(B853="", "", TEXT(B853, "mmmm"))</f>
        <v>March</v>
      </c>
      <c r="G853">
        <f>IF(B853="", "", YEAR(B853))</f>
        <v>2024</v>
      </c>
      <c r="H853" t="s">
        <v>2549</v>
      </c>
      <c r="I853" t="s">
        <v>22</v>
      </c>
      <c r="J853" t="s">
        <v>36</v>
      </c>
      <c r="K853" t="s">
        <v>62</v>
      </c>
      <c r="L853" t="s">
        <v>176</v>
      </c>
      <c r="M853" t="s">
        <v>177</v>
      </c>
      <c r="N853" t="s">
        <v>74</v>
      </c>
      <c r="O853" t="s">
        <v>75</v>
      </c>
      <c r="P853" t="s">
        <v>2550</v>
      </c>
      <c r="Q853" t="s">
        <v>49</v>
      </c>
      <c r="R853">
        <v>2</v>
      </c>
      <c r="S853" s="15">
        <v>1161.3</v>
      </c>
      <c r="T853" s="4">
        <v>0.2</v>
      </c>
      <c r="U853" s="3" t="str">
        <f>IF(T853&lt;0, "negative_discount", IF(AND(T853&gt;0.5, T853&lt;=1), "high_discount", ""))</f>
        <v/>
      </c>
      <c r="V853" s="11">
        <v>1858.08</v>
      </c>
      <c r="W853" s="12">
        <v>1858.08</v>
      </c>
      <c r="X853" s="11">
        <v>1590.75</v>
      </c>
      <c r="Y853" s="11">
        <v>267.33</v>
      </c>
      <c r="Z853" s="11">
        <f>ROUND(W853-X853,2)</f>
        <v>267.33</v>
      </c>
      <c r="AA853" s="4">
        <f>IF(W853=0,0,Z853/W853)</f>
        <v>0.143874321880651</v>
      </c>
      <c r="AB853" t="s">
        <v>31</v>
      </c>
      <c r="AC853" t="s">
        <v>32</v>
      </c>
      <c r="AD853" t="str">
        <f>IF(AND(E853="", T853&gt;=0, T853&lt;=0.5, K853&lt;&gt;"Unknown", Q853&lt;&gt;"Unknown"), "CLEAN", _xlfn.CONCAT("WARNING: ", IF(E853&lt;&gt;"","invalid_date",""), IF(T853&lt;0,"negative_discount",""), IF(AND(T853&gt;0.5,T853&lt;=1),"high_discount",""), IF(K853="Unknown","missing_region",""), IF(Q853="Unknown","missing_ship_mode","")))</f>
        <v>CLEAN</v>
      </c>
      <c r="AE853" t="str">
        <f>IF(COUNTIF($AF$2:$AF$926,AF853)&gt;1,"DUPLICATE","UNIQUE")</f>
        <v>UNIQUE</v>
      </c>
      <c r="AF853" t="str">
        <f>A853&amp;"|"&amp;B853&amp;"|"&amp;H853&amp;"|"&amp;I853&amp;"|"&amp;R853&amp;"|"&amp;S853&amp;"|"&amp;V853</f>
        <v>ORD-2024-10852|2024-03-26|CUST-3175|Karan Malhotra|2|1161.3|1858.08</v>
      </c>
      <c r="AG853" t="str">
        <f>IF(COUNTIF($A$2:$A$913,A853)&gt;1,"TRUE","FALSE")</f>
        <v>FALSE</v>
      </c>
    </row>
    <row r="854" spans="1:33">
      <c r="A854" t="s">
        <v>2551</v>
      </c>
      <c r="B854" t="s">
        <v>1988</v>
      </c>
      <c r="C854" t="s">
        <v>2841</v>
      </c>
      <c r="D854">
        <f>IF(OR(B854="", C854=""), "", (C854 - B854))</f>
        <v>213</v>
      </c>
      <c r="E854" t="str">
        <f>IF(C854&lt;B854, "INVALID: Ship date before order date", "")</f>
        <v/>
      </c>
      <c r="F854" t="str">
        <f>IF(B854="", "", TEXT(B854, "mmmm"))</f>
        <v>January</v>
      </c>
      <c r="G854">
        <f>IF(B854="", "", YEAR(B854))</f>
        <v>2024</v>
      </c>
      <c r="H854" t="s">
        <v>2552</v>
      </c>
      <c r="I854" t="s">
        <v>61</v>
      </c>
      <c r="J854" t="s">
        <v>23</v>
      </c>
      <c r="K854" t="s">
        <v>37</v>
      </c>
      <c r="L854" t="s">
        <v>163</v>
      </c>
      <c r="M854" t="s">
        <v>164</v>
      </c>
      <c r="N854" t="s">
        <v>40</v>
      </c>
      <c r="O854" t="s">
        <v>41</v>
      </c>
      <c r="P854" t="s">
        <v>2553</v>
      </c>
      <c r="Q854" t="s">
        <v>30</v>
      </c>
      <c r="R854">
        <v>7</v>
      </c>
      <c r="S854" s="15">
        <v>4205.3500000000004</v>
      </c>
      <c r="T854" s="4">
        <v>0.15</v>
      </c>
      <c r="U854" s="3" t="str">
        <f>IF(T854&lt;0, "negative_discount", IF(AND(T854&gt;0.5, T854&lt;=1), "high_discount", ""))</f>
        <v/>
      </c>
      <c r="V854" s="11">
        <v>25021.83</v>
      </c>
      <c r="W854" s="12">
        <v>25021.83</v>
      </c>
      <c r="X854" s="11">
        <v>15544.44</v>
      </c>
      <c r="Y854" s="11">
        <v>9477.39</v>
      </c>
      <c r="Z854" s="11">
        <f>ROUND(W854-X854,2)</f>
        <v>9477.39</v>
      </c>
      <c r="AA854" s="4">
        <f>IF(W854=0,0,Z854/W854)</f>
        <v>0.37876486252204572</v>
      </c>
      <c r="AB854" t="s">
        <v>109</v>
      </c>
      <c r="AC854" t="s">
        <v>67</v>
      </c>
      <c r="AD854" t="str">
        <f>IF(AND(E854="", T854&gt;=0, T854&lt;=0.5, K854&lt;&gt;"Unknown", Q854&lt;&gt;"Unknown"), "CLEAN", _xlfn.CONCAT("WARNING: ", IF(E854&lt;&gt;"","invalid_date",""), IF(T854&lt;0,"negative_discount",""), IF(AND(T854&gt;0.5,T854&lt;=1),"high_discount",""), IF(K854="Unknown","missing_region",""), IF(Q854="Unknown","missing_ship_mode","")))</f>
        <v>CLEAN</v>
      </c>
      <c r="AE854" t="str">
        <f>IF(COUNTIF($AF$2:$AF$926,AF854)&gt;1,"DUPLICATE","UNIQUE")</f>
        <v>UNIQUE</v>
      </c>
      <c r="AF854" t="str">
        <f>A854&amp;"|"&amp;B854&amp;"|"&amp;H854&amp;"|"&amp;I854&amp;"|"&amp;R854&amp;"|"&amp;S854&amp;"|"&amp;V854</f>
        <v>ORD-2024-10853|2024-01-04|CUST-9630|Ananya Rao|7|4205.35|25021.83</v>
      </c>
      <c r="AG854" t="str">
        <f>IF(COUNTIF($A$2:$A$913,A854)&gt;1,"TRUE","FALSE")</f>
        <v>FALSE</v>
      </c>
    </row>
    <row r="855" spans="1:33">
      <c r="A855" t="s">
        <v>3363</v>
      </c>
      <c r="B855" t="s">
        <v>2554</v>
      </c>
      <c r="C855" t="s">
        <v>2785</v>
      </c>
      <c r="D855">
        <f>IF(OR(B855="", C855=""), "", (C855 - B855))</f>
        <v>6</v>
      </c>
      <c r="E855" t="str">
        <f>IF(C855&lt;B855, "INVALID: Ship date before order date", "")</f>
        <v/>
      </c>
      <c r="F855" t="str">
        <f>IF(B855="", "", TEXT(B855, "mmmm"))</f>
        <v>May</v>
      </c>
      <c r="G855">
        <f>IF(B855="", "", YEAR(B855))</f>
        <v>2025</v>
      </c>
      <c r="H855" t="s">
        <v>2555</v>
      </c>
      <c r="I855" t="s">
        <v>52</v>
      </c>
      <c r="J855" t="s">
        <v>89</v>
      </c>
      <c r="K855" t="s">
        <v>53</v>
      </c>
      <c r="L855" t="s">
        <v>246</v>
      </c>
      <c r="M855" t="s">
        <v>247</v>
      </c>
      <c r="N855" t="s">
        <v>74</v>
      </c>
      <c r="O855" t="s">
        <v>75</v>
      </c>
      <c r="P855" t="s">
        <v>2556</v>
      </c>
      <c r="Q855" t="s">
        <v>43</v>
      </c>
      <c r="R855">
        <v>8</v>
      </c>
      <c r="S855" s="15">
        <v>579.79999999999995</v>
      </c>
      <c r="T855" s="4">
        <v>0.2</v>
      </c>
      <c r="U855" s="3" t="str">
        <f>IF(T855&lt;0, "negative_discount", IF(AND(T855&gt;0.5, T855&lt;=1), "high_discount", ""))</f>
        <v/>
      </c>
      <c r="V855" s="11">
        <v>3710.72</v>
      </c>
      <c r="W855" s="12">
        <v>3710.72</v>
      </c>
      <c r="X855" s="11">
        <v>3115.29</v>
      </c>
      <c r="Y855" s="11">
        <v>595.42999999999995</v>
      </c>
      <c r="Z855" s="11">
        <f>ROUND(W855-X855,2)</f>
        <v>595.42999999999995</v>
      </c>
      <c r="AA855" s="4">
        <f>IF(W855=0,0,Z855/W855)</f>
        <v>0.16046212055881337</v>
      </c>
      <c r="AB855" t="s">
        <v>31</v>
      </c>
      <c r="AC855" t="s">
        <v>32</v>
      </c>
      <c r="AD855" t="str">
        <f>IF(AND(E855="", T855&gt;=0, T855&lt;=0.5, K855&lt;&gt;"Unknown", Q855&lt;&gt;"Unknown"), "CLEAN", _xlfn.CONCAT("WARNING: ", IF(E855&lt;&gt;"","invalid_date",""), IF(T855&lt;0,"negative_discount",""), IF(AND(T855&gt;0.5,T855&lt;=1),"high_discount",""), IF(K855="Unknown","missing_region",""), IF(Q855="Unknown","missing_ship_mode","")))</f>
        <v>CLEAN</v>
      </c>
      <c r="AE855" t="str">
        <f>IF(COUNTIF($AF$2:$AF$926,AF855)&gt;1,"DUPLICATE","UNIQUE")</f>
        <v>UNIQUE</v>
      </c>
      <c r="AF855" t="str">
        <f>A855&amp;"|"&amp;B855&amp;"|"&amp;H855&amp;"|"&amp;I855&amp;"|"&amp;R855&amp;"|"&amp;S855&amp;"|"&amp;V855</f>
        <v>ORD-2025-10854|2025-05-16|CUST-8274|Arjun Bose|8|579.8|3710.72</v>
      </c>
      <c r="AG855" t="str">
        <f>IF(COUNTIF($A$2:$A$913,A855)&gt;1,"TRUE","FALSE")</f>
        <v>FALSE</v>
      </c>
    </row>
    <row r="856" spans="1:33">
      <c r="A856" t="s">
        <v>3364</v>
      </c>
      <c r="B856" t="s">
        <v>1632</v>
      </c>
      <c r="C856" t="s">
        <v>1168</v>
      </c>
      <c r="D856">
        <f>IF(OR(B856="", C856=""), "", (C856 - B856))</f>
        <v>8</v>
      </c>
      <c r="E856" t="str">
        <f>IF(C856&lt;B856, "INVALID: Ship date before order date", "")</f>
        <v/>
      </c>
      <c r="F856" t="str">
        <f>IF(B856="", "", TEXT(B856, "mmmm"))</f>
        <v>March</v>
      </c>
      <c r="G856">
        <f>IF(B856="", "", YEAR(B856))</f>
        <v>2025</v>
      </c>
      <c r="H856" t="s">
        <v>2557</v>
      </c>
      <c r="I856" t="s">
        <v>112</v>
      </c>
      <c r="J856" t="s">
        <v>23</v>
      </c>
      <c r="K856" t="s">
        <v>53</v>
      </c>
      <c r="L856" t="s">
        <v>171</v>
      </c>
      <c r="M856" t="s">
        <v>172</v>
      </c>
      <c r="N856" t="s">
        <v>40</v>
      </c>
      <c r="O856" t="s">
        <v>153</v>
      </c>
      <c r="P856" t="s">
        <v>2558</v>
      </c>
      <c r="Q856" t="s">
        <v>30</v>
      </c>
      <c r="R856">
        <v>4</v>
      </c>
      <c r="S856" s="15">
        <v>2233.64</v>
      </c>
      <c r="T856" s="4">
        <v>0.05</v>
      </c>
      <c r="U856" s="3" t="str">
        <f>IF(T856&lt;0, "negative_discount", IF(AND(T856&gt;0.5, T856&lt;=1), "high_discount", ""))</f>
        <v/>
      </c>
      <c r="V856" s="11">
        <v>8487.83</v>
      </c>
      <c r="W856" s="12">
        <v>8487.83</v>
      </c>
      <c r="X856" s="11">
        <v>5245.72</v>
      </c>
      <c r="Y856" s="11">
        <v>3242.11</v>
      </c>
      <c r="Z856" s="11">
        <f>ROUND(W856-X856,2)</f>
        <v>3242.11</v>
      </c>
      <c r="AA856" s="4">
        <f>IF(W856=0,0,Z856/W856)</f>
        <v>0.38197159933693303</v>
      </c>
      <c r="AB856" t="s">
        <v>31</v>
      </c>
      <c r="AC856" t="s">
        <v>32</v>
      </c>
      <c r="AD856" t="str">
        <f>IF(AND(E856="", T856&gt;=0, T856&lt;=0.5, K856&lt;&gt;"Unknown", Q856&lt;&gt;"Unknown"), "CLEAN", _xlfn.CONCAT("WARNING: ", IF(E856&lt;&gt;"","invalid_date",""), IF(T856&lt;0,"negative_discount",""), IF(AND(T856&gt;0.5,T856&lt;=1),"high_discount",""), IF(K856="Unknown","missing_region",""), IF(Q856="Unknown","missing_ship_mode","")))</f>
        <v>CLEAN</v>
      </c>
      <c r="AE856" t="str">
        <f>IF(COUNTIF($AF$2:$AF$926,AF856)&gt;1,"DUPLICATE","UNIQUE")</f>
        <v>UNIQUE</v>
      </c>
      <c r="AF856" t="str">
        <f>A856&amp;"|"&amp;B856&amp;"|"&amp;H856&amp;"|"&amp;I856&amp;"|"&amp;R856&amp;"|"&amp;S856&amp;"|"&amp;V856</f>
        <v>ORD-2025-10855|2025-03-25|CUST-2514|Priya Menon|4|2233.64|8487.83</v>
      </c>
      <c r="AG856" t="str">
        <f>IF(COUNTIF($A$2:$A$913,A856)&gt;1,"TRUE","FALSE")</f>
        <v>FALSE</v>
      </c>
    </row>
    <row r="857" spans="1:33">
      <c r="A857" t="s">
        <v>2559</v>
      </c>
      <c r="B857" t="s">
        <v>2753</v>
      </c>
      <c r="C857" t="s">
        <v>2957</v>
      </c>
      <c r="D857">
        <f>IF(OR(B857="", C857=""), "", (C857 - B857))</f>
        <v>8</v>
      </c>
      <c r="E857" t="str">
        <f>IF(C857&lt;B857, "INVALID: Ship date before order date", "")</f>
        <v/>
      </c>
      <c r="F857" t="str">
        <f>IF(B857="", "", TEXT(B857, "mmmm"))</f>
        <v>July</v>
      </c>
      <c r="G857">
        <f>IF(B857="", "", YEAR(B857))</f>
        <v>2024</v>
      </c>
      <c r="H857" t="s">
        <v>1107</v>
      </c>
      <c r="I857" t="s">
        <v>116</v>
      </c>
      <c r="J857" t="s">
        <v>23</v>
      </c>
      <c r="K857" t="s">
        <v>24</v>
      </c>
      <c r="L857" t="s">
        <v>25</v>
      </c>
      <c r="M857" t="s">
        <v>26</v>
      </c>
      <c r="N857" t="s">
        <v>27</v>
      </c>
      <c r="O857" t="s">
        <v>90</v>
      </c>
      <c r="P857" t="s">
        <v>2560</v>
      </c>
      <c r="Q857" t="s">
        <v>30</v>
      </c>
      <c r="R857">
        <v>2</v>
      </c>
      <c r="S857" s="15">
        <v>2073.5300000000002</v>
      </c>
      <c r="T857" s="4">
        <v>0.25</v>
      </c>
      <c r="U857" s="3" t="str">
        <f>IF(T857&lt;0, "negative_discount", IF(AND(T857&gt;0.5, T857&lt;=1), "high_discount", ""))</f>
        <v/>
      </c>
      <c r="V857" s="11">
        <v>3110.3</v>
      </c>
      <c r="W857" s="12">
        <v>3110.3</v>
      </c>
      <c r="X857" s="11">
        <v>2101.0300000000002</v>
      </c>
      <c r="Y857" s="11">
        <v>1009.27</v>
      </c>
      <c r="Z857" s="11">
        <f>ROUND(W857-X857,2)</f>
        <v>1009.27</v>
      </c>
      <c r="AA857" s="4">
        <f>IF(W857=0,0,Z857/W857)</f>
        <v>0.32449281419798731</v>
      </c>
      <c r="AB857" t="s">
        <v>31</v>
      </c>
      <c r="AC857" t="s">
        <v>32</v>
      </c>
      <c r="AD857" t="str">
        <f>IF(AND(E857="", T857&gt;=0, T857&lt;=0.5, K857&lt;&gt;"Unknown", Q857&lt;&gt;"Unknown"), "CLEAN", _xlfn.CONCAT("WARNING: ", IF(E857&lt;&gt;"","invalid_date",""), IF(T857&lt;0,"negative_discount",""), IF(AND(T857&gt;0.5,T857&lt;=1),"high_discount",""), IF(K857="Unknown","missing_region",""), IF(Q857="Unknown","missing_ship_mode","")))</f>
        <v>CLEAN</v>
      </c>
      <c r="AE857" t="str">
        <f>IF(COUNTIF($AF$2:$AF$926,AF857)&gt;1,"DUPLICATE","UNIQUE")</f>
        <v>UNIQUE</v>
      </c>
      <c r="AF857" t="str">
        <f>A857&amp;"|"&amp;B857&amp;"|"&amp;H857&amp;"|"&amp;I857&amp;"|"&amp;R857&amp;"|"&amp;S857&amp;"|"&amp;V857</f>
        <v>ORD-2024-10856|2024-07-25|CUST-2752|Rahul Verma|2|2073.53|3110.3</v>
      </c>
      <c r="AG857" t="str">
        <f>IF(COUNTIF($A$2:$A$913,A857)&gt;1,"TRUE","FALSE")</f>
        <v>FALSE</v>
      </c>
    </row>
    <row r="858" spans="1:33">
      <c r="A858" t="s">
        <v>2561</v>
      </c>
      <c r="B858" t="s">
        <v>2562</v>
      </c>
      <c r="C858" t="s">
        <v>2839</v>
      </c>
      <c r="D858">
        <f>IF(OR(B858="", C858=""), "", (C858 - B858))</f>
        <v>7</v>
      </c>
      <c r="E858" t="str">
        <f>IF(C858&lt;B858, "INVALID: Ship date before order date", "")</f>
        <v/>
      </c>
      <c r="F858" t="str">
        <f>IF(B858="", "", TEXT(B858, "mmmm"))</f>
        <v>June</v>
      </c>
      <c r="G858">
        <f>IF(B858="", "", YEAR(B858))</f>
        <v>2024</v>
      </c>
      <c r="H858" t="s">
        <v>1275</v>
      </c>
      <c r="I858" t="s">
        <v>139</v>
      </c>
      <c r="J858" t="s">
        <v>93</v>
      </c>
      <c r="K858" t="s">
        <v>53</v>
      </c>
      <c r="L858" t="s">
        <v>246</v>
      </c>
      <c r="M858" t="s">
        <v>247</v>
      </c>
      <c r="N858" t="s">
        <v>27</v>
      </c>
      <c r="O858" t="s">
        <v>122</v>
      </c>
      <c r="P858" t="s">
        <v>2563</v>
      </c>
      <c r="Q858" t="s">
        <v>58</v>
      </c>
      <c r="R858">
        <v>4</v>
      </c>
      <c r="S858" s="15">
        <v>395.1</v>
      </c>
      <c r="T858" s="4">
        <v>-0.16</v>
      </c>
      <c r="U858" s="3" t="str">
        <f>IF(T858&lt;0, "negative_discount", IF(AND(T858&gt;0.5, T858&lt;=1), "high_discount", ""))</f>
        <v>negative_discount</v>
      </c>
      <c r="V858" s="11">
        <v>1185.3</v>
      </c>
      <c r="W858" s="12">
        <v>1833.26</v>
      </c>
      <c r="X858" s="11">
        <v>966.55</v>
      </c>
      <c r="Y858" s="11">
        <v>218.75</v>
      </c>
      <c r="Z858" s="11">
        <f>ROUND(W858-X858,2)</f>
        <v>866.71</v>
      </c>
      <c r="AA858" s="4">
        <f>IF(W858=0,0,Z858/W858)</f>
        <v>0.47276981988370448</v>
      </c>
      <c r="AB858" t="s">
        <v>151</v>
      </c>
      <c r="AC858" t="s">
        <v>67</v>
      </c>
      <c r="AD858" t="str">
        <f>IF(AND(E858="", T858&gt;=0, T858&lt;=0.5, K858&lt;&gt;"Unknown", Q858&lt;&gt;"Unknown"), "CLEAN", _xlfn.CONCAT("WARNING: ", IF(E858&lt;&gt;"","invalid_date",""), IF(T858&lt;0,"negative_discount",""), IF(AND(T858&gt;0.5,T858&lt;=1),"high_discount",""), IF(K858="Unknown","missing_region",""), IF(Q858="Unknown","missing_ship_mode","")))</f>
        <v>WARNING: negative_discount</v>
      </c>
      <c r="AE858" t="str">
        <f>IF(COUNTIF($AF$2:$AF$926,AF858)&gt;1,"DUPLICATE","UNIQUE")</f>
        <v>UNIQUE</v>
      </c>
      <c r="AF858" t="str">
        <f>A858&amp;"|"&amp;B858&amp;"|"&amp;H858&amp;"|"&amp;I858&amp;"|"&amp;R858&amp;"|"&amp;S858&amp;"|"&amp;V858</f>
        <v>ORD-2024-10857|2024-06-12|CUST-5647|Rohan Mehta|4|395.1|1185.3</v>
      </c>
      <c r="AG858" t="str">
        <f>IF(COUNTIF($A$2:$A$913,A858)&gt;1,"TRUE","FALSE")</f>
        <v>FALSE</v>
      </c>
    </row>
    <row r="859" spans="1:33">
      <c r="A859" t="s">
        <v>2564</v>
      </c>
      <c r="B859" t="s">
        <v>2497</v>
      </c>
      <c r="C859" t="s">
        <v>252</v>
      </c>
      <c r="D859">
        <f>IF(OR(B859="", C859=""), "", (C859 - B859))</f>
        <v>-59</v>
      </c>
      <c r="E859" t="str">
        <f>IF(C859&lt;B859, "INVALID: Ship date before order date", "")</f>
        <v>INVALID: Ship date before order date</v>
      </c>
      <c r="F859" t="str">
        <f>IF(B859="", "", TEXT(B859, "mmmm"))</f>
        <v>June</v>
      </c>
      <c r="G859">
        <f>IF(B859="", "", YEAR(B859))</f>
        <v>2024</v>
      </c>
      <c r="H859" t="s">
        <v>2103</v>
      </c>
      <c r="I859" t="s">
        <v>131</v>
      </c>
      <c r="J859" t="s">
        <v>93</v>
      </c>
      <c r="K859" t="s">
        <v>53</v>
      </c>
      <c r="L859" t="s">
        <v>180</v>
      </c>
      <c r="M859" t="s">
        <v>181</v>
      </c>
      <c r="N859" t="s">
        <v>27</v>
      </c>
      <c r="O859" t="s">
        <v>122</v>
      </c>
      <c r="P859" t="s">
        <v>2565</v>
      </c>
      <c r="Q859" t="s">
        <v>49</v>
      </c>
      <c r="R859">
        <v>6</v>
      </c>
      <c r="S859" s="15">
        <v>2708.97</v>
      </c>
      <c r="T859" s="4">
        <v>0.25</v>
      </c>
      <c r="U859" s="3" t="str">
        <f>IF(T859&lt;0, "negative_discount", IF(AND(T859&gt;0.5, T859&lt;=1), "high_discount", ""))</f>
        <v/>
      </c>
      <c r="V859" s="11">
        <v>12190.36</v>
      </c>
      <c r="W859" s="12">
        <v>12190.37</v>
      </c>
      <c r="X859" s="11">
        <v>10176.99</v>
      </c>
      <c r="Y859" s="11">
        <v>2013.37</v>
      </c>
      <c r="Z859" s="11">
        <f>ROUND(W859-X859,2)</f>
        <v>2013.38</v>
      </c>
      <c r="AA859" s="4">
        <f>IF(W859=0,0,Z859/W859)</f>
        <v>0.16516151683665056</v>
      </c>
      <c r="AB859" t="s">
        <v>31</v>
      </c>
      <c r="AC859" t="s">
        <v>32</v>
      </c>
      <c r="AD859" t="str">
        <f>IF(AND(E859="", T859&gt;=0, T859&lt;=0.5, K859&lt;&gt;"Unknown", Q859&lt;&gt;"Unknown"), "CLEAN", _xlfn.CONCAT("WARNING: ", IF(E859&lt;&gt;"","invalid_date",""), IF(T859&lt;0,"negative_discount",""), IF(AND(T859&gt;0.5,T859&lt;=1),"high_discount",""), IF(K859="Unknown","missing_region",""), IF(Q859="Unknown","missing_ship_mode","")))</f>
        <v>WARNING: invalid_date</v>
      </c>
      <c r="AE859" t="str">
        <f>IF(COUNTIF($AF$2:$AF$926,AF859)&gt;1,"DUPLICATE","UNIQUE")</f>
        <v>UNIQUE</v>
      </c>
      <c r="AF859" t="str">
        <f>A859&amp;"|"&amp;B859&amp;"|"&amp;H859&amp;"|"&amp;I859&amp;"|"&amp;R859&amp;"|"&amp;S859&amp;"|"&amp;V859</f>
        <v>ORD-2024-10858|2024-06-04|CUST-8575|Sneha Kapoor|6|2708.97|12190.36</v>
      </c>
      <c r="AG859" t="str">
        <f>IF(COUNTIF($A$2:$A$913,A859)&gt;1,"TRUE","FALSE")</f>
        <v>FALSE</v>
      </c>
    </row>
    <row r="860" spans="1:33">
      <c r="A860" t="s">
        <v>2566</v>
      </c>
      <c r="B860" t="s">
        <v>792</v>
      </c>
      <c r="C860" t="s">
        <v>1151</v>
      </c>
      <c r="D860">
        <f>IF(OR(B860="", C860=""), "", (C860 - B860))</f>
        <v>7</v>
      </c>
      <c r="E860" t="str">
        <f>IF(C860&lt;B860, "INVALID: Ship date before order date", "")</f>
        <v/>
      </c>
      <c r="F860" t="str">
        <f>IF(B860="", "", TEXT(B860, "mmmm"))</f>
        <v>May</v>
      </c>
      <c r="G860">
        <f>IF(B860="", "", YEAR(B860))</f>
        <v>2024</v>
      </c>
      <c r="H860" t="s">
        <v>2567</v>
      </c>
      <c r="I860" t="s">
        <v>52</v>
      </c>
      <c r="J860" t="s">
        <v>23</v>
      </c>
      <c r="K860" t="s">
        <v>37</v>
      </c>
      <c r="L860" t="s">
        <v>38</v>
      </c>
      <c r="M860" t="s">
        <v>39</v>
      </c>
      <c r="N860" t="s">
        <v>74</v>
      </c>
      <c r="O860" t="s">
        <v>75</v>
      </c>
      <c r="P860" t="s">
        <v>2568</v>
      </c>
      <c r="Q860" t="s">
        <v>30</v>
      </c>
      <c r="R860">
        <v>4</v>
      </c>
      <c r="S860" s="15">
        <v>2904.86</v>
      </c>
      <c r="T860" s="4">
        <v>0</v>
      </c>
      <c r="U860" s="3" t="str">
        <f>IF(T860&lt;0, "negative_discount", IF(AND(T860&gt;0.5, T860&lt;=1), "high_discount", ""))</f>
        <v/>
      </c>
      <c r="V860" s="11">
        <v>11619.44</v>
      </c>
      <c r="W860" s="12">
        <v>11619.44</v>
      </c>
      <c r="X860" s="11">
        <v>7184.32</v>
      </c>
      <c r="Y860" s="11">
        <v>4494.6400000000003</v>
      </c>
      <c r="Z860" s="11">
        <f>ROUND(W860-X860,2)</f>
        <v>4435.12</v>
      </c>
      <c r="AA860" s="4">
        <f>IF(W860=0,0,Z860/W860)</f>
        <v>0.38169825740311064</v>
      </c>
      <c r="AB860" t="s">
        <v>31</v>
      </c>
      <c r="AC860" t="s">
        <v>32</v>
      </c>
      <c r="AD860" t="str">
        <f>IF(AND(E860="", T860&gt;=0, T860&lt;=0.5, K860&lt;&gt;"Unknown", Q860&lt;&gt;"Unknown"), "CLEAN", _xlfn.CONCAT("WARNING: ", IF(E860&lt;&gt;"","invalid_date",""), IF(T860&lt;0,"negative_discount",""), IF(AND(T860&gt;0.5,T860&lt;=1),"high_discount",""), IF(K860="Unknown","missing_region",""), IF(Q860="Unknown","missing_ship_mode","")))</f>
        <v>CLEAN</v>
      </c>
      <c r="AE860" t="str">
        <f>IF(COUNTIF($AF$2:$AF$926,AF860)&gt;1,"DUPLICATE","UNIQUE")</f>
        <v>UNIQUE</v>
      </c>
      <c r="AF860" t="str">
        <f>A860&amp;"|"&amp;B860&amp;"|"&amp;H860&amp;"|"&amp;I860&amp;"|"&amp;R860&amp;"|"&amp;S860&amp;"|"&amp;V860</f>
        <v>ORD-2024-10859|2024-05-02|CUST-9576|Arjun Bose|4|2904.86|11619.44</v>
      </c>
      <c r="AG860" t="str">
        <f>IF(COUNTIF($A$2:$A$913,A860)&gt;1,"TRUE","FALSE")</f>
        <v>FALSE</v>
      </c>
    </row>
    <row r="861" spans="1:33">
      <c r="A861" t="s">
        <v>2569</v>
      </c>
      <c r="B861" t="s">
        <v>2875</v>
      </c>
      <c r="C861" t="s">
        <v>2570</v>
      </c>
      <c r="D861">
        <f>IF(OR(B861="", C861=""), "", (C861 - B861))</f>
        <v>5</v>
      </c>
      <c r="E861" t="str">
        <f>IF(C861&lt;B861, "INVALID: Ship date before order date", "")</f>
        <v/>
      </c>
      <c r="F861" t="str">
        <f>IF(B861="", "", TEXT(B861, "mmmm"))</f>
        <v>October</v>
      </c>
      <c r="G861">
        <f>IF(B861="", "", YEAR(B861))</f>
        <v>2024</v>
      </c>
      <c r="H861" t="s">
        <v>2571</v>
      </c>
      <c r="I861" t="s">
        <v>88</v>
      </c>
      <c r="J861" t="s">
        <v>89</v>
      </c>
      <c r="K861" t="s">
        <v>53</v>
      </c>
      <c r="L861" t="s">
        <v>246</v>
      </c>
      <c r="M861" t="s">
        <v>247</v>
      </c>
      <c r="N861" t="s">
        <v>74</v>
      </c>
      <c r="O861" t="s">
        <v>168</v>
      </c>
      <c r="P861" t="s">
        <v>2572</v>
      </c>
      <c r="Q861" t="s">
        <v>58</v>
      </c>
      <c r="R861">
        <v>6</v>
      </c>
      <c r="S861" s="15">
        <v>4399.2</v>
      </c>
      <c r="T861" s="4">
        <v>0.05</v>
      </c>
      <c r="U861" s="3" t="str">
        <f>IF(T861&lt;0, "negative_discount", IF(AND(T861&gt;0.5, T861&lt;=1), "high_discount", ""))</f>
        <v/>
      </c>
      <c r="V861" s="11">
        <v>25075.439999999999</v>
      </c>
      <c r="W861" s="12">
        <v>25075.439999999999</v>
      </c>
      <c r="X861" s="11">
        <v>16282.74</v>
      </c>
      <c r="Y861" s="11">
        <v>8792.7000000000007</v>
      </c>
      <c r="Z861" s="11">
        <f>ROUND(W861-X861,2)</f>
        <v>8792.7000000000007</v>
      </c>
      <c r="AA861" s="4">
        <f>IF(W861=0,0,Z861/W861)</f>
        <v>0.35064987892535487</v>
      </c>
      <c r="AB861" t="s">
        <v>31</v>
      </c>
      <c r="AC861" t="s">
        <v>32</v>
      </c>
      <c r="AD861" t="str">
        <f>IF(AND(E861="", T861&gt;=0, T861&lt;=0.5, K861&lt;&gt;"Unknown", Q861&lt;&gt;"Unknown"), "CLEAN", _xlfn.CONCAT("WARNING: ", IF(E861&lt;&gt;"","invalid_date",""), IF(T861&lt;0,"negative_discount",""), IF(AND(T861&gt;0.5,T861&lt;=1),"high_discount",""), IF(K861="Unknown","missing_region",""), IF(Q861="Unknown","missing_ship_mode","")))</f>
        <v>CLEAN</v>
      </c>
      <c r="AE861" t="str">
        <f>IF(COUNTIF($AF$2:$AF$926,AF861)&gt;1,"DUPLICATE","UNIQUE")</f>
        <v>UNIQUE</v>
      </c>
      <c r="AF861" t="str">
        <f>A861&amp;"|"&amp;B861&amp;"|"&amp;H861&amp;"|"&amp;I861&amp;"|"&amp;R861&amp;"|"&amp;S861&amp;"|"&amp;V861</f>
        <v>ORD-2024-10860|2024-10-27|CUST-2395|Aditi Sen|6|4399.2|25075.44</v>
      </c>
      <c r="AG861" t="str">
        <f>IF(COUNTIF($A$2:$A$913,A861)&gt;1,"TRUE","FALSE")</f>
        <v>FALSE</v>
      </c>
    </row>
    <row r="862" spans="1:33">
      <c r="A862" t="s">
        <v>2573</v>
      </c>
      <c r="B862" t="s">
        <v>2355</v>
      </c>
      <c r="C862" t="s">
        <v>2826</v>
      </c>
      <c r="D862">
        <f>IF(OR(B862="", C862=""), "", (C862 - B862))</f>
        <v>2</v>
      </c>
      <c r="E862" t="str">
        <f>IF(C862&lt;B862, "INVALID: Ship date before order date", "")</f>
        <v/>
      </c>
      <c r="F862" t="str">
        <f>IF(B862="", "", TEXT(B862, "mmmm"))</f>
        <v>February</v>
      </c>
      <c r="G862">
        <f>IF(B862="", "", YEAR(B862))</f>
        <v>2024</v>
      </c>
      <c r="H862" t="s">
        <v>2574</v>
      </c>
      <c r="I862" t="s">
        <v>71</v>
      </c>
      <c r="J862" t="s">
        <v>93</v>
      </c>
      <c r="K862" t="s">
        <v>24</v>
      </c>
      <c r="L862" t="s">
        <v>134</v>
      </c>
      <c r="M862" t="s">
        <v>135</v>
      </c>
      <c r="N862" t="s">
        <v>27</v>
      </c>
      <c r="O862" t="s">
        <v>122</v>
      </c>
      <c r="P862" t="s">
        <v>2575</v>
      </c>
      <c r="Q862" t="s">
        <v>30</v>
      </c>
      <c r="R862">
        <v>1</v>
      </c>
      <c r="S862" s="15">
        <v>4397.32</v>
      </c>
      <c r="T862" s="4">
        <v>0.05</v>
      </c>
      <c r="U862" s="3" t="str">
        <f>IF(T862&lt;0, "negative_discount", IF(AND(T862&gt;0.5, T862&lt;=1), "high_discount", ""))</f>
        <v/>
      </c>
      <c r="V862" s="11">
        <v>4177.45</v>
      </c>
      <c r="W862" s="12">
        <v>4177.45</v>
      </c>
      <c r="X862" s="11">
        <v>2299.5</v>
      </c>
      <c r="Y862" s="11">
        <v>1877.95</v>
      </c>
      <c r="Z862" s="11">
        <f>ROUND(W862-X862,2)</f>
        <v>1877.95</v>
      </c>
      <c r="AA862" s="4">
        <f>IF(W862=0,0,Z862/W862)</f>
        <v>0.44954457863050429</v>
      </c>
      <c r="AB862" t="s">
        <v>31</v>
      </c>
      <c r="AC862" t="s">
        <v>32</v>
      </c>
      <c r="AD862" t="str">
        <f>IF(AND(E862="", T862&gt;=0, T862&lt;=0.5, K862&lt;&gt;"Unknown", Q862&lt;&gt;"Unknown"), "CLEAN", _xlfn.CONCAT("WARNING: ", IF(E862&lt;&gt;"","invalid_date",""), IF(T862&lt;0,"negative_discount",""), IF(AND(T862&gt;0.5,T862&lt;=1),"high_discount",""), IF(K862="Unknown","missing_region",""), IF(Q862="Unknown","missing_ship_mode","")))</f>
        <v>CLEAN</v>
      </c>
      <c r="AE862" t="str">
        <f>IF(COUNTIF($AF$2:$AF$926,AF862)&gt;1,"DUPLICATE","UNIQUE")</f>
        <v>UNIQUE</v>
      </c>
      <c r="AF862" t="str">
        <f>A862&amp;"|"&amp;B862&amp;"|"&amp;H862&amp;"|"&amp;I862&amp;"|"&amp;R862&amp;"|"&amp;S862&amp;"|"&amp;V862</f>
        <v>ORD-2024-10861|2024-02-02|CUST-8941|Vikram Iyer|1|4397.32|4177.45</v>
      </c>
      <c r="AG862" t="str">
        <f>IF(COUNTIF($A$2:$A$913,A862)&gt;1,"TRUE","FALSE")</f>
        <v>FALSE</v>
      </c>
    </row>
    <row r="863" spans="1:33">
      <c r="A863" t="s">
        <v>3365</v>
      </c>
      <c r="B863" t="s">
        <v>2576</v>
      </c>
      <c r="C863" t="s">
        <v>2577</v>
      </c>
      <c r="D863">
        <f>IF(OR(B863="", C863=""), "", (C863 - B863))</f>
        <v>1</v>
      </c>
      <c r="E863" t="str">
        <f>IF(C863&lt;B863, "INVALID: Ship date before order date", "")</f>
        <v/>
      </c>
      <c r="F863" t="str">
        <f>IF(B863="", "", TEXT(B863, "mmmm"))</f>
        <v>March</v>
      </c>
      <c r="G863">
        <f>IF(B863="", "", YEAR(B863))</f>
        <v>2025</v>
      </c>
      <c r="H863" t="s">
        <v>2578</v>
      </c>
      <c r="I863" t="s">
        <v>112</v>
      </c>
      <c r="J863" t="s">
        <v>93</v>
      </c>
      <c r="K863" t="s">
        <v>24</v>
      </c>
      <c r="L863" t="s">
        <v>353</v>
      </c>
      <c r="M863" t="s">
        <v>354</v>
      </c>
      <c r="N863" t="s">
        <v>40</v>
      </c>
      <c r="O863" t="s">
        <v>56</v>
      </c>
      <c r="P863" t="s">
        <v>2579</v>
      </c>
      <c r="Q863" t="s">
        <v>43</v>
      </c>
      <c r="R863">
        <v>4</v>
      </c>
      <c r="S863" s="15">
        <v>3405.68</v>
      </c>
      <c r="T863" s="4">
        <v>0.2</v>
      </c>
      <c r="U863" s="3" t="str">
        <f>IF(T863&lt;0, "negative_discount", IF(AND(T863&gt;0.5, T863&lt;=1), "high_discount", ""))</f>
        <v/>
      </c>
      <c r="V863" s="11">
        <v>10898.18</v>
      </c>
      <c r="W863" s="12">
        <v>10898.18</v>
      </c>
      <c r="X863" s="11">
        <v>6231.41</v>
      </c>
      <c r="Y863" s="11">
        <v>4666.7700000000004</v>
      </c>
      <c r="Z863" s="11">
        <f>ROUND(W863-X863,2)</f>
        <v>4666.7700000000004</v>
      </c>
      <c r="AA863" s="4">
        <f>IF(W863=0,0,Z863/W863)</f>
        <v>0.42821553690616232</v>
      </c>
      <c r="AB863" t="s">
        <v>31</v>
      </c>
      <c r="AC863" t="s">
        <v>32</v>
      </c>
      <c r="AD863" t="str">
        <f>IF(AND(E863="", T863&gt;=0, T863&lt;=0.5, K863&lt;&gt;"Unknown", Q863&lt;&gt;"Unknown"), "CLEAN", _xlfn.CONCAT("WARNING: ", IF(E863&lt;&gt;"","invalid_date",""), IF(T863&lt;0,"negative_discount",""), IF(AND(T863&gt;0.5,T863&lt;=1),"high_discount",""), IF(K863="Unknown","missing_region",""), IF(Q863="Unknown","missing_ship_mode","")))</f>
        <v>CLEAN</v>
      </c>
      <c r="AE863" t="str">
        <f>IF(COUNTIF($AF$2:$AF$926,AF863)&gt;1,"DUPLICATE","UNIQUE")</f>
        <v>UNIQUE</v>
      </c>
      <c r="AF863" t="str">
        <f>A863&amp;"|"&amp;B863&amp;"|"&amp;H863&amp;"|"&amp;I863&amp;"|"&amp;R863&amp;"|"&amp;S863&amp;"|"&amp;V863</f>
        <v>ORD-2025-10862|2025-03-08|CUST-9448|Priya Menon|4|3405.68|10898.18</v>
      </c>
      <c r="AG863" t="str">
        <f>IF(COUNTIF($A$2:$A$913,A863)&gt;1,"TRUE","FALSE")</f>
        <v>FALSE</v>
      </c>
    </row>
    <row r="864" spans="1:33">
      <c r="A864" t="s">
        <v>3366</v>
      </c>
      <c r="B864" t="s">
        <v>2158</v>
      </c>
      <c r="C864" t="s">
        <v>265</v>
      </c>
      <c r="D864">
        <f>IF(OR(B864="", C864=""), "", (C864 - B864))</f>
        <v>5</v>
      </c>
      <c r="E864" t="str">
        <f>IF(C864&lt;B864, "INVALID: Ship date before order date", "")</f>
        <v/>
      </c>
      <c r="F864" t="str">
        <f>IF(B864="", "", TEXT(B864, "mmmm"))</f>
        <v>March</v>
      </c>
      <c r="G864">
        <f>IF(B864="", "", YEAR(B864))</f>
        <v>2025</v>
      </c>
      <c r="H864" t="s">
        <v>2580</v>
      </c>
      <c r="I864" t="s">
        <v>112</v>
      </c>
      <c r="J864" t="s">
        <v>36</v>
      </c>
      <c r="K864" t="s">
        <v>37</v>
      </c>
      <c r="L864" t="s">
        <v>226</v>
      </c>
      <c r="M864" t="s">
        <v>227</v>
      </c>
      <c r="N864" t="s">
        <v>27</v>
      </c>
      <c r="O864" t="s">
        <v>149</v>
      </c>
      <c r="P864" t="s">
        <v>2581</v>
      </c>
      <c r="Q864" t="s">
        <v>49</v>
      </c>
      <c r="R864">
        <v>5</v>
      </c>
      <c r="S864" s="15">
        <v>1395.14</v>
      </c>
      <c r="T864" s="4">
        <v>0</v>
      </c>
      <c r="U864" s="3" t="str">
        <f>IF(T864&lt;0, "negative_discount", IF(AND(T864&gt;0.5, T864&lt;=1), "high_discount", ""))</f>
        <v/>
      </c>
      <c r="V864" s="11">
        <v>6975.7</v>
      </c>
      <c r="W864" s="12">
        <v>6975.7</v>
      </c>
      <c r="X864" s="11">
        <v>4797.88</v>
      </c>
      <c r="Y864" s="11">
        <v>2177.8200000000002</v>
      </c>
      <c r="Z864" s="11">
        <f>ROUND(W864-X864,2)</f>
        <v>2177.8200000000002</v>
      </c>
      <c r="AA864" s="4">
        <f>IF(W864=0,0,Z864/W864)</f>
        <v>0.31220092607193545</v>
      </c>
      <c r="AB864" t="s">
        <v>31</v>
      </c>
      <c r="AC864" t="s">
        <v>67</v>
      </c>
      <c r="AD864" t="str">
        <f>IF(AND(E864="", T864&gt;=0, T864&lt;=0.5, K864&lt;&gt;"Unknown", Q864&lt;&gt;"Unknown"), "CLEAN", _xlfn.CONCAT("WARNING: ", IF(E864&lt;&gt;"","invalid_date",""), IF(T864&lt;0,"negative_discount",""), IF(AND(T864&gt;0.5,T864&lt;=1),"high_discount",""), IF(K864="Unknown","missing_region",""), IF(Q864="Unknown","missing_ship_mode","")))</f>
        <v>CLEAN</v>
      </c>
      <c r="AE864" t="str">
        <f>IF(COUNTIF($AF$2:$AF$926,AF864)&gt;1,"DUPLICATE","UNIQUE")</f>
        <v>UNIQUE</v>
      </c>
      <c r="AF864" t="str">
        <f>A864&amp;"|"&amp;B864&amp;"|"&amp;H864&amp;"|"&amp;I864&amp;"|"&amp;R864&amp;"|"&amp;S864&amp;"|"&amp;V864</f>
        <v>ORD-2025-10863|2025-03-26|CUST-8354|Priya Menon|5|1395.14|6975.7</v>
      </c>
      <c r="AG864" t="str">
        <f>IF(COUNTIF($A$2:$A$913,A864)&gt;1,"TRUE","FALSE")</f>
        <v>FALSE</v>
      </c>
    </row>
    <row r="865" spans="1:33">
      <c r="A865" t="s">
        <v>3367</v>
      </c>
      <c r="B865" t="s">
        <v>2889</v>
      </c>
      <c r="C865" t="s">
        <v>2780</v>
      </c>
      <c r="D865">
        <f>IF(OR(B865="", C865=""), "", (C865 - B865))</f>
        <v>2</v>
      </c>
      <c r="E865" t="str">
        <f>IF(C865&lt;B865, "INVALID: Ship date before order date", "")</f>
        <v/>
      </c>
      <c r="F865" t="str">
        <f>IF(B865="", "", TEXT(B865, "mmmm"))</f>
        <v>September</v>
      </c>
      <c r="G865">
        <f>IF(B865="", "", YEAR(B865))</f>
        <v>2025</v>
      </c>
      <c r="H865" t="s">
        <v>2582</v>
      </c>
      <c r="I865" t="s">
        <v>126</v>
      </c>
      <c r="J865" t="s">
        <v>93</v>
      </c>
      <c r="K865" t="s">
        <v>62</v>
      </c>
      <c r="L865" t="s">
        <v>72</v>
      </c>
      <c r="M865" t="s">
        <v>73</v>
      </c>
      <c r="N865" t="s">
        <v>40</v>
      </c>
      <c r="O865" t="s">
        <v>56</v>
      </c>
      <c r="P865" t="s">
        <v>2583</v>
      </c>
      <c r="Q865" t="s">
        <v>43</v>
      </c>
      <c r="R865">
        <v>3</v>
      </c>
      <c r="S865" s="15">
        <v>2937.23</v>
      </c>
      <c r="T865" s="4">
        <v>0</v>
      </c>
      <c r="U865" s="3" t="str">
        <f>IF(T865&lt;0, "negative_discount", IF(AND(T865&gt;0.5, T865&lt;=1), "high_discount", ""))</f>
        <v/>
      </c>
      <c r="V865" s="11">
        <v>8811.69</v>
      </c>
      <c r="W865" s="12">
        <v>8811.69</v>
      </c>
      <c r="X865" s="11">
        <v>6765.91</v>
      </c>
      <c r="Y865" s="11">
        <v>2045.78</v>
      </c>
      <c r="Z865" s="11">
        <f>ROUND(W865-X865,2)</f>
        <v>2045.78</v>
      </c>
      <c r="AA865" s="4">
        <f>IF(W865=0,0,Z865/W865)</f>
        <v>0.23216658779416888</v>
      </c>
      <c r="AB865" t="s">
        <v>31</v>
      </c>
      <c r="AC865" t="s">
        <v>32</v>
      </c>
      <c r="AD865" t="str">
        <f>IF(AND(E865="", T865&gt;=0, T865&lt;=0.5, K865&lt;&gt;"Unknown", Q865&lt;&gt;"Unknown"), "CLEAN", _xlfn.CONCAT("WARNING: ", IF(E865&lt;&gt;"","invalid_date",""), IF(T865&lt;0,"negative_discount",""), IF(AND(T865&gt;0.5,T865&lt;=1),"high_discount",""), IF(K865="Unknown","missing_region",""), IF(Q865="Unknown","missing_ship_mode","")))</f>
        <v>CLEAN</v>
      </c>
      <c r="AE865" t="str">
        <f>IF(COUNTIF($AF$2:$AF$926,AF865)&gt;1,"DUPLICATE","UNIQUE")</f>
        <v>UNIQUE</v>
      </c>
      <c r="AF865" t="str">
        <f>A865&amp;"|"&amp;B865&amp;"|"&amp;H865&amp;"|"&amp;I865&amp;"|"&amp;R865&amp;"|"&amp;S865&amp;"|"&amp;V865</f>
        <v>ORD-2025-10864|2025-09-06|CUST-2200|Aarav Sharma|3|2937.23|8811.69</v>
      </c>
      <c r="AG865" t="str">
        <f>IF(COUNTIF($A$2:$A$913,A865)&gt;1,"TRUE","FALSE")</f>
        <v>FALSE</v>
      </c>
    </row>
    <row r="866" spans="1:33">
      <c r="A866" t="s">
        <v>3368</v>
      </c>
      <c r="B866" t="s">
        <v>2714</v>
      </c>
      <c r="C866" t="s">
        <v>2703</v>
      </c>
      <c r="D866">
        <f>IF(OR(B866="", C866=""), "", (C866 - B866))</f>
        <v>-116</v>
      </c>
      <c r="E866" t="str">
        <f>IF(C866&lt;B866, "INVALID: Ship date before order date", "")</f>
        <v>INVALID: Ship date before order date</v>
      </c>
      <c r="F866" t="str">
        <f>IF(B866="", "", TEXT(B866, "mmmm"))</f>
        <v>September</v>
      </c>
      <c r="G866">
        <f>IF(B866="", "", YEAR(B866))</f>
        <v>2025</v>
      </c>
      <c r="H866" t="s">
        <v>2584</v>
      </c>
      <c r="I866" t="s">
        <v>71</v>
      </c>
      <c r="J866" t="s">
        <v>23</v>
      </c>
      <c r="K866" t="s">
        <v>53</v>
      </c>
      <c r="L866" t="s">
        <v>246</v>
      </c>
      <c r="M866" t="s">
        <v>247</v>
      </c>
      <c r="N866" t="s">
        <v>74</v>
      </c>
      <c r="O866" t="s">
        <v>168</v>
      </c>
      <c r="P866" t="s">
        <v>2585</v>
      </c>
      <c r="Q866" t="s">
        <v>49</v>
      </c>
      <c r="R866">
        <v>5</v>
      </c>
      <c r="S866" s="15">
        <v>3406.87</v>
      </c>
      <c r="T866" s="4">
        <v>0</v>
      </c>
      <c r="U866" s="3" t="str">
        <f>IF(T866&lt;0, "negative_discount", IF(AND(T866&gt;0.5, T866&lt;=1), "high_discount", ""))</f>
        <v/>
      </c>
      <c r="V866" s="11">
        <v>17034.349999999999</v>
      </c>
      <c r="W866" s="12">
        <v>17034.349999999999</v>
      </c>
      <c r="X866" s="11">
        <v>14631.36</v>
      </c>
      <c r="Y866" s="11">
        <v>2402.9899999999998</v>
      </c>
      <c r="Z866" s="11">
        <f>ROUND(W866-X866,2)</f>
        <v>2402.9899999999998</v>
      </c>
      <c r="AA866" s="4">
        <f>IF(W866=0,0,Z866/W866)</f>
        <v>0.14106731398615152</v>
      </c>
      <c r="AB866" t="s">
        <v>31</v>
      </c>
      <c r="AC866" t="s">
        <v>32</v>
      </c>
      <c r="AD866" t="str">
        <f>IF(AND(E866="", T866&gt;=0, T866&lt;=0.5, K866&lt;&gt;"Unknown", Q866&lt;&gt;"Unknown"), "CLEAN", _xlfn.CONCAT("WARNING: ", IF(E866&lt;&gt;"","invalid_date",""), IF(T866&lt;0,"negative_discount",""), IF(AND(T866&gt;0.5,T866&lt;=1),"high_discount",""), IF(K866="Unknown","missing_region",""), IF(Q866="Unknown","missing_ship_mode","")))</f>
        <v>WARNING: invalid_date</v>
      </c>
      <c r="AE866" t="str">
        <f>IF(COUNTIF($AF$2:$AF$926,AF866)&gt;1,"DUPLICATE","UNIQUE")</f>
        <v>UNIQUE</v>
      </c>
      <c r="AF866" t="str">
        <f>A866&amp;"|"&amp;B866&amp;"|"&amp;H866&amp;"|"&amp;I866&amp;"|"&amp;R866&amp;"|"&amp;S866&amp;"|"&amp;V866</f>
        <v>ORD-2025-10865|2025-09-02|CUST-1178|Vikram Iyer|5|3406.87|17034.35</v>
      </c>
      <c r="AG866" t="str">
        <f>IF(COUNTIF($A$2:$A$913,A866)&gt;1,"TRUE","FALSE")</f>
        <v>FALSE</v>
      </c>
    </row>
    <row r="867" spans="1:33">
      <c r="A867" t="s">
        <v>3369</v>
      </c>
      <c r="B867" t="s">
        <v>268</v>
      </c>
      <c r="C867" t="s">
        <v>1785</v>
      </c>
      <c r="D867">
        <f>IF(OR(B867="", C867=""), "", (C867 - B867))</f>
        <v>-108</v>
      </c>
      <c r="E867" t="str">
        <f>IF(C867&lt;B867, "INVALID: Ship date before order date", "")</f>
        <v>INVALID: Ship date before order date</v>
      </c>
      <c r="F867" t="str">
        <f>IF(B867="", "", TEXT(B867, "mmmm"))</f>
        <v>June</v>
      </c>
      <c r="G867">
        <f>IF(B867="", "", YEAR(B867))</f>
        <v>2025</v>
      </c>
      <c r="H867" t="s">
        <v>2586</v>
      </c>
      <c r="I867" t="s">
        <v>263</v>
      </c>
      <c r="J867" t="s">
        <v>23</v>
      </c>
      <c r="K867" t="s">
        <v>62</v>
      </c>
      <c r="L867" t="s">
        <v>63</v>
      </c>
      <c r="M867" t="s">
        <v>64</v>
      </c>
      <c r="N867" t="s">
        <v>27</v>
      </c>
      <c r="O867" t="s">
        <v>90</v>
      </c>
      <c r="P867" t="s">
        <v>2587</v>
      </c>
      <c r="Q867" t="s">
        <v>30</v>
      </c>
      <c r="R867">
        <v>2</v>
      </c>
      <c r="S867" s="15">
        <v>3992.04</v>
      </c>
      <c r="T867" s="4">
        <v>0</v>
      </c>
      <c r="U867" s="3" t="str">
        <f>IF(T867&lt;0, "negative_discount", IF(AND(T867&gt;0.5, T867&lt;=1), "high_discount", ""))</f>
        <v/>
      </c>
      <c r="V867" s="11">
        <v>7984.08</v>
      </c>
      <c r="W867" s="12">
        <v>7984.08</v>
      </c>
      <c r="X867" s="11">
        <v>5658.05</v>
      </c>
      <c r="Y867" s="11">
        <v>2326.0300000000002</v>
      </c>
      <c r="Z867" s="11">
        <f>ROUND(W867-X867,2)</f>
        <v>2326.0300000000002</v>
      </c>
      <c r="AA867" s="4">
        <f>IF(W867=0,0,Z867/W867)</f>
        <v>0.29133350367230793</v>
      </c>
      <c r="AB867" t="s">
        <v>31</v>
      </c>
      <c r="AC867" t="s">
        <v>32</v>
      </c>
      <c r="AD867" t="str">
        <f>IF(AND(E867="", T867&gt;=0, T867&lt;=0.5, K867&lt;&gt;"Unknown", Q867&lt;&gt;"Unknown"), "CLEAN", _xlfn.CONCAT("WARNING: ", IF(E867&lt;&gt;"","invalid_date",""), IF(T867&lt;0,"negative_discount",""), IF(AND(T867&gt;0.5,T867&lt;=1),"high_discount",""), IF(K867="Unknown","missing_region",""), IF(Q867="Unknown","missing_ship_mode","")))</f>
        <v>WARNING: invalid_date</v>
      </c>
      <c r="AE867" t="str">
        <f>IF(COUNTIF($AF$2:$AF$926,AF867)&gt;1,"DUPLICATE","UNIQUE")</f>
        <v>UNIQUE</v>
      </c>
      <c r="AF867" t="str">
        <f>A867&amp;"|"&amp;B867&amp;"|"&amp;H867&amp;"|"&amp;I867&amp;"|"&amp;R867&amp;"|"&amp;S867&amp;"|"&amp;V867</f>
        <v>ORD-2025-10866|2025-06-02|CUST-8099|Kabir Singh|2|3992.04|7984.08</v>
      </c>
      <c r="AG867" t="str">
        <f>IF(COUNTIF($A$2:$A$913,A867)&gt;1,"TRUE","FALSE")</f>
        <v>FALSE</v>
      </c>
    </row>
    <row r="868" spans="1:33">
      <c r="A868" t="s">
        <v>3370</v>
      </c>
      <c r="B868" t="s">
        <v>2742</v>
      </c>
      <c r="C868" t="s">
        <v>2588</v>
      </c>
      <c r="D868">
        <f>IF(OR(B868="", C868=""), "", (C868 - B868))</f>
        <v>8</v>
      </c>
      <c r="E868" t="str">
        <f>IF(C868&lt;B868, "INVALID: Ship date before order date", "")</f>
        <v/>
      </c>
      <c r="F868" t="str">
        <f>IF(B868="", "", TEXT(B868, "mmmm"))</f>
        <v>February</v>
      </c>
      <c r="G868">
        <f>IF(B868="", "", YEAR(B868))</f>
        <v>2025</v>
      </c>
      <c r="H868" t="s">
        <v>2589</v>
      </c>
      <c r="I868" t="s">
        <v>112</v>
      </c>
      <c r="J868" t="s">
        <v>23</v>
      </c>
      <c r="K868" t="s">
        <v>37</v>
      </c>
      <c r="L868" t="s">
        <v>142</v>
      </c>
      <c r="M868" t="s">
        <v>143</v>
      </c>
      <c r="N868" t="s">
        <v>40</v>
      </c>
      <c r="O868" t="s">
        <v>153</v>
      </c>
      <c r="P868" t="s">
        <v>2590</v>
      </c>
      <c r="Q868" t="s">
        <v>49</v>
      </c>
      <c r="R868">
        <v>9</v>
      </c>
      <c r="S868" s="15">
        <v>3043.37</v>
      </c>
      <c r="T868" s="4">
        <v>0.2</v>
      </c>
      <c r="U868" s="3" t="str">
        <f>IF(T868&lt;0, "negative_discount", IF(AND(T868&gt;0.5, T868&lt;=1), "high_discount", ""))</f>
        <v/>
      </c>
      <c r="V868" s="11">
        <v>21912.26</v>
      </c>
      <c r="W868" s="12">
        <v>21912.26</v>
      </c>
      <c r="X868" s="11">
        <v>16367.78</v>
      </c>
      <c r="Y868" s="11">
        <v>5544.48</v>
      </c>
      <c r="Z868" s="11">
        <f>ROUND(W868-X868,2)</f>
        <v>5544.48</v>
      </c>
      <c r="AA868" s="4">
        <f>IF(W868=0,0,Z868/W868)</f>
        <v>0.25303095162251632</v>
      </c>
      <c r="AB868" t="s">
        <v>109</v>
      </c>
      <c r="AC868" t="s">
        <v>67</v>
      </c>
      <c r="AD868" t="str">
        <f>IF(AND(E868="", T868&gt;=0, T868&lt;=0.5, K868&lt;&gt;"Unknown", Q868&lt;&gt;"Unknown"), "CLEAN", _xlfn.CONCAT("WARNING: ", IF(E868&lt;&gt;"","invalid_date",""), IF(T868&lt;0,"negative_discount",""), IF(AND(T868&gt;0.5,T868&lt;=1),"high_discount",""), IF(K868="Unknown","missing_region",""), IF(Q868="Unknown","missing_ship_mode","")))</f>
        <v>CLEAN</v>
      </c>
      <c r="AE868" t="str">
        <f>IF(COUNTIF($AF$2:$AF$926,AF868)&gt;1,"DUPLICATE","UNIQUE")</f>
        <v>UNIQUE</v>
      </c>
      <c r="AF868" t="str">
        <f>A868&amp;"|"&amp;B868&amp;"|"&amp;H868&amp;"|"&amp;I868&amp;"|"&amp;R868&amp;"|"&amp;S868&amp;"|"&amp;V868</f>
        <v>ORD-2025-10867|2025-02-26|CUST-7596|Priya Menon|9|3043.37|21912.26</v>
      </c>
      <c r="AG868" t="str">
        <f>IF(COUNTIF($A$2:$A$913,A868)&gt;1,"TRUE","FALSE")</f>
        <v>FALSE</v>
      </c>
    </row>
    <row r="869" spans="1:33">
      <c r="A869" t="s">
        <v>2591</v>
      </c>
      <c r="B869" t="s">
        <v>2859</v>
      </c>
      <c r="C869" t="s">
        <v>1548</v>
      </c>
      <c r="D869">
        <f>IF(OR(B869="", C869=""), "", (C869 - B869))</f>
        <v>1</v>
      </c>
      <c r="E869" t="str">
        <f>IF(C869&lt;B869, "INVALID: Ship date before order date", "")</f>
        <v/>
      </c>
      <c r="F869" t="str">
        <f>IF(B869="", "", TEXT(B869, "mmmm"))</f>
        <v>November</v>
      </c>
      <c r="G869">
        <f>IF(B869="", "", YEAR(B869))</f>
        <v>2024</v>
      </c>
      <c r="H869" t="s">
        <v>2592</v>
      </c>
      <c r="I869" t="s">
        <v>116</v>
      </c>
      <c r="J869" t="s">
        <v>93</v>
      </c>
      <c r="K869" t="s">
        <v>53</v>
      </c>
      <c r="L869" t="s">
        <v>83</v>
      </c>
      <c r="M869" t="s">
        <v>84</v>
      </c>
      <c r="N869" t="s">
        <v>74</v>
      </c>
      <c r="O869" t="s">
        <v>75</v>
      </c>
      <c r="P869" t="s">
        <v>2593</v>
      </c>
      <c r="Q869" t="s">
        <v>43</v>
      </c>
      <c r="R869">
        <v>6</v>
      </c>
      <c r="S869" s="15">
        <v>1043.49</v>
      </c>
      <c r="T869" s="4">
        <v>0.25</v>
      </c>
      <c r="U869" s="3" t="str">
        <f>IF(T869&lt;0, "negative_discount", IF(AND(T869&gt;0.5, T869&lt;=1), "high_discount", ""))</f>
        <v/>
      </c>
      <c r="V869" s="11">
        <v>4695.7</v>
      </c>
      <c r="W869" s="12">
        <v>4695.71</v>
      </c>
      <c r="X869" s="11">
        <v>3871.69</v>
      </c>
      <c r="Y869" s="11">
        <v>824.01</v>
      </c>
      <c r="Z869" s="11">
        <f>ROUND(W869-X869,2)</f>
        <v>824.02</v>
      </c>
      <c r="AA869" s="4">
        <f>IF(W869=0,0,Z869/W869)</f>
        <v>0.17548357969295378</v>
      </c>
      <c r="AB869" t="s">
        <v>151</v>
      </c>
      <c r="AC869" t="s">
        <v>67</v>
      </c>
      <c r="AD869" t="str">
        <f>IF(AND(E869="", T869&gt;=0, T869&lt;=0.5, K869&lt;&gt;"Unknown", Q869&lt;&gt;"Unknown"), "CLEAN", _xlfn.CONCAT("WARNING: ", IF(E869&lt;&gt;"","invalid_date",""), IF(T869&lt;0,"negative_discount",""), IF(AND(T869&gt;0.5,T869&lt;=1),"high_discount",""), IF(K869="Unknown","missing_region",""), IF(Q869="Unknown","missing_ship_mode","")))</f>
        <v>CLEAN</v>
      </c>
      <c r="AE869" t="str">
        <f>IF(COUNTIF($AF$2:$AF$926,AF869)&gt;1,"DUPLICATE","UNIQUE")</f>
        <v>UNIQUE</v>
      </c>
      <c r="AF869" t="str">
        <f>A869&amp;"|"&amp;B869&amp;"|"&amp;H869&amp;"|"&amp;I869&amp;"|"&amp;R869&amp;"|"&amp;S869&amp;"|"&amp;V869</f>
        <v>ORD-2024-10868|2024-11-21|CUST-2328|Rahul Verma|6|1043.49|4695.7</v>
      </c>
      <c r="AG869" t="str">
        <f>IF(COUNTIF($A$2:$A$913,A869)&gt;1,"TRUE","FALSE")</f>
        <v>FALSE</v>
      </c>
    </row>
    <row r="870" spans="1:33">
      <c r="A870" t="s">
        <v>3371</v>
      </c>
      <c r="B870" t="s">
        <v>2719</v>
      </c>
      <c r="C870" t="s">
        <v>1375</v>
      </c>
      <c r="D870">
        <f>IF(OR(B870="", C870=""), "", (C870 - B870))</f>
        <v>-203</v>
      </c>
      <c r="E870" t="str">
        <f>IF(C870&lt;B870, "INVALID: Ship date before order date", "")</f>
        <v>INVALID: Ship date before order date</v>
      </c>
      <c r="F870" t="str">
        <f>IF(B870="", "", TEXT(B870, "mmmm"))</f>
        <v>November</v>
      </c>
      <c r="G870">
        <f>IF(B870="", "", YEAR(B870))</f>
        <v>2025</v>
      </c>
      <c r="H870" t="s">
        <v>2594</v>
      </c>
      <c r="I870" t="s">
        <v>71</v>
      </c>
      <c r="J870" t="s">
        <v>93</v>
      </c>
      <c r="K870" t="s">
        <v>53</v>
      </c>
      <c r="L870" t="s">
        <v>171</v>
      </c>
      <c r="M870" t="s">
        <v>172</v>
      </c>
      <c r="N870" t="s">
        <v>27</v>
      </c>
      <c r="O870" t="s">
        <v>122</v>
      </c>
      <c r="P870" t="s">
        <v>2595</v>
      </c>
      <c r="Q870" t="s">
        <v>43</v>
      </c>
      <c r="R870">
        <v>9</v>
      </c>
      <c r="S870" s="15">
        <v>224.94</v>
      </c>
      <c r="T870" s="4">
        <v>0.05</v>
      </c>
      <c r="U870" s="3" t="str">
        <f>IF(T870&lt;0, "negative_discount", IF(AND(T870&gt;0.5, T870&lt;=1), "high_discount", ""))</f>
        <v/>
      </c>
      <c r="V870" s="11">
        <v>1923.24</v>
      </c>
      <c r="W870" s="12">
        <v>1923.24</v>
      </c>
      <c r="X870" s="11">
        <v>1093.6600000000001</v>
      </c>
      <c r="Y870" s="11">
        <v>829.58</v>
      </c>
      <c r="Z870" s="11">
        <f>ROUND(W870-X870,2)</f>
        <v>829.58</v>
      </c>
      <c r="AA870" s="4">
        <f>IF(W870=0,0,Z870/W870)</f>
        <v>0.43134502194213931</v>
      </c>
      <c r="AB870" t="s">
        <v>31</v>
      </c>
      <c r="AC870" t="s">
        <v>32</v>
      </c>
      <c r="AD870" t="str">
        <f>IF(AND(E870="", T870&gt;=0, T870&lt;=0.5, K870&lt;&gt;"Unknown", Q870&lt;&gt;"Unknown"), "CLEAN", _xlfn.CONCAT("WARNING: ", IF(E870&lt;&gt;"","invalid_date",""), IF(T870&lt;0,"negative_discount",""), IF(AND(T870&gt;0.5,T870&lt;=1),"high_discount",""), IF(K870="Unknown","missing_region",""), IF(Q870="Unknown","missing_ship_mode","")))</f>
        <v>WARNING: invalid_date</v>
      </c>
      <c r="AE870" t="str">
        <f>IF(COUNTIF($AF$2:$AF$926,AF870)&gt;1,"DUPLICATE","UNIQUE")</f>
        <v>UNIQUE</v>
      </c>
      <c r="AF870" t="str">
        <f>A870&amp;"|"&amp;B870&amp;"|"&amp;H870&amp;"|"&amp;I870&amp;"|"&amp;R870&amp;"|"&amp;S870&amp;"|"&amp;V870</f>
        <v>ORD-2025-10869|2025-11-04|CUST-8483|Vikram Iyer|9|224.94|1923.24</v>
      </c>
      <c r="AG870" t="str">
        <f>IF(COUNTIF($A$2:$A$913,A870)&gt;1,"TRUE","FALSE")</f>
        <v>FALSE</v>
      </c>
    </row>
    <row r="871" spans="1:33">
      <c r="A871" t="s">
        <v>3372</v>
      </c>
      <c r="B871" t="s">
        <v>2588</v>
      </c>
      <c r="C871" t="s">
        <v>2309</v>
      </c>
      <c r="D871">
        <f>IF(OR(B871="", C871=""), "", (C871 - B871))</f>
        <v>119</v>
      </c>
      <c r="E871" t="str">
        <f>IF(C871&lt;B871, "INVALID: Ship date before order date", "")</f>
        <v/>
      </c>
      <c r="F871" t="str">
        <f>IF(B871="", "", TEXT(B871, "mmmm"))</f>
        <v>March</v>
      </c>
      <c r="G871">
        <f>IF(B871="", "", YEAR(B871))</f>
        <v>2025</v>
      </c>
      <c r="H871" t="s">
        <v>2596</v>
      </c>
      <c r="I871" t="s">
        <v>139</v>
      </c>
      <c r="J871" t="s">
        <v>93</v>
      </c>
      <c r="K871" t="s">
        <v>2970</v>
      </c>
      <c r="L871" t="s">
        <v>353</v>
      </c>
      <c r="M871" t="s">
        <v>354</v>
      </c>
      <c r="N871" t="s">
        <v>40</v>
      </c>
      <c r="O871" t="s">
        <v>65</v>
      </c>
      <c r="P871" t="s">
        <v>1131</v>
      </c>
      <c r="Q871" t="s">
        <v>43</v>
      </c>
      <c r="R871">
        <v>6</v>
      </c>
      <c r="S871" s="15">
        <v>796.65</v>
      </c>
      <c r="T871" s="4">
        <v>0.1</v>
      </c>
      <c r="U871" s="3" t="str">
        <f>IF(T871&lt;0, "negative_discount", IF(AND(T871&gt;0.5, T871&lt;=1), "high_discount", ""))</f>
        <v/>
      </c>
      <c r="V871" s="11">
        <v>4301.91</v>
      </c>
      <c r="W871" s="12">
        <v>4301.91</v>
      </c>
      <c r="X871" s="11">
        <v>2374.4</v>
      </c>
      <c r="Y871" s="11">
        <v>1927.51</v>
      </c>
      <c r="Z871" s="11">
        <f>ROUND(W871-X871,2)</f>
        <v>1927.51</v>
      </c>
      <c r="AA871" s="4">
        <f>IF(W871=0,0,Z871/W871)</f>
        <v>0.4480591179266884</v>
      </c>
      <c r="AB871" t="s">
        <v>31</v>
      </c>
      <c r="AC871" t="s">
        <v>32</v>
      </c>
      <c r="AD871" t="str">
        <f>IF(AND(E871="", T871&gt;=0, T871&lt;=0.5, K871&lt;&gt;"Unknown", Q871&lt;&gt;"Unknown"), "CLEAN", _xlfn.CONCAT("WARNING: ", IF(E871&lt;&gt;"","invalid_date",""), IF(T871&lt;0,"negative_discount",""), IF(AND(T871&gt;0.5,T871&lt;=1),"high_discount",""), IF(K871="Unknown","missing_region",""), IF(Q871="Unknown","missing_ship_mode","")))</f>
        <v>WARNING: missing_region</v>
      </c>
      <c r="AE871" t="str">
        <f>IF(COUNTIF($AF$2:$AF$926,AF871)&gt;1,"DUPLICATE","UNIQUE")</f>
        <v>UNIQUE</v>
      </c>
      <c r="AF871" t="str">
        <f>A871&amp;"|"&amp;B871&amp;"|"&amp;H871&amp;"|"&amp;I871&amp;"|"&amp;R871&amp;"|"&amp;S871&amp;"|"&amp;V871</f>
        <v>ORD-2025-10870|2025-03-06|CUST-2388|Rohan Mehta|6|796.65|4301.91</v>
      </c>
      <c r="AG871" t="str">
        <f>IF(COUNTIF($A$2:$A$913,A871)&gt;1,"TRUE","FALSE")</f>
        <v>FALSE</v>
      </c>
    </row>
    <row r="872" spans="1:33">
      <c r="A872" t="s">
        <v>3373</v>
      </c>
      <c r="B872" t="s">
        <v>2791</v>
      </c>
      <c r="C872" t="s">
        <v>2783</v>
      </c>
      <c r="D872">
        <f>IF(OR(B872="", C872=""), "", (C872 - B872))</f>
        <v>1</v>
      </c>
      <c r="E872" t="str">
        <f>IF(C872&lt;B872, "INVALID: Ship date before order date", "")</f>
        <v/>
      </c>
      <c r="F872" t="str">
        <f>IF(B872="", "", TEXT(B872, "mmmm"))</f>
        <v>June</v>
      </c>
      <c r="G872">
        <f>IF(B872="", "", YEAR(B872))</f>
        <v>2025</v>
      </c>
      <c r="H872" t="s">
        <v>2597</v>
      </c>
      <c r="I872" t="s">
        <v>71</v>
      </c>
      <c r="J872" t="s">
        <v>89</v>
      </c>
      <c r="K872" t="s">
        <v>62</v>
      </c>
      <c r="L872" t="s">
        <v>185</v>
      </c>
      <c r="M872" t="s">
        <v>186</v>
      </c>
      <c r="N872" t="s">
        <v>40</v>
      </c>
      <c r="O872" t="s">
        <v>41</v>
      </c>
      <c r="P872" t="s">
        <v>2598</v>
      </c>
      <c r="Q872" t="s">
        <v>58</v>
      </c>
      <c r="R872">
        <v>9</v>
      </c>
      <c r="S872" s="15">
        <v>2932.92</v>
      </c>
      <c r="T872" s="4">
        <v>0.15</v>
      </c>
      <c r="U872" s="3" t="str">
        <f>IF(T872&lt;0, "negative_discount", IF(AND(T872&gt;0.5, T872&lt;=1), "high_discount", ""))</f>
        <v/>
      </c>
      <c r="V872" s="11">
        <v>22436.84</v>
      </c>
      <c r="W872" s="12">
        <v>22436.84</v>
      </c>
      <c r="X872" s="11">
        <v>17454.669999999998</v>
      </c>
      <c r="Y872" s="11">
        <v>4982.17</v>
      </c>
      <c r="Z872" s="11">
        <f>ROUND(W872-X872,2)</f>
        <v>4982.17</v>
      </c>
      <c r="AA872" s="4">
        <f>IF(W872=0,0,Z872/W872)</f>
        <v>0.22205310551753277</v>
      </c>
      <c r="AB872" t="s">
        <v>31</v>
      </c>
      <c r="AC872" t="s">
        <v>67</v>
      </c>
      <c r="AD872" t="str">
        <f>IF(AND(E872="", T872&gt;=0, T872&lt;=0.5, K872&lt;&gt;"Unknown", Q872&lt;&gt;"Unknown"), "CLEAN", _xlfn.CONCAT("WARNING: ", IF(E872&lt;&gt;"","invalid_date",""), IF(T872&lt;0,"negative_discount",""), IF(AND(T872&gt;0.5,T872&lt;=1),"high_discount",""), IF(K872="Unknown","missing_region",""), IF(Q872="Unknown","missing_ship_mode","")))</f>
        <v>CLEAN</v>
      </c>
      <c r="AE872" t="str">
        <f>IF(COUNTIF($AF$2:$AF$926,AF872)&gt;1,"DUPLICATE","UNIQUE")</f>
        <v>UNIQUE</v>
      </c>
      <c r="AF872" t="str">
        <f>A872&amp;"|"&amp;B872&amp;"|"&amp;H872&amp;"|"&amp;I872&amp;"|"&amp;R872&amp;"|"&amp;S872&amp;"|"&amp;V872</f>
        <v>ORD-2025-10871|2025-06-06|CUST-7054|Vikram Iyer|9|2932.92|22436.84</v>
      </c>
      <c r="AG872" t="str">
        <f>IF(COUNTIF($A$2:$A$913,A872)&gt;1,"TRUE","FALSE")</f>
        <v>FALSE</v>
      </c>
    </row>
    <row r="873" spans="1:33">
      <c r="A873" t="s">
        <v>2599</v>
      </c>
      <c r="B873" t="s">
        <v>1342</v>
      </c>
      <c r="C873" t="s">
        <v>1842</v>
      </c>
      <c r="D873">
        <f>IF(OR(B873="", C873=""), "", (C873 - B873))</f>
        <v>2</v>
      </c>
      <c r="E873" t="str">
        <f>IF(C873&lt;B873, "INVALID: Ship date before order date", "")</f>
        <v/>
      </c>
      <c r="F873" t="str">
        <f>IF(B873="", "", TEXT(B873, "mmmm"))</f>
        <v>February</v>
      </c>
      <c r="G873">
        <f>IF(B873="", "", YEAR(B873))</f>
        <v>2024</v>
      </c>
      <c r="H873" t="s">
        <v>2480</v>
      </c>
      <c r="I873" t="s">
        <v>78</v>
      </c>
      <c r="J873" t="s">
        <v>36</v>
      </c>
      <c r="K873" t="s">
        <v>53</v>
      </c>
      <c r="L873" t="s">
        <v>54</v>
      </c>
      <c r="M873" t="s">
        <v>55</v>
      </c>
      <c r="N873" t="s">
        <v>74</v>
      </c>
      <c r="O873" t="s">
        <v>75</v>
      </c>
      <c r="P873" t="s">
        <v>2600</v>
      </c>
      <c r="Q873" t="s">
        <v>49</v>
      </c>
      <c r="R873">
        <v>9</v>
      </c>
      <c r="S873" s="15">
        <v>2186.23</v>
      </c>
      <c r="T873" s="4">
        <v>0</v>
      </c>
      <c r="U873" s="3" t="str">
        <f>IF(T873&lt;0, "negative_discount", IF(AND(T873&gt;0.5, T873&lt;=1), "high_discount", ""))</f>
        <v/>
      </c>
      <c r="V873" s="11">
        <v>19676.07</v>
      </c>
      <c r="W873" s="12">
        <v>19676.07</v>
      </c>
      <c r="X873" s="11">
        <v>12458.62</v>
      </c>
      <c r="Y873" s="11">
        <v>7217.45</v>
      </c>
      <c r="Z873" s="11">
        <f>ROUND(W873-X873,2)</f>
        <v>7217.45</v>
      </c>
      <c r="AA873" s="4">
        <f>IF(W873=0,0,Z873/W873)</f>
        <v>0.36681359641432459</v>
      </c>
      <c r="AB873" t="s">
        <v>99</v>
      </c>
      <c r="AC873" t="s">
        <v>67</v>
      </c>
      <c r="AD873" t="str">
        <f>IF(AND(E873="", T873&gt;=0, T873&lt;=0.5, K873&lt;&gt;"Unknown", Q873&lt;&gt;"Unknown"), "CLEAN", _xlfn.CONCAT("WARNING: ", IF(E873&lt;&gt;"","invalid_date",""), IF(T873&lt;0,"negative_discount",""), IF(AND(T873&gt;0.5,T873&lt;=1),"high_discount",""), IF(K873="Unknown","missing_region",""), IF(Q873="Unknown","missing_ship_mode","")))</f>
        <v>CLEAN</v>
      </c>
      <c r="AE873" t="str">
        <f>IF(COUNTIF($AF$2:$AF$926,AF873)&gt;1,"DUPLICATE","UNIQUE")</f>
        <v>UNIQUE</v>
      </c>
      <c r="AF873" t="str">
        <f>A873&amp;"|"&amp;B873&amp;"|"&amp;H873&amp;"|"&amp;I873&amp;"|"&amp;R873&amp;"|"&amp;S873&amp;"|"&amp;V873</f>
        <v>ORD-2024-10872|2024-02-20|CUST-4375|Neha Gupta|9|2186.23|19676.07</v>
      </c>
      <c r="AG873" t="str">
        <f>IF(COUNTIF($A$2:$A$913,A873)&gt;1,"TRUE","FALSE")</f>
        <v>FALSE</v>
      </c>
    </row>
    <row r="874" spans="1:33">
      <c r="A874" t="s">
        <v>2601</v>
      </c>
      <c r="B874" t="s">
        <v>2570</v>
      </c>
      <c r="C874" t="s">
        <v>2750</v>
      </c>
      <c r="D874">
        <f>IF(OR(B874="", C874=""), "", (C874 - B874))</f>
        <v>1</v>
      </c>
      <c r="E874" t="str">
        <f>IF(C874&lt;B874, "INVALID: Ship date before order date", "")</f>
        <v/>
      </c>
      <c r="F874" t="str">
        <f>IF(B874="", "", TEXT(B874, "mmmm"))</f>
        <v>November</v>
      </c>
      <c r="G874">
        <f>IF(B874="", "", YEAR(B874))</f>
        <v>2024</v>
      </c>
      <c r="H874" t="s">
        <v>1928</v>
      </c>
      <c r="I874" t="s">
        <v>22</v>
      </c>
      <c r="J874" t="s">
        <v>89</v>
      </c>
      <c r="K874" t="s">
        <v>37</v>
      </c>
      <c r="L874" t="s">
        <v>96</v>
      </c>
      <c r="M874" t="s">
        <v>97</v>
      </c>
      <c r="N874" t="s">
        <v>40</v>
      </c>
      <c r="O874" t="s">
        <v>56</v>
      </c>
      <c r="P874" t="s">
        <v>2602</v>
      </c>
      <c r="Q874" t="s">
        <v>58</v>
      </c>
      <c r="R874">
        <v>5</v>
      </c>
      <c r="S874" s="15">
        <v>2212.02</v>
      </c>
      <c r="T874" s="4">
        <v>0.2</v>
      </c>
      <c r="U874" s="3" t="str">
        <f>IF(T874&lt;0, "negative_discount", IF(AND(T874&gt;0.5, T874&lt;=1), "high_discount", ""))</f>
        <v/>
      </c>
      <c r="V874" s="11">
        <v>8848.08</v>
      </c>
      <c r="W874" s="12">
        <v>8848.08</v>
      </c>
      <c r="X874" s="11">
        <v>5691.56</v>
      </c>
      <c r="Y874" s="11">
        <v>3156.52</v>
      </c>
      <c r="Z874" s="11">
        <f>ROUND(W874-X874,2)</f>
        <v>3156.52</v>
      </c>
      <c r="AA874" s="4">
        <f>IF(W874=0,0,Z874/W874)</f>
        <v>0.35674632236598225</v>
      </c>
      <c r="AB874" t="s">
        <v>31</v>
      </c>
      <c r="AC874" t="s">
        <v>32</v>
      </c>
      <c r="AD874" t="str">
        <f>IF(AND(E874="", T874&gt;=0, T874&lt;=0.5, K874&lt;&gt;"Unknown", Q874&lt;&gt;"Unknown"), "CLEAN", _xlfn.CONCAT("WARNING: ", IF(E874&lt;&gt;"","invalid_date",""), IF(T874&lt;0,"negative_discount",""), IF(AND(T874&gt;0.5,T874&lt;=1),"high_discount",""), IF(K874="Unknown","missing_region",""), IF(Q874="Unknown","missing_ship_mode","")))</f>
        <v>CLEAN</v>
      </c>
      <c r="AE874" t="str">
        <f>IF(COUNTIF($AF$2:$AF$926,AF874)&gt;1,"DUPLICATE","UNIQUE")</f>
        <v>UNIQUE</v>
      </c>
      <c r="AF874" t="str">
        <f>A874&amp;"|"&amp;B874&amp;"|"&amp;H874&amp;"|"&amp;I874&amp;"|"&amp;R874&amp;"|"&amp;S874&amp;"|"&amp;V874</f>
        <v>ORD-2024-10873|2024-11-01|CUST-6262|Karan Malhotra|5|2212.02|8848.08</v>
      </c>
      <c r="AG874" t="str">
        <f>IF(COUNTIF($A$2:$A$913,A874)&gt;1,"TRUE","FALSE")</f>
        <v>FALSE</v>
      </c>
    </row>
    <row r="875" spans="1:33">
      <c r="A875" t="s">
        <v>3374</v>
      </c>
      <c r="B875" t="s">
        <v>422</v>
      </c>
      <c r="C875" t="s">
        <v>2921</v>
      </c>
      <c r="D875">
        <f>IF(OR(B875="", C875=""), "", (C875 - B875))</f>
        <v>182</v>
      </c>
      <c r="E875" t="str">
        <f>IF(C875&lt;B875, "INVALID: Ship date before order date", "")</f>
        <v/>
      </c>
      <c r="F875" t="str">
        <f>IF(B875="", "", TEXT(B875, "mmmm"))</f>
        <v>February</v>
      </c>
      <c r="G875">
        <f>IF(B875="", "", YEAR(B875))</f>
        <v>2025</v>
      </c>
      <c r="H875" t="s">
        <v>2603</v>
      </c>
      <c r="I875" t="s">
        <v>88</v>
      </c>
      <c r="J875" t="s">
        <v>93</v>
      </c>
      <c r="K875" t="s">
        <v>62</v>
      </c>
      <c r="L875" t="s">
        <v>176</v>
      </c>
      <c r="M875" t="s">
        <v>177</v>
      </c>
      <c r="N875" t="s">
        <v>27</v>
      </c>
      <c r="O875" t="s">
        <v>122</v>
      </c>
      <c r="P875" t="s">
        <v>2604</v>
      </c>
      <c r="Q875" t="s">
        <v>30</v>
      </c>
      <c r="R875">
        <v>8</v>
      </c>
      <c r="S875" s="15">
        <v>623.30999999999995</v>
      </c>
      <c r="T875" s="4">
        <v>0.1</v>
      </c>
      <c r="U875" s="3" t="str">
        <f>IF(T875&lt;0, "negative_discount", IF(AND(T875&gt;0.5, T875&lt;=1), "high_discount", ""))</f>
        <v/>
      </c>
      <c r="V875" s="11">
        <v>4487.83</v>
      </c>
      <c r="W875" s="12">
        <v>4487.83</v>
      </c>
      <c r="X875" s="11">
        <v>2633.78</v>
      </c>
      <c r="Y875" s="11">
        <v>1854.05</v>
      </c>
      <c r="Z875" s="11">
        <f>ROUND(W875-X875,2)</f>
        <v>1854.05</v>
      </c>
      <c r="AA875" s="4">
        <f>IF(W875=0,0,Z875/W875)</f>
        <v>0.4131283939008385</v>
      </c>
      <c r="AB875" t="s">
        <v>31</v>
      </c>
      <c r="AC875" t="s">
        <v>32</v>
      </c>
      <c r="AD875" t="str">
        <f>IF(AND(E875="", T875&gt;=0, T875&lt;=0.5, K875&lt;&gt;"Unknown", Q875&lt;&gt;"Unknown"), "CLEAN", _xlfn.CONCAT("WARNING: ", IF(E875&lt;&gt;"","invalid_date",""), IF(T875&lt;0,"negative_discount",""), IF(AND(T875&gt;0.5,T875&lt;=1),"high_discount",""), IF(K875="Unknown","missing_region",""), IF(Q875="Unknown","missing_ship_mode","")))</f>
        <v>CLEAN</v>
      </c>
      <c r="AE875" t="str">
        <f>IF(COUNTIF($AF$2:$AF$926,AF875)&gt;1,"DUPLICATE","UNIQUE")</f>
        <v>UNIQUE</v>
      </c>
      <c r="AF875" t="str">
        <f>A875&amp;"|"&amp;B875&amp;"|"&amp;H875&amp;"|"&amp;I875&amp;"|"&amp;R875&amp;"|"&amp;S875&amp;"|"&amp;V875</f>
        <v>ORD-2025-10874|2025-02-01|CUST-8160|Aditi Sen|8|623.31|4487.83</v>
      </c>
      <c r="AG875" t="str">
        <f>IF(COUNTIF($A$2:$A$913,A875)&gt;1,"TRUE","FALSE")</f>
        <v>FALSE</v>
      </c>
    </row>
    <row r="876" spans="1:33">
      <c r="A876" t="s">
        <v>3375</v>
      </c>
      <c r="B876" t="s">
        <v>2678</v>
      </c>
      <c r="C876" t="s">
        <v>417</v>
      </c>
      <c r="D876">
        <f>IF(OR(B876="", C876=""), "", (C876 - B876))</f>
        <v>1</v>
      </c>
      <c r="E876" t="str">
        <f>IF(C876&lt;B876, "INVALID: Ship date before order date", "")</f>
        <v/>
      </c>
      <c r="F876" t="str">
        <f>IF(B876="", "", TEXT(B876, "mmmm"))</f>
        <v>July</v>
      </c>
      <c r="G876">
        <f>IF(B876="", "", YEAR(B876))</f>
        <v>2025</v>
      </c>
      <c r="H876" t="s">
        <v>2605</v>
      </c>
      <c r="I876" t="s">
        <v>71</v>
      </c>
      <c r="J876" t="s">
        <v>36</v>
      </c>
      <c r="K876" t="s">
        <v>62</v>
      </c>
      <c r="L876" t="s">
        <v>63</v>
      </c>
      <c r="M876" t="s">
        <v>64</v>
      </c>
      <c r="N876" t="s">
        <v>27</v>
      </c>
      <c r="O876" t="s">
        <v>28</v>
      </c>
      <c r="P876" t="s">
        <v>2606</v>
      </c>
      <c r="Q876" t="s">
        <v>58</v>
      </c>
      <c r="R876">
        <v>8</v>
      </c>
      <c r="S876" s="15">
        <v>3924.88</v>
      </c>
      <c r="T876" s="4">
        <v>0.05</v>
      </c>
      <c r="U876" s="3" t="str">
        <f>IF(T876&lt;0, "negative_discount", IF(AND(T876&gt;0.5, T876&lt;=1), "high_discount", ""))</f>
        <v/>
      </c>
      <c r="V876" s="11">
        <v>29829.09</v>
      </c>
      <c r="W876" s="12">
        <v>29829.09</v>
      </c>
      <c r="X876" s="11">
        <v>20710.18</v>
      </c>
      <c r="Y876" s="11">
        <v>9118.91</v>
      </c>
      <c r="Z876" s="11">
        <f>ROUND(W876-X876,2)</f>
        <v>9118.91</v>
      </c>
      <c r="AA876" s="4">
        <f>IF(W876=0,0,Z876/W876)</f>
        <v>0.30570526958750671</v>
      </c>
      <c r="AB876" t="s">
        <v>31</v>
      </c>
      <c r="AC876" t="s">
        <v>32</v>
      </c>
      <c r="AD876" t="str">
        <f>IF(AND(E876="", T876&gt;=0, T876&lt;=0.5, K876&lt;&gt;"Unknown", Q876&lt;&gt;"Unknown"), "CLEAN", _xlfn.CONCAT("WARNING: ", IF(E876&lt;&gt;"","invalid_date",""), IF(T876&lt;0,"negative_discount",""), IF(AND(T876&gt;0.5,T876&lt;=1),"high_discount",""), IF(K876="Unknown","missing_region",""), IF(Q876="Unknown","missing_ship_mode","")))</f>
        <v>CLEAN</v>
      </c>
      <c r="AE876" t="str">
        <f>IF(COUNTIF($AF$2:$AF$926,AF876)&gt;1,"DUPLICATE","UNIQUE")</f>
        <v>UNIQUE</v>
      </c>
      <c r="AF876" t="str">
        <f>A876&amp;"|"&amp;B876&amp;"|"&amp;H876&amp;"|"&amp;I876&amp;"|"&amp;R876&amp;"|"&amp;S876&amp;"|"&amp;V876</f>
        <v>ORD-2025-10875|2025-07-15|CUST-8770|Vikram Iyer|8|3924.88|29829.09</v>
      </c>
      <c r="AG876" t="str">
        <f>IF(COUNTIF($A$2:$A$913,A876)&gt;1,"TRUE","FALSE")</f>
        <v>FALSE</v>
      </c>
    </row>
    <row r="877" spans="1:33">
      <c r="A877" t="s">
        <v>2607</v>
      </c>
      <c r="B877" t="s">
        <v>350</v>
      </c>
      <c r="C877" t="s">
        <v>2229</v>
      </c>
      <c r="D877">
        <f>IF(OR(B877="", C877=""), "", (C877 - B877))</f>
        <v>1</v>
      </c>
      <c r="E877" t="str">
        <f>IF(C877&lt;B877, "INVALID: Ship date before order date", "")</f>
        <v/>
      </c>
      <c r="F877" t="str">
        <f>IF(B877="", "", TEXT(B877, "mmmm"))</f>
        <v>August</v>
      </c>
      <c r="G877">
        <f>IF(B877="", "", YEAR(B877))</f>
        <v>2024</v>
      </c>
      <c r="H877" t="s">
        <v>2608</v>
      </c>
      <c r="I877" t="s">
        <v>35</v>
      </c>
      <c r="J877" t="s">
        <v>89</v>
      </c>
      <c r="K877" t="s">
        <v>62</v>
      </c>
      <c r="L877" t="s">
        <v>63</v>
      </c>
      <c r="M877" t="s">
        <v>64</v>
      </c>
      <c r="N877" t="s">
        <v>74</v>
      </c>
      <c r="O877" t="s">
        <v>79</v>
      </c>
      <c r="P877" t="s">
        <v>2609</v>
      </c>
      <c r="Q877" t="s">
        <v>49</v>
      </c>
      <c r="R877">
        <v>7</v>
      </c>
      <c r="S877" s="15">
        <v>3852.62</v>
      </c>
      <c r="T877" s="4">
        <v>0.2</v>
      </c>
      <c r="U877" s="3" t="str">
        <f>IF(T877&lt;0, "negative_discount", IF(AND(T877&gt;0.5, T877&lt;=1), "high_discount", ""))</f>
        <v/>
      </c>
      <c r="V877" s="11">
        <v>21574.67</v>
      </c>
      <c r="W877" s="12">
        <v>21574.67</v>
      </c>
      <c r="X877" s="11">
        <v>14672.83</v>
      </c>
      <c r="Y877" s="11">
        <v>6901.84</v>
      </c>
      <c r="Z877" s="11">
        <f>ROUND(W877-X877,2)</f>
        <v>6901.84</v>
      </c>
      <c r="AA877" s="4">
        <f>IF(W877=0,0,Z877/W877)</f>
        <v>0.31990477722254851</v>
      </c>
      <c r="AB877" t="s">
        <v>31</v>
      </c>
      <c r="AC877" t="s">
        <v>32</v>
      </c>
      <c r="AD877" t="str">
        <f>IF(AND(E877="", T877&gt;=0, T877&lt;=0.5, K877&lt;&gt;"Unknown", Q877&lt;&gt;"Unknown"), "CLEAN", _xlfn.CONCAT("WARNING: ", IF(E877&lt;&gt;"","invalid_date",""), IF(T877&lt;0,"negative_discount",""), IF(AND(T877&gt;0.5,T877&lt;=1),"high_discount",""), IF(K877="Unknown","missing_region",""), IF(Q877="Unknown","missing_ship_mode","")))</f>
        <v>CLEAN</v>
      </c>
      <c r="AE877" t="str">
        <f>IF(COUNTIF($AF$2:$AF$926,AF877)&gt;1,"DUPLICATE","UNIQUE")</f>
        <v>UNIQUE</v>
      </c>
      <c r="AF877" t="str">
        <f>A877&amp;"|"&amp;B877&amp;"|"&amp;H877&amp;"|"&amp;I877&amp;"|"&amp;R877&amp;"|"&amp;S877&amp;"|"&amp;V877</f>
        <v>ORD-2024-10876|2024-08-10|CUST-6928|Mira Das|7|3852.62|21574.67</v>
      </c>
      <c r="AG877" t="str">
        <f>IF(COUNTIF($A$2:$A$913,A877)&gt;1,"TRUE","FALSE")</f>
        <v>FALSE</v>
      </c>
    </row>
    <row r="878" spans="1:33">
      <c r="A878" t="s">
        <v>2610</v>
      </c>
      <c r="B878" t="s">
        <v>2823</v>
      </c>
      <c r="C878" t="s">
        <v>2958</v>
      </c>
      <c r="D878">
        <f>IF(OR(B878="", C878=""), "", (C878 - B878))</f>
        <v>2</v>
      </c>
      <c r="E878" t="str">
        <f>IF(C878&lt;B878, "INVALID: Ship date before order date", "")</f>
        <v/>
      </c>
      <c r="F878" t="str">
        <f>IF(B878="", "", TEXT(B878, "mmmm"))</f>
        <v>November</v>
      </c>
      <c r="G878">
        <f>IF(B878="", "", YEAR(B878))</f>
        <v>2024</v>
      </c>
      <c r="H878" t="s">
        <v>2611</v>
      </c>
      <c r="I878" t="s">
        <v>112</v>
      </c>
      <c r="J878" t="s">
        <v>23</v>
      </c>
      <c r="K878" t="s">
        <v>62</v>
      </c>
      <c r="L878" t="s">
        <v>25</v>
      </c>
      <c r="M878" t="s">
        <v>107</v>
      </c>
      <c r="N878" t="s">
        <v>40</v>
      </c>
      <c r="O878" t="s">
        <v>65</v>
      </c>
      <c r="P878" t="s">
        <v>837</v>
      </c>
      <c r="Q878" t="s">
        <v>49</v>
      </c>
      <c r="R878">
        <v>6</v>
      </c>
      <c r="S878" s="15">
        <v>3790.22</v>
      </c>
      <c r="T878" s="4">
        <v>0</v>
      </c>
      <c r="U878" s="3" t="str">
        <f>IF(T878&lt;0, "negative_discount", IF(AND(T878&gt;0.5, T878&lt;=1), "high_discount", ""))</f>
        <v/>
      </c>
      <c r="V878" s="11">
        <v>22741.32</v>
      </c>
      <c r="W878" s="12">
        <v>22741.32</v>
      </c>
      <c r="X878" s="11">
        <v>16388.57</v>
      </c>
      <c r="Y878" s="11">
        <v>6352.75</v>
      </c>
      <c r="Z878" s="11">
        <f>ROUND(W878-X878,2)</f>
        <v>6352.75</v>
      </c>
      <c r="AA878" s="4">
        <f>IF(W878=0,0,Z878/W878)</f>
        <v>0.27934834037777928</v>
      </c>
      <c r="AB878" t="s">
        <v>31</v>
      </c>
      <c r="AC878" t="s">
        <v>32</v>
      </c>
      <c r="AD878" t="str">
        <f>IF(AND(E878="", T878&gt;=0, T878&lt;=0.5, K878&lt;&gt;"Unknown", Q878&lt;&gt;"Unknown"), "CLEAN", _xlfn.CONCAT("WARNING: ", IF(E878&lt;&gt;"","invalid_date",""), IF(T878&lt;0,"negative_discount",""), IF(AND(T878&gt;0.5,T878&lt;=1),"high_discount",""), IF(K878="Unknown","missing_region",""), IF(Q878="Unknown","missing_ship_mode","")))</f>
        <v>CLEAN</v>
      </c>
      <c r="AE878" t="str">
        <f>IF(COUNTIF($AF$2:$AF$926,AF878)&gt;1,"DUPLICATE","UNIQUE")</f>
        <v>UNIQUE</v>
      </c>
      <c r="AF878" t="str">
        <f>A878&amp;"|"&amp;B878&amp;"|"&amp;H878&amp;"|"&amp;I878&amp;"|"&amp;R878&amp;"|"&amp;S878&amp;"|"&amp;V878</f>
        <v>ORD-2024-10877|2024-11-18|CUST-9044|Priya Menon|6|3790.22|22741.32</v>
      </c>
      <c r="AG878" t="str">
        <f>IF(COUNTIF($A$2:$A$913,A878)&gt;1,"TRUE","FALSE")</f>
        <v>FALSE</v>
      </c>
    </row>
    <row r="879" spans="1:33">
      <c r="A879" t="s">
        <v>3376</v>
      </c>
      <c r="B879" t="s">
        <v>963</v>
      </c>
      <c r="C879" t="s">
        <v>1800</v>
      </c>
      <c r="D879">
        <f>IF(OR(B879="", C879=""), "", (C879 - B879))</f>
        <v>8</v>
      </c>
      <c r="E879" t="str">
        <f>IF(C879&lt;B879, "INVALID: Ship date before order date", "")</f>
        <v/>
      </c>
      <c r="F879" t="str">
        <f>IF(B879="", "", TEXT(B879, "mmmm"))</f>
        <v>August</v>
      </c>
      <c r="G879">
        <f>IF(B879="", "", YEAR(B879))</f>
        <v>2025</v>
      </c>
      <c r="H879" t="s">
        <v>2612</v>
      </c>
      <c r="I879" t="s">
        <v>126</v>
      </c>
      <c r="J879" t="s">
        <v>23</v>
      </c>
      <c r="K879" t="s">
        <v>62</v>
      </c>
      <c r="L879" t="s">
        <v>25</v>
      </c>
      <c r="M879" t="s">
        <v>107</v>
      </c>
      <c r="N879" t="s">
        <v>27</v>
      </c>
      <c r="O879" t="s">
        <v>122</v>
      </c>
      <c r="P879" t="s">
        <v>2613</v>
      </c>
      <c r="Q879" t="s">
        <v>30</v>
      </c>
      <c r="R879">
        <v>6</v>
      </c>
      <c r="S879" s="15">
        <v>674.36</v>
      </c>
      <c r="T879" s="4">
        <v>0.1</v>
      </c>
      <c r="U879" s="3" t="str">
        <f>IF(T879&lt;0, "negative_discount", IF(AND(T879&gt;0.5, T879&lt;=1), "high_discount", ""))</f>
        <v/>
      </c>
      <c r="V879" s="11">
        <v>3641.54</v>
      </c>
      <c r="W879" s="12">
        <v>3641.54</v>
      </c>
      <c r="X879" s="11">
        <v>2690.37</v>
      </c>
      <c r="Y879" s="11">
        <v>951.17</v>
      </c>
      <c r="Z879" s="11">
        <f>ROUND(W879-X879,2)</f>
        <v>951.17</v>
      </c>
      <c r="AA879" s="4">
        <f>IF(W879=0,0,Z879/W879)</f>
        <v>0.26119993189694468</v>
      </c>
      <c r="AB879" t="s">
        <v>31</v>
      </c>
      <c r="AC879" t="s">
        <v>32</v>
      </c>
      <c r="AD879" t="str">
        <f>IF(AND(E879="", T879&gt;=0, T879&lt;=0.5, K879&lt;&gt;"Unknown", Q879&lt;&gt;"Unknown"), "CLEAN", _xlfn.CONCAT("WARNING: ", IF(E879&lt;&gt;"","invalid_date",""), IF(T879&lt;0,"negative_discount",""), IF(AND(T879&gt;0.5,T879&lt;=1),"high_discount",""), IF(K879="Unknown","missing_region",""), IF(Q879="Unknown","missing_ship_mode","")))</f>
        <v>CLEAN</v>
      </c>
      <c r="AE879" t="str">
        <f>IF(COUNTIF($AF$2:$AF$926,AF879)&gt;1,"DUPLICATE","UNIQUE")</f>
        <v>UNIQUE</v>
      </c>
      <c r="AF879" t="str">
        <f>A879&amp;"|"&amp;B879&amp;"|"&amp;H879&amp;"|"&amp;I879&amp;"|"&amp;R879&amp;"|"&amp;S879&amp;"|"&amp;V879</f>
        <v>ORD-2025-10878|2025-08-26|CUST-7146|Aarav Sharma|6|674.36|3641.54</v>
      </c>
      <c r="AG879" t="str">
        <f>IF(COUNTIF($A$2:$A$913,A879)&gt;1,"TRUE","FALSE")</f>
        <v>FALSE</v>
      </c>
    </row>
    <row r="880" spans="1:33">
      <c r="A880" t="s">
        <v>2614</v>
      </c>
      <c r="B880" t="s">
        <v>1312</v>
      </c>
      <c r="C880" t="s">
        <v>1312</v>
      </c>
      <c r="D880">
        <f>IF(OR(B880="", C880=""), "", (C880 - B880))</f>
        <v>0</v>
      </c>
      <c r="E880" t="str">
        <f>IF(C880&lt;B880, "INVALID: Ship date before order date", "")</f>
        <v/>
      </c>
      <c r="F880" t="str">
        <f>IF(B880="", "", TEXT(B880, "mmmm"))</f>
        <v>January</v>
      </c>
      <c r="G880">
        <f>IF(B880="", "", YEAR(B880))</f>
        <v>2024</v>
      </c>
      <c r="H880" t="s">
        <v>2615</v>
      </c>
      <c r="I880" t="s">
        <v>22</v>
      </c>
      <c r="J880" t="s">
        <v>89</v>
      </c>
      <c r="K880" t="s">
        <v>37</v>
      </c>
      <c r="L880" t="s">
        <v>96</v>
      </c>
      <c r="M880" t="s">
        <v>97</v>
      </c>
      <c r="N880" t="s">
        <v>27</v>
      </c>
      <c r="O880" t="s">
        <v>28</v>
      </c>
      <c r="P880" t="s">
        <v>2616</v>
      </c>
      <c r="Q880" t="s">
        <v>49</v>
      </c>
      <c r="R880">
        <v>8</v>
      </c>
      <c r="S880" s="15">
        <v>1557.21</v>
      </c>
      <c r="T880" s="4">
        <v>0.05</v>
      </c>
      <c r="U880" s="3" t="str">
        <f>IF(T880&lt;0, "negative_discount", IF(AND(T880&gt;0.5, T880&lt;=1), "high_discount", ""))</f>
        <v/>
      </c>
      <c r="V880" s="11">
        <v>11834.8</v>
      </c>
      <c r="W880" s="12">
        <v>11834.8</v>
      </c>
      <c r="X880" s="11">
        <v>9322.36</v>
      </c>
      <c r="Y880" s="11">
        <v>2512.44</v>
      </c>
      <c r="Z880" s="11">
        <f>ROUND(W880-X880,2)</f>
        <v>2512.44</v>
      </c>
      <c r="AA880" s="4">
        <f>IF(W880=0,0,Z880/W880)</f>
        <v>0.21229256092202659</v>
      </c>
      <c r="AB880" t="s">
        <v>31</v>
      </c>
      <c r="AC880" t="s">
        <v>32</v>
      </c>
      <c r="AD880" t="str">
        <f>IF(AND(E880="", T880&gt;=0, T880&lt;=0.5, K880&lt;&gt;"Unknown", Q880&lt;&gt;"Unknown"), "CLEAN", _xlfn.CONCAT("WARNING: ", IF(E880&lt;&gt;"","invalid_date",""), IF(T880&lt;0,"negative_discount",""), IF(AND(T880&gt;0.5,T880&lt;=1),"high_discount",""), IF(K880="Unknown","missing_region",""), IF(Q880="Unknown","missing_ship_mode","")))</f>
        <v>CLEAN</v>
      </c>
      <c r="AE880" t="str">
        <f>IF(COUNTIF($AF$2:$AF$926,AF880)&gt;1,"DUPLICATE","UNIQUE")</f>
        <v>UNIQUE</v>
      </c>
      <c r="AF880" t="str">
        <f>A880&amp;"|"&amp;B880&amp;"|"&amp;H880&amp;"|"&amp;I880&amp;"|"&amp;R880&amp;"|"&amp;S880&amp;"|"&amp;V880</f>
        <v>ORD-2024-10879|2024-01-22|CUST-8534|Karan Malhotra|8|1557.21|11834.8</v>
      </c>
      <c r="AG880" t="str">
        <f>IF(COUNTIF($A$2:$A$913,A880)&gt;1,"TRUE","FALSE")</f>
        <v>FALSE</v>
      </c>
    </row>
    <row r="881" spans="1:33">
      <c r="A881" t="s">
        <v>3377</v>
      </c>
      <c r="B881" t="s">
        <v>2617</v>
      </c>
      <c r="C881" t="s">
        <v>1308</v>
      </c>
      <c r="D881">
        <f>IF(OR(B881="", C881=""), "", (C881 - B881))</f>
        <v>1</v>
      </c>
      <c r="E881" t="str">
        <f>IF(C881&lt;B881, "INVALID: Ship date before order date", "")</f>
        <v/>
      </c>
      <c r="F881" t="str">
        <f>IF(B881="", "", TEXT(B881, "mmmm"))</f>
        <v>August</v>
      </c>
      <c r="G881">
        <f>IF(B881="", "", YEAR(B881))</f>
        <v>2025</v>
      </c>
      <c r="H881" t="s">
        <v>2618</v>
      </c>
      <c r="I881" t="s">
        <v>61</v>
      </c>
      <c r="J881" t="s">
        <v>93</v>
      </c>
      <c r="K881" t="s">
        <v>24</v>
      </c>
      <c r="L881" t="s">
        <v>134</v>
      </c>
      <c r="M881" t="s">
        <v>135</v>
      </c>
      <c r="N881" t="s">
        <v>27</v>
      </c>
      <c r="O881" t="s">
        <v>47</v>
      </c>
      <c r="P881" t="s">
        <v>2619</v>
      </c>
      <c r="Q881" t="s">
        <v>58</v>
      </c>
      <c r="R881">
        <v>6</v>
      </c>
      <c r="S881" s="15">
        <v>1182.03</v>
      </c>
      <c r="T881" s="4">
        <v>0.15</v>
      </c>
      <c r="U881" s="3" t="str">
        <f>IF(T881&lt;0, "negative_discount", IF(AND(T881&gt;0.5, T881&lt;=1), "high_discount", ""))</f>
        <v/>
      </c>
      <c r="V881" s="11">
        <v>6028.35</v>
      </c>
      <c r="W881" s="12">
        <v>6028.35</v>
      </c>
      <c r="X881" s="11">
        <v>4433.63</v>
      </c>
      <c r="Y881" s="11">
        <v>1594.72</v>
      </c>
      <c r="Z881" s="11">
        <f>ROUND(W881-X881,2)</f>
        <v>1594.72</v>
      </c>
      <c r="AA881" s="4">
        <f>IF(W881=0,0,Z881/W881)</f>
        <v>0.2645367306145131</v>
      </c>
      <c r="AB881" t="s">
        <v>31</v>
      </c>
      <c r="AC881" t="s">
        <v>32</v>
      </c>
      <c r="AD881" t="str">
        <f>IF(AND(E881="", T881&gt;=0, T881&lt;=0.5, K881&lt;&gt;"Unknown", Q881&lt;&gt;"Unknown"), "CLEAN", _xlfn.CONCAT("WARNING: ", IF(E881&lt;&gt;"","invalid_date",""), IF(T881&lt;0,"negative_discount",""), IF(AND(T881&gt;0.5,T881&lt;=1),"high_discount",""), IF(K881="Unknown","missing_region",""), IF(Q881="Unknown","missing_ship_mode","")))</f>
        <v>CLEAN</v>
      </c>
      <c r="AE881" t="str">
        <f>IF(COUNTIF($AF$2:$AF$926,AF881)&gt;1,"DUPLICATE","UNIQUE")</f>
        <v>UNIQUE</v>
      </c>
      <c r="AF881" t="str">
        <f>A881&amp;"|"&amp;B881&amp;"|"&amp;H881&amp;"|"&amp;I881&amp;"|"&amp;R881&amp;"|"&amp;S881&amp;"|"&amp;V881</f>
        <v>ORD-2025-10880|2025-08-27|CUST-4486|Ananya Rao|6|1182.03|6028.35</v>
      </c>
      <c r="AG881" t="str">
        <f>IF(COUNTIF($A$2:$A$913,A881)&gt;1,"TRUE","FALSE")</f>
        <v>FALSE</v>
      </c>
    </row>
    <row r="882" spans="1:33">
      <c r="A882" t="s">
        <v>2620</v>
      </c>
      <c r="B882" t="s">
        <v>360</v>
      </c>
      <c r="C882" t="s">
        <v>644</v>
      </c>
      <c r="D882">
        <f>IF(OR(B882="", C882=""), "", (C882 - B882))</f>
        <v>-141</v>
      </c>
      <c r="E882" t="str">
        <f>IF(C882&lt;B882, "INVALID: Ship date before order date", "")</f>
        <v>INVALID: Ship date before order date</v>
      </c>
      <c r="F882" t="str">
        <f>IF(B882="", "", TEXT(B882, "mmmm"))</f>
        <v>August</v>
      </c>
      <c r="G882">
        <f>IF(B882="", "", YEAR(B882))</f>
        <v>2024</v>
      </c>
      <c r="H882" t="s">
        <v>2621</v>
      </c>
      <c r="I882" t="s">
        <v>126</v>
      </c>
      <c r="J882" t="s">
        <v>36</v>
      </c>
      <c r="K882" t="s">
        <v>2970</v>
      </c>
      <c r="L882" t="s">
        <v>120</v>
      </c>
      <c r="M882" t="s">
        <v>121</v>
      </c>
      <c r="N882" t="s">
        <v>40</v>
      </c>
      <c r="O882" t="s">
        <v>65</v>
      </c>
      <c r="P882" t="s">
        <v>2622</v>
      </c>
      <c r="Q882" t="s">
        <v>49</v>
      </c>
      <c r="R882">
        <v>5</v>
      </c>
      <c r="S882" s="15">
        <v>3234.77</v>
      </c>
      <c r="T882" s="4">
        <v>0</v>
      </c>
      <c r="U882" s="3" t="str">
        <f>IF(T882&lt;0, "negative_discount", IF(AND(T882&gt;0.5, T882&lt;=1), "high_discount", ""))</f>
        <v/>
      </c>
      <c r="V882" s="11">
        <v>16173.85</v>
      </c>
      <c r="W882" s="12">
        <v>16173.85</v>
      </c>
      <c r="X882" s="11">
        <v>13636.34</v>
      </c>
      <c r="Y882" s="11">
        <v>2537.5100000000002</v>
      </c>
      <c r="Z882" s="11">
        <f>ROUND(W882-X882,2)</f>
        <v>2537.5100000000002</v>
      </c>
      <c r="AA882" s="4">
        <f>IF(W882=0,0,Z882/W882)</f>
        <v>0.15688967067210344</v>
      </c>
      <c r="AB882" t="s">
        <v>31</v>
      </c>
      <c r="AC882" t="s">
        <v>32</v>
      </c>
      <c r="AD882" t="str">
        <f>IF(AND(E882="", T882&gt;=0, T882&lt;=0.5, K882&lt;&gt;"Unknown", Q882&lt;&gt;"Unknown"), "CLEAN", _xlfn.CONCAT("WARNING: ", IF(E882&lt;&gt;"","invalid_date",""), IF(T882&lt;0,"negative_discount",""), IF(AND(T882&gt;0.5,T882&lt;=1),"high_discount",""), IF(K882="Unknown","missing_region",""), IF(Q882="Unknown","missing_ship_mode","")))</f>
        <v>WARNING: invalid_datemissing_region</v>
      </c>
      <c r="AE882" t="str">
        <f>IF(COUNTIF($AF$2:$AF$926,AF882)&gt;1,"DUPLICATE","UNIQUE")</f>
        <v>UNIQUE</v>
      </c>
      <c r="AF882" t="str">
        <f>A882&amp;"|"&amp;B882&amp;"|"&amp;H882&amp;"|"&amp;I882&amp;"|"&amp;R882&amp;"|"&amp;S882&amp;"|"&amp;V882</f>
        <v>ORD-2024-10881|2024-08-03|CUST-5287|Aarav Sharma|5|3234.77|16173.85</v>
      </c>
      <c r="AG882" t="str">
        <f>IF(COUNTIF($A$2:$A$913,A882)&gt;1,"TRUE","FALSE")</f>
        <v>FALSE</v>
      </c>
    </row>
    <row r="883" spans="1:33">
      <c r="A883" t="s">
        <v>2623</v>
      </c>
      <c r="B883" t="s">
        <v>2890</v>
      </c>
      <c r="C883" t="s">
        <v>2793</v>
      </c>
      <c r="D883">
        <f>IF(OR(B883="", C883=""), "", (C883 - B883))</f>
        <v>-203</v>
      </c>
      <c r="E883" t="str">
        <f>IF(C883&lt;B883, "INVALID: Ship date before order date", "")</f>
        <v>INVALID: Ship date before order date</v>
      </c>
      <c r="F883" t="str">
        <f>IF(B883="", "", TEXT(B883, "mmmm"))</f>
        <v>December</v>
      </c>
      <c r="G883">
        <f>IF(B883="", "", YEAR(B883))</f>
        <v>2024</v>
      </c>
      <c r="H883" t="s">
        <v>2624</v>
      </c>
      <c r="I883" t="s">
        <v>61</v>
      </c>
      <c r="J883" t="s">
        <v>36</v>
      </c>
      <c r="K883" t="s">
        <v>53</v>
      </c>
      <c r="L883" t="s">
        <v>83</v>
      </c>
      <c r="M883" t="s">
        <v>84</v>
      </c>
      <c r="N883" t="s">
        <v>74</v>
      </c>
      <c r="O883" t="s">
        <v>79</v>
      </c>
      <c r="P883" t="s">
        <v>2625</v>
      </c>
      <c r="Q883" t="s">
        <v>30</v>
      </c>
      <c r="R883">
        <v>9</v>
      </c>
      <c r="S883" s="15">
        <v>3726.75</v>
      </c>
      <c r="T883" s="4">
        <v>0.25</v>
      </c>
      <c r="U883" s="3" t="str">
        <f>IF(T883&lt;0, "negative_discount", IF(AND(T883&gt;0.5, T883&lt;=1), "high_discount", ""))</f>
        <v/>
      </c>
      <c r="V883" s="11">
        <v>25155.56</v>
      </c>
      <c r="W883" s="12">
        <v>25155.56</v>
      </c>
      <c r="X883" s="11">
        <v>17592.689999999999</v>
      </c>
      <c r="Y883" s="11">
        <v>7562.87</v>
      </c>
      <c r="Z883" s="11">
        <f>ROUND(W883-X883,2)</f>
        <v>7562.87</v>
      </c>
      <c r="AA883" s="4">
        <f>IF(W883=0,0,Z883/W883)</f>
        <v>0.30064407232436885</v>
      </c>
      <c r="AB883" t="s">
        <v>31</v>
      </c>
      <c r="AC883" t="s">
        <v>32</v>
      </c>
      <c r="AD883" t="str">
        <f>IF(AND(E883="", T883&gt;=0, T883&lt;=0.5, K883&lt;&gt;"Unknown", Q883&lt;&gt;"Unknown"), "CLEAN", _xlfn.CONCAT("WARNING: ", IF(E883&lt;&gt;"","invalid_date",""), IF(T883&lt;0,"negative_discount",""), IF(AND(T883&gt;0.5,T883&lt;=1),"high_discount",""), IF(K883="Unknown","missing_region",""), IF(Q883="Unknown","missing_ship_mode","")))</f>
        <v>WARNING: invalid_date</v>
      </c>
      <c r="AE883" t="str">
        <f>IF(COUNTIF($AF$2:$AF$926,AF883)&gt;1,"DUPLICATE","UNIQUE")</f>
        <v>UNIQUE</v>
      </c>
      <c r="AF883" t="str">
        <f>A883&amp;"|"&amp;B883&amp;"|"&amp;H883&amp;"|"&amp;I883&amp;"|"&amp;R883&amp;"|"&amp;S883&amp;"|"&amp;V883</f>
        <v>ORD-2024-10882|2024-12-01|CUST-3445|Ananya Rao|9|3726.75|25155.56</v>
      </c>
      <c r="AG883" t="str">
        <f>IF(COUNTIF($A$2:$A$913,A883)&gt;1,"TRUE","FALSE")</f>
        <v>FALSE</v>
      </c>
    </row>
    <row r="884" spans="1:33">
      <c r="A884" t="s">
        <v>3378</v>
      </c>
      <c r="B884" t="s">
        <v>2141</v>
      </c>
      <c r="C884" t="s">
        <v>2759</v>
      </c>
      <c r="D884">
        <f>IF(OR(B884="", C884=""), "", (C884 - B884))</f>
        <v>8</v>
      </c>
      <c r="E884" t="str">
        <f>IF(C884&lt;B884, "INVALID: Ship date before order date", "")</f>
        <v/>
      </c>
      <c r="F884" t="str">
        <f>IF(B884="", "", TEXT(B884, "mmmm"))</f>
        <v>February</v>
      </c>
      <c r="G884">
        <f>IF(B884="", "", YEAR(B884))</f>
        <v>2025</v>
      </c>
      <c r="H884" t="s">
        <v>2626</v>
      </c>
      <c r="I884" t="s">
        <v>131</v>
      </c>
      <c r="J884" t="s">
        <v>89</v>
      </c>
      <c r="K884" t="s">
        <v>37</v>
      </c>
      <c r="L884" t="s">
        <v>142</v>
      </c>
      <c r="M884" t="s">
        <v>143</v>
      </c>
      <c r="N884" t="s">
        <v>74</v>
      </c>
      <c r="O884" t="s">
        <v>75</v>
      </c>
      <c r="P884" t="s">
        <v>2627</v>
      </c>
      <c r="Q884" t="s">
        <v>58</v>
      </c>
      <c r="R884">
        <v>4</v>
      </c>
      <c r="S884" s="15">
        <v>1912.45</v>
      </c>
      <c r="T884" s="4">
        <v>0</v>
      </c>
      <c r="U884" s="3" t="str">
        <f>IF(T884&lt;0, "negative_discount", IF(AND(T884&gt;0.5, T884&lt;=1), "high_discount", ""))</f>
        <v/>
      </c>
      <c r="V884" s="11">
        <v>7649.8</v>
      </c>
      <c r="W884" s="12">
        <v>7649.8</v>
      </c>
      <c r="X884" s="11">
        <v>4894.53</v>
      </c>
      <c r="Y884" s="11">
        <v>2755.27</v>
      </c>
      <c r="Z884" s="11">
        <f>ROUND(W884-X884,2)</f>
        <v>2755.27</v>
      </c>
      <c r="AA884" s="4">
        <f>IF(W884=0,0,Z884/W884)</f>
        <v>0.36017542942299147</v>
      </c>
      <c r="AB884" t="s">
        <v>109</v>
      </c>
      <c r="AC884" t="s">
        <v>100</v>
      </c>
      <c r="AD884" t="str">
        <f>IF(AND(E884="", T884&gt;=0, T884&lt;=0.5, K884&lt;&gt;"Unknown", Q884&lt;&gt;"Unknown"), "CLEAN", _xlfn.CONCAT("WARNING: ", IF(E884&lt;&gt;"","invalid_date",""), IF(T884&lt;0,"negative_discount",""), IF(AND(T884&gt;0.5,T884&lt;=1),"high_discount",""), IF(K884="Unknown","missing_region",""), IF(Q884="Unknown","missing_ship_mode","")))</f>
        <v>CLEAN</v>
      </c>
      <c r="AE884" t="str">
        <f>IF(COUNTIF($AF$2:$AF$926,AF884)&gt;1,"DUPLICATE","UNIQUE")</f>
        <v>UNIQUE</v>
      </c>
      <c r="AF884" t="str">
        <f>A884&amp;"|"&amp;B884&amp;"|"&amp;H884&amp;"|"&amp;I884&amp;"|"&amp;R884&amp;"|"&amp;S884&amp;"|"&amp;V884</f>
        <v>ORD-2025-10883|2025-02-02|CUST-4983|Sneha Kapoor|4|1912.45|7649.8</v>
      </c>
      <c r="AG884" t="str">
        <f>IF(COUNTIF($A$2:$A$913,A884)&gt;1,"TRUE","FALSE")</f>
        <v>FALSE</v>
      </c>
    </row>
    <row r="885" spans="1:33">
      <c r="A885" t="s">
        <v>3379</v>
      </c>
      <c r="B885" t="s">
        <v>1732</v>
      </c>
      <c r="C885" t="s">
        <v>669</v>
      </c>
      <c r="D885">
        <f>IF(OR(B885="", C885=""), "", (C885 - B885))</f>
        <v>3</v>
      </c>
      <c r="E885" t="str">
        <f>IF(C885&lt;B885, "INVALID: Ship date before order date", "")</f>
        <v/>
      </c>
      <c r="F885" t="str">
        <f>IF(B885="", "", TEXT(B885, "mmmm"))</f>
        <v>April</v>
      </c>
      <c r="G885">
        <f>IF(B885="", "", YEAR(B885))</f>
        <v>2025</v>
      </c>
      <c r="H885" t="s">
        <v>2628</v>
      </c>
      <c r="I885" t="s">
        <v>126</v>
      </c>
      <c r="J885" t="s">
        <v>36</v>
      </c>
      <c r="K885" t="s">
        <v>62</v>
      </c>
      <c r="L885" t="s">
        <v>185</v>
      </c>
      <c r="M885" t="s">
        <v>186</v>
      </c>
      <c r="N885" t="s">
        <v>27</v>
      </c>
      <c r="O885" t="s">
        <v>122</v>
      </c>
      <c r="P885" t="s">
        <v>2629</v>
      </c>
      <c r="Q885" t="s">
        <v>43</v>
      </c>
      <c r="R885">
        <v>1</v>
      </c>
      <c r="S885" s="15">
        <v>1620.87</v>
      </c>
      <c r="T885" s="4">
        <v>0</v>
      </c>
      <c r="U885" s="3" t="str">
        <f>IF(T885&lt;0, "negative_discount", IF(AND(T885&gt;0.5, T885&lt;=1), "high_discount", ""))</f>
        <v/>
      </c>
      <c r="V885" s="11">
        <v>1620.87</v>
      </c>
      <c r="W885" s="12">
        <v>1620.87</v>
      </c>
      <c r="X885" s="11">
        <v>1103.6099999999999</v>
      </c>
      <c r="Y885" s="11">
        <v>517.26</v>
      </c>
      <c r="Z885" s="11">
        <f>ROUND(W885-X885,2)</f>
        <v>517.26</v>
      </c>
      <c r="AA885" s="4">
        <f>IF(W885=0,0,Z885/W885)</f>
        <v>0.31912491439782342</v>
      </c>
      <c r="AB885" t="s">
        <v>31</v>
      </c>
      <c r="AC885" t="s">
        <v>32</v>
      </c>
      <c r="AD885" t="str">
        <f>IF(AND(E885="", T885&gt;=0, T885&lt;=0.5, K885&lt;&gt;"Unknown", Q885&lt;&gt;"Unknown"), "CLEAN", _xlfn.CONCAT("WARNING: ", IF(E885&lt;&gt;"","invalid_date",""), IF(T885&lt;0,"negative_discount",""), IF(AND(T885&gt;0.5,T885&lt;=1),"high_discount",""), IF(K885="Unknown","missing_region",""), IF(Q885="Unknown","missing_ship_mode","")))</f>
        <v>CLEAN</v>
      </c>
      <c r="AE885" t="str">
        <f>IF(COUNTIF($AF$2:$AF$926,AF885)&gt;1,"DUPLICATE","UNIQUE")</f>
        <v>UNIQUE</v>
      </c>
      <c r="AF885" t="str">
        <f>A885&amp;"|"&amp;B885&amp;"|"&amp;H885&amp;"|"&amp;I885&amp;"|"&amp;R885&amp;"|"&amp;S885&amp;"|"&amp;V885</f>
        <v>ORD-2025-10884|2025-04-28|CUST-2597|Aarav Sharma|1|1620.87|1620.87</v>
      </c>
      <c r="AG885" t="str">
        <f>IF(COUNTIF($A$2:$A$913,A885)&gt;1,"TRUE","FALSE")</f>
        <v>FALSE</v>
      </c>
    </row>
    <row r="886" spans="1:33">
      <c r="A886" t="s">
        <v>3380</v>
      </c>
      <c r="B886" t="s">
        <v>2891</v>
      </c>
      <c r="C886" t="s">
        <v>2630</v>
      </c>
      <c r="D886">
        <f>IF(OR(B886="", C886=""), "", (C886 - B886))</f>
        <v>7</v>
      </c>
      <c r="E886" t="str">
        <f>IF(C886&lt;B886, "INVALID: Ship date before order date", "")</f>
        <v/>
      </c>
      <c r="F886" t="str">
        <f>IF(B886="", "", TEXT(B886, "mmmm"))</f>
        <v>January</v>
      </c>
      <c r="G886">
        <f>IF(B886="", "", YEAR(B886))</f>
        <v>2025</v>
      </c>
      <c r="H886" t="s">
        <v>2631</v>
      </c>
      <c r="I886" t="s">
        <v>78</v>
      </c>
      <c r="J886" t="s">
        <v>93</v>
      </c>
      <c r="K886" t="s">
        <v>53</v>
      </c>
      <c r="L886" t="s">
        <v>171</v>
      </c>
      <c r="M886" t="s">
        <v>172</v>
      </c>
      <c r="N886" t="s">
        <v>27</v>
      </c>
      <c r="O886" t="s">
        <v>122</v>
      </c>
      <c r="P886" t="s">
        <v>2632</v>
      </c>
      <c r="Q886" t="s">
        <v>43</v>
      </c>
      <c r="R886">
        <v>2</v>
      </c>
      <c r="S886" s="15">
        <v>2098.54</v>
      </c>
      <c r="T886" s="4">
        <v>0.15</v>
      </c>
      <c r="U886" s="3" t="str">
        <f>IF(T886&lt;0, "negative_discount", IF(AND(T886&gt;0.5, T886&lt;=1), "high_discount", ""))</f>
        <v/>
      </c>
      <c r="V886" s="11">
        <v>3567.52</v>
      </c>
      <c r="W886" s="12">
        <v>3567.52</v>
      </c>
      <c r="X886" s="11">
        <v>2411.8000000000002</v>
      </c>
      <c r="Y886" s="11">
        <v>1155.72</v>
      </c>
      <c r="Z886" s="11">
        <f>ROUND(W886-X886,2)</f>
        <v>1155.72</v>
      </c>
      <c r="AA886" s="4">
        <f>IF(W886=0,0,Z886/W886)</f>
        <v>0.32395613759698616</v>
      </c>
      <c r="AB886" t="s">
        <v>31</v>
      </c>
      <c r="AC886" t="s">
        <v>32</v>
      </c>
      <c r="AD886" t="str">
        <f>IF(AND(E886="", T886&gt;=0, T886&lt;=0.5, K886&lt;&gt;"Unknown", Q886&lt;&gt;"Unknown"), "CLEAN", _xlfn.CONCAT("WARNING: ", IF(E886&lt;&gt;"","invalid_date",""), IF(T886&lt;0,"negative_discount",""), IF(AND(T886&gt;0.5,T886&lt;=1),"high_discount",""), IF(K886="Unknown","missing_region",""), IF(Q886="Unknown","missing_ship_mode","")))</f>
        <v>CLEAN</v>
      </c>
      <c r="AE886" t="str">
        <f>IF(COUNTIF($AF$2:$AF$926,AF886)&gt;1,"DUPLICATE","UNIQUE")</f>
        <v>UNIQUE</v>
      </c>
      <c r="AF886" t="str">
        <f>A886&amp;"|"&amp;B886&amp;"|"&amp;H886&amp;"|"&amp;I886&amp;"|"&amp;R886&amp;"|"&amp;S886&amp;"|"&amp;V886</f>
        <v>ORD-2025-10885|2025-01-18|CUST-7505|Neha Gupta|2|2098.54|3567.52</v>
      </c>
      <c r="AG886" t="str">
        <f>IF(COUNTIF($A$2:$A$913,A886)&gt;1,"TRUE","FALSE")</f>
        <v>FALSE</v>
      </c>
    </row>
    <row r="887" spans="1:33">
      <c r="A887" t="s">
        <v>2633</v>
      </c>
      <c r="B887" t="s">
        <v>2634</v>
      </c>
      <c r="C887" t="s">
        <v>2634</v>
      </c>
      <c r="D887">
        <f>IF(OR(B887="", C887=""), "", (C887 - B887))</f>
        <v>0</v>
      </c>
      <c r="E887" t="str">
        <f>IF(C887&lt;B887, "INVALID: Ship date before order date", "")</f>
        <v/>
      </c>
      <c r="F887" t="str">
        <f>IF(B887="", "", TEXT(B887, "mmmm"))</f>
        <v>January</v>
      </c>
      <c r="G887">
        <f>IF(B887="", "", YEAR(B887))</f>
        <v>2024</v>
      </c>
      <c r="H887" t="s">
        <v>2635</v>
      </c>
      <c r="I887" t="s">
        <v>158</v>
      </c>
      <c r="J887" t="s">
        <v>23</v>
      </c>
      <c r="K887" t="s">
        <v>24</v>
      </c>
      <c r="L887" t="s">
        <v>25</v>
      </c>
      <c r="M887" t="s">
        <v>26</v>
      </c>
      <c r="N887" t="s">
        <v>40</v>
      </c>
      <c r="O887" t="s">
        <v>41</v>
      </c>
      <c r="P887" t="s">
        <v>2636</v>
      </c>
      <c r="Q887" t="s">
        <v>58</v>
      </c>
      <c r="R887">
        <v>1</v>
      </c>
      <c r="S887" s="15">
        <v>2167.08</v>
      </c>
      <c r="T887" s="4">
        <v>0.25</v>
      </c>
      <c r="U887" s="3" t="str">
        <f>IF(T887&lt;0, "negative_discount", IF(AND(T887&gt;0.5, T887&lt;=1), "high_discount", ""))</f>
        <v/>
      </c>
      <c r="V887" s="11">
        <v>1625.31</v>
      </c>
      <c r="W887" s="12">
        <v>1625.31</v>
      </c>
      <c r="X887" s="11">
        <v>1157.8900000000001</v>
      </c>
      <c r="Y887" s="11">
        <v>467.42</v>
      </c>
      <c r="Z887" s="11">
        <f>ROUND(W887-X887,2)</f>
        <v>467.42</v>
      </c>
      <c r="AA887" s="4">
        <f>IF(W887=0,0,Z887/W887)</f>
        <v>0.28758821394072515</v>
      </c>
      <c r="AB887" t="s">
        <v>31</v>
      </c>
      <c r="AC887" t="s">
        <v>32</v>
      </c>
      <c r="AD887" t="str">
        <f>IF(AND(E887="", T887&gt;=0, T887&lt;=0.5, K887&lt;&gt;"Unknown", Q887&lt;&gt;"Unknown"), "CLEAN", _xlfn.CONCAT("WARNING: ", IF(E887&lt;&gt;"","invalid_date",""), IF(T887&lt;0,"negative_discount",""), IF(AND(T887&gt;0.5,T887&lt;=1),"high_discount",""), IF(K887="Unknown","missing_region",""), IF(Q887="Unknown","missing_ship_mode","")))</f>
        <v>CLEAN</v>
      </c>
      <c r="AE887" t="str">
        <f>IF(COUNTIF($AF$2:$AF$926,AF887)&gt;1,"DUPLICATE","UNIQUE")</f>
        <v>UNIQUE</v>
      </c>
      <c r="AF887" t="str">
        <f>A887&amp;"|"&amp;B887&amp;"|"&amp;H887&amp;"|"&amp;I887&amp;"|"&amp;R887&amp;"|"&amp;S887&amp;"|"&amp;V887</f>
        <v>ORD-2024-10886|2024-01-05|CUST-3446|Diya Patel|1|2167.08|1625.31</v>
      </c>
      <c r="AG887" t="str">
        <f>IF(COUNTIF($A$2:$A$913,A887)&gt;1,"TRUE","FALSE")</f>
        <v>FALSE</v>
      </c>
    </row>
    <row r="888" spans="1:33">
      <c r="A888" t="s">
        <v>3381</v>
      </c>
      <c r="B888" t="s">
        <v>2892</v>
      </c>
      <c r="C888" t="s">
        <v>2959</v>
      </c>
      <c r="D888">
        <f>IF(OR(B888="", C888=""), "", (C888 - B888))</f>
        <v>-52</v>
      </c>
      <c r="E888" t="str">
        <f>IF(C888&lt;B888, "INVALID: Ship date before order date", "")</f>
        <v>INVALID: Ship date before order date</v>
      </c>
      <c r="F888" t="str">
        <f>IF(B888="", "", TEXT(B888, "mmmm"))</f>
        <v>April</v>
      </c>
      <c r="G888">
        <f>IF(B888="", "", YEAR(B888))</f>
        <v>2025</v>
      </c>
      <c r="H888" t="s">
        <v>2637</v>
      </c>
      <c r="I888" t="s">
        <v>52</v>
      </c>
      <c r="J888" t="s">
        <v>93</v>
      </c>
      <c r="K888" t="s">
        <v>53</v>
      </c>
      <c r="L888" t="s">
        <v>246</v>
      </c>
      <c r="M888" t="s">
        <v>247</v>
      </c>
      <c r="N888" t="s">
        <v>74</v>
      </c>
      <c r="O888" t="s">
        <v>75</v>
      </c>
      <c r="P888" t="s">
        <v>2638</v>
      </c>
      <c r="Q888" t="s">
        <v>49</v>
      </c>
      <c r="R888">
        <v>7</v>
      </c>
      <c r="S888" s="15">
        <v>3989.9</v>
      </c>
      <c r="T888" s="4">
        <v>0.15</v>
      </c>
      <c r="U888" s="3" t="str">
        <f>IF(T888&lt;0, "negative_discount", IF(AND(T888&gt;0.5, T888&lt;=1), "high_discount", ""))</f>
        <v/>
      </c>
      <c r="V888" s="11">
        <v>23739.9</v>
      </c>
      <c r="W888" s="12">
        <v>23739.91</v>
      </c>
      <c r="X888" s="11">
        <v>17716.52</v>
      </c>
      <c r="Y888" s="11">
        <v>6023.38</v>
      </c>
      <c r="Z888" s="11">
        <f>ROUND(W888-X888,2)</f>
        <v>6023.39</v>
      </c>
      <c r="AA888" s="4">
        <f>IF(W888=0,0,Z888/W888)</f>
        <v>0.2537242137817709</v>
      </c>
      <c r="AB888" t="s">
        <v>31</v>
      </c>
      <c r="AC888" t="s">
        <v>67</v>
      </c>
      <c r="AD888" t="str">
        <f>IF(AND(E888="", T888&gt;=0, T888&lt;=0.5, K888&lt;&gt;"Unknown", Q888&lt;&gt;"Unknown"), "CLEAN", _xlfn.CONCAT("WARNING: ", IF(E888&lt;&gt;"","invalid_date",""), IF(T888&lt;0,"negative_discount",""), IF(AND(T888&gt;0.5,T888&lt;=1),"high_discount",""), IF(K888="Unknown","missing_region",""), IF(Q888="Unknown","missing_ship_mode","")))</f>
        <v>WARNING: invalid_date</v>
      </c>
      <c r="AE888" t="str">
        <f>IF(COUNTIF($AF$2:$AF$926,AF888)&gt;1,"DUPLICATE","UNIQUE")</f>
        <v>UNIQUE</v>
      </c>
      <c r="AF888" t="str">
        <f>A888&amp;"|"&amp;B888&amp;"|"&amp;H888&amp;"|"&amp;I888&amp;"|"&amp;R888&amp;"|"&amp;S888&amp;"|"&amp;V888</f>
        <v>ORD-2025-10887|2025-04-26|CUST-3549|Arjun Bose|7|3989.9|23739.9</v>
      </c>
      <c r="AG888" t="str">
        <f>IF(COUNTIF($A$2:$A$913,A888)&gt;1,"TRUE","FALSE")</f>
        <v>FALSE</v>
      </c>
    </row>
    <row r="889" spans="1:33">
      <c r="A889" t="s">
        <v>2639</v>
      </c>
      <c r="B889" t="s">
        <v>2562</v>
      </c>
      <c r="C889" t="s">
        <v>468</v>
      </c>
      <c r="D889">
        <f>IF(OR(B889="", C889=""), "", (C889 - B889))</f>
        <v>6</v>
      </c>
      <c r="E889" t="str">
        <f>IF(C889&lt;B889, "INVALID: Ship date before order date", "")</f>
        <v/>
      </c>
      <c r="F889" t="str">
        <f>IF(B889="", "", TEXT(B889, "mmmm"))</f>
        <v>June</v>
      </c>
      <c r="G889">
        <f>IF(B889="", "", YEAR(B889))</f>
        <v>2024</v>
      </c>
      <c r="H889" t="s">
        <v>2640</v>
      </c>
      <c r="I889" t="s">
        <v>126</v>
      </c>
      <c r="J889" t="s">
        <v>36</v>
      </c>
      <c r="K889" t="s">
        <v>53</v>
      </c>
      <c r="L889" t="s">
        <v>83</v>
      </c>
      <c r="M889" t="s">
        <v>84</v>
      </c>
      <c r="N889" t="s">
        <v>27</v>
      </c>
      <c r="O889" t="s">
        <v>47</v>
      </c>
      <c r="P889" t="s">
        <v>2641</v>
      </c>
      <c r="Q889" t="s">
        <v>58</v>
      </c>
      <c r="R889">
        <v>4</v>
      </c>
      <c r="S889" s="15">
        <v>4176.13</v>
      </c>
      <c r="T889" s="4">
        <v>0</v>
      </c>
      <c r="U889" s="3" t="str">
        <f>IF(T889&lt;0, "negative_discount", IF(AND(T889&gt;0.5, T889&lt;=1), "high_discount", ""))</f>
        <v/>
      </c>
      <c r="V889" s="11">
        <v>16704.52</v>
      </c>
      <c r="W889" s="12">
        <v>16704.52</v>
      </c>
      <c r="X889" s="11">
        <v>10158.280000000001</v>
      </c>
      <c r="Y889" s="11">
        <v>6546.24</v>
      </c>
      <c r="Z889" s="11">
        <f>ROUND(W889-X889,2)</f>
        <v>6546.24</v>
      </c>
      <c r="AA889" s="4">
        <f>IF(W889=0,0,Z889/W889)</f>
        <v>0.39188435225914897</v>
      </c>
      <c r="AB889" t="s">
        <v>31</v>
      </c>
      <c r="AC889" t="s">
        <v>32</v>
      </c>
      <c r="AD889" t="str">
        <f>IF(AND(E889="", T889&gt;=0, T889&lt;=0.5, K889&lt;&gt;"Unknown", Q889&lt;&gt;"Unknown"), "CLEAN", _xlfn.CONCAT("WARNING: ", IF(E889&lt;&gt;"","invalid_date",""), IF(T889&lt;0,"negative_discount",""), IF(AND(T889&gt;0.5,T889&lt;=1),"high_discount",""), IF(K889="Unknown","missing_region",""), IF(Q889="Unknown","missing_ship_mode","")))</f>
        <v>CLEAN</v>
      </c>
      <c r="AE889" t="str">
        <f>IF(COUNTIF($AF$2:$AF$926,AF889)&gt;1,"DUPLICATE","UNIQUE")</f>
        <v>UNIQUE</v>
      </c>
      <c r="AF889" t="str">
        <f>A889&amp;"|"&amp;B889&amp;"|"&amp;H889&amp;"|"&amp;I889&amp;"|"&amp;R889&amp;"|"&amp;S889&amp;"|"&amp;V889</f>
        <v>ORD-2024-10888|2024-06-12|CUST-2795|Aarav Sharma|4|4176.13|16704.52</v>
      </c>
      <c r="AG889" t="str">
        <f>IF(COUNTIF($A$2:$A$913,A889)&gt;1,"TRUE","FALSE")</f>
        <v>FALSE</v>
      </c>
    </row>
    <row r="890" spans="1:33">
      <c r="A890" t="s">
        <v>3382</v>
      </c>
      <c r="B890" t="s">
        <v>2893</v>
      </c>
      <c r="C890" t="s">
        <v>2700</v>
      </c>
      <c r="D890">
        <f>IF(OR(B890="", C890=""), "", (C890 - B890))</f>
        <v>30</v>
      </c>
      <c r="E890" t="str">
        <f>IF(C890&lt;B890, "INVALID: Ship date before order date", "")</f>
        <v/>
      </c>
      <c r="F890" t="str">
        <f>IF(B890="", "", TEXT(B890, "mmmm"))</f>
        <v>June</v>
      </c>
      <c r="G890">
        <f>IF(B890="", "", YEAR(B890))</f>
        <v>2025</v>
      </c>
      <c r="H890" t="s">
        <v>2642</v>
      </c>
      <c r="I890" t="s">
        <v>116</v>
      </c>
      <c r="J890" t="s">
        <v>36</v>
      </c>
      <c r="K890" t="s">
        <v>62</v>
      </c>
      <c r="L890" t="s">
        <v>63</v>
      </c>
      <c r="M890" t="s">
        <v>64</v>
      </c>
      <c r="N890" t="s">
        <v>27</v>
      </c>
      <c r="O890" t="s">
        <v>47</v>
      </c>
      <c r="P890" t="s">
        <v>2643</v>
      </c>
      <c r="Q890" t="s">
        <v>58</v>
      </c>
      <c r="R890">
        <v>4</v>
      </c>
      <c r="S890" s="15">
        <v>3523.64</v>
      </c>
      <c r="T890" s="4">
        <v>0.1</v>
      </c>
      <c r="U890" s="3" t="str">
        <f>IF(T890&lt;0, "negative_discount", IF(AND(T890&gt;0.5, T890&lt;=1), "high_discount", ""))</f>
        <v/>
      </c>
      <c r="V890" s="11">
        <v>12685.1</v>
      </c>
      <c r="W890" s="12">
        <v>12685.1</v>
      </c>
      <c r="X890" s="11">
        <v>10779.56</v>
      </c>
      <c r="Y890" s="11">
        <v>1905.54</v>
      </c>
      <c r="Z890" s="11">
        <f>ROUND(W890-X890,2)</f>
        <v>1905.54</v>
      </c>
      <c r="AA890" s="4">
        <f>IF(W890=0,0,Z890/W890)</f>
        <v>0.15021876059313682</v>
      </c>
      <c r="AB890" t="s">
        <v>99</v>
      </c>
      <c r="AC890" t="s">
        <v>67</v>
      </c>
      <c r="AD890" t="str">
        <f>IF(AND(E890="", T890&gt;=0, T890&lt;=0.5, K890&lt;&gt;"Unknown", Q890&lt;&gt;"Unknown"), "CLEAN", _xlfn.CONCAT("WARNING: ", IF(E890&lt;&gt;"","invalid_date",""), IF(T890&lt;0,"negative_discount",""), IF(AND(T890&gt;0.5,T890&lt;=1),"high_discount",""), IF(K890="Unknown","missing_region",""), IF(Q890="Unknown","missing_ship_mode","")))</f>
        <v>CLEAN</v>
      </c>
      <c r="AE890" t="str">
        <f>IF(COUNTIF($AF$2:$AF$926,AF890)&gt;1,"DUPLICATE","UNIQUE")</f>
        <v>UNIQUE</v>
      </c>
      <c r="AF890" t="str">
        <f>A890&amp;"|"&amp;B890&amp;"|"&amp;H890&amp;"|"&amp;I890&amp;"|"&amp;R890&amp;"|"&amp;S890&amp;"|"&amp;V890</f>
        <v>ORD-2025-10889|2025-06-08|CUST-1081|Rahul Verma|4|3523.64|12685.1</v>
      </c>
      <c r="AG890" t="str">
        <f>IF(COUNTIF($A$2:$A$913,A890)&gt;1,"TRUE","FALSE")</f>
        <v>FALSE</v>
      </c>
    </row>
    <row r="891" spans="1:33">
      <c r="A891" t="s">
        <v>3383</v>
      </c>
      <c r="B891" t="s">
        <v>2894</v>
      </c>
      <c r="C891" t="s">
        <v>1831</v>
      </c>
      <c r="D891">
        <f>IF(OR(B891="", C891=""), "", (C891 - B891))</f>
        <v>1</v>
      </c>
      <c r="E891" t="str">
        <f>IF(C891&lt;B891, "INVALID: Ship date before order date", "")</f>
        <v/>
      </c>
      <c r="F891" t="str">
        <f>IF(B891="", "", TEXT(B891, "mmmm"))</f>
        <v>March</v>
      </c>
      <c r="G891">
        <f>IF(B891="", "", YEAR(B891))</f>
        <v>2025</v>
      </c>
      <c r="H891" t="s">
        <v>876</v>
      </c>
      <c r="I891" t="s">
        <v>88</v>
      </c>
      <c r="J891" t="s">
        <v>93</v>
      </c>
      <c r="K891" t="s">
        <v>62</v>
      </c>
      <c r="L891" t="s">
        <v>72</v>
      </c>
      <c r="M891" t="s">
        <v>73</v>
      </c>
      <c r="N891" t="s">
        <v>27</v>
      </c>
      <c r="O891" t="s">
        <v>122</v>
      </c>
      <c r="P891" t="s">
        <v>2644</v>
      </c>
      <c r="Q891" t="s">
        <v>49</v>
      </c>
      <c r="R891">
        <v>2</v>
      </c>
      <c r="S891" s="15">
        <v>3922.08</v>
      </c>
      <c r="T891" s="4">
        <v>0.25</v>
      </c>
      <c r="U891" s="3" t="str">
        <f>IF(T891&lt;0, "negative_discount", IF(AND(T891&gt;0.5, T891&lt;=1), "high_discount", ""))</f>
        <v/>
      </c>
      <c r="V891" s="11">
        <v>5883.12</v>
      </c>
      <c r="W891" s="12">
        <v>5883.12</v>
      </c>
      <c r="X891" s="11">
        <v>4647.91</v>
      </c>
      <c r="Y891" s="11">
        <v>1235.21</v>
      </c>
      <c r="Z891" s="11">
        <f>ROUND(W891-X891,2)</f>
        <v>1235.21</v>
      </c>
      <c r="AA891" s="4">
        <f>IF(W891=0,0,Z891/W891)</f>
        <v>0.20995832143488491</v>
      </c>
      <c r="AB891" t="s">
        <v>31</v>
      </c>
      <c r="AC891" t="s">
        <v>100</v>
      </c>
      <c r="AD891" t="str">
        <f>IF(AND(E891="", T891&gt;=0, T891&lt;=0.5, K891&lt;&gt;"Unknown", Q891&lt;&gt;"Unknown"), "CLEAN", _xlfn.CONCAT("WARNING: ", IF(E891&lt;&gt;"","invalid_date",""), IF(T891&lt;0,"negative_discount",""), IF(AND(T891&gt;0.5,T891&lt;=1),"high_discount",""), IF(K891="Unknown","missing_region",""), IF(Q891="Unknown","missing_ship_mode","")))</f>
        <v>CLEAN</v>
      </c>
      <c r="AE891" t="str">
        <f>IF(COUNTIF($AF$2:$AF$926,AF891)&gt;1,"DUPLICATE","UNIQUE")</f>
        <v>UNIQUE</v>
      </c>
      <c r="AF891" t="str">
        <f>A891&amp;"|"&amp;B891&amp;"|"&amp;H891&amp;"|"&amp;I891&amp;"|"&amp;R891&amp;"|"&amp;S891&amp;"|"&amp;V891</f>
        <v>ORD-2025-10890|2025-03-10|CUST-8467|Aditi Sen|2|3922.08|5883.12</v>
      </c>
      <c r="AG891" t="str">
        <f>IF(COUNTIF($A$2:$A$913,A891)&gt;1,"TRUE","FALSE")</f>
        <v>FALSE</v>
      </c>
    </row>
    <row r="892" spans="1:33">
      <c r="A892" t="s">
        <v>2645</v>
      </c>
      <c r="B892" t="s">
        <v>2740</v>
      </c>
      <c r="C892" t="s">
        <v>2068</v>
      </c>
      <c r="D892">
        <f>IF(OR(B892="", C892=""), "", (C892 - B892))</f>
        <v>6</v>
      </c>
      <c r="E892" t="str">
        <f>IF(C892&lt;B892, "INVALID: Ship date before order date", "")</f>
        <v/>
      </c>
      <c r="F892" t="str">
        <f>IF(B892="", "", TEXT(B892, "mmmm"))</f>
        <v>May</v>
      </c>
      <c r="G892">
        <f>IF(B892="", "", YEAR(B892))</f>
        <v>2024</v>
      </c>
      <c r="H892" t="s">
        <v>2646</v>
      </c>
      <c r="I892" t="s">
        <v>22</v>
      </c>
      <c r="J892" t="s">
        <v>23</v>
      </c>
      <c r="K892" t="s">
        <v>62</v>
      </c>
      <c r="L892" t="s">
        <v>185</v>
      </c>
      <c r="M892" t="s">
        <v>186</v>
      </c>
      <c r="N892" t="s">
        <v>27</v>
      </c>
      <c r="O892" t="s">
        <v>122</v>
      </c>
      <c r="P892" t="s">
        <v>2647</v>
      </c>
      <c r="Q892" t="s">
        <v>58</v>
      </c>
      <c r="R892">
        <v>6</v>
      </c>
      <c r="S892" s="15">
        <v>2909.56</v>
      </c>
      <c r="T892" s="4">
        <v>0.2</v>
      </c>
      <c r="U892" s="3" t="str">
        <f>IF(T892&lt;0, "negative_discount", IF(AND(T892&gt;0.5, T892&lt;=1), "high_discount", ""))</f>
        <v/>
      </c>
      <c r="V892" s="11">
        <v>13965.89</v>
      </c>
      <c r="W892" s="12">
        <v>13965.89</v>
      </c>
      <c r="X892" s="11">
        <v>11646.12</v>
      </c>
      <c r="Y892" s="11">
        <v>2319.77</v>
      </c>
      <c r="Z892" s="11">
        <f>ROUND(W892-X892,2)</f>
        <v>2319.77</v>
      </c>
      <c r="AA892" s="4">
        <f>IF(W892=0,0,Z892/W892)</f>
        <v>0.16610255415157932</v>
      </c>
      <c r="AB892" t="s">
        <v>31</v>
      </c>
      <c r="AC892" t="s">
        <v>32</v>
      </c>
      <c r="AD892" t="str">
        <f>IF(AND(E892="", T892&gt;=0, T892&lt;=0.5, K892&lt;&gt;"Unknown", Q892&lt;&gt;"Unknown"), "CLEAN", _xlfn.CONCAT("WARNING: ", IF(E892&lt;&gt;"","invalid_date",""), IF(T892&lt;0,"negative_discount",""), IF(AND(T892&gt;0.5,T892&lt;=1),"high_discount",""), IF(K892="Unknown","missing_region",""), IF(Q892="Unknown","missing_ship_mode","")))</f>
        <v>CLEAN</v>
      </c>
      <c r="AE892" t="str">
        <f>IF(COUNTIF($AF$2:$AF$926,AF892)&gt;1,"DUPLICATE","UNIQUE")</f>
        <v>UNIQUE</v>
      </c>
      <c r="AF892" t="str">
        <f>A892&amp;"|"&amp;B892&amp;"|"&amp;H892&amp;"|"&amp;I892&amp;"|"&amp;R892&amp;"|"&amp;S892&amp;"|"&amp;V892</f>
        <v>ORD-2024-10891|2024-05-15|CUST-3992|Karan Malhotra|6|2909.56|13965.89</v>
      </c>
      <c r="AG892" t="str">
        <f>IF(COUNTIF($A$2:$A$913,A892)&gt;1,"TRUE","FALSE")</f>
        <v>FALSE</v>
      </c>
    </row>
    <row r="893" spans="1:33">
      <c r="A893" t="s">
        <v>2648</v>
      </c>
      <c r="B893" t="s">
        <v>2895</v>
      </c>
      <c r="C893" t="s">
        <v>773</v>
      </c>
      <c r="D893">
        <f>IF(OR(B893="", C893=""), "", (C893 - B893))</f>
        <v>-28</v>
      </c>
      <c r="E893" t="str">
        <f>IF(C893&lt;B893, "INVALID: Ship date before order date", "")</f>
        <v>INVALID: Ship date before order date</v>
      </c>
      <c r="F893" t="str">
        <f>IF(B893="", "", TEXT(B893, "mmmm"))</f>
        <v>October</v>
      </c>
      <c r="G893">
        <f>IF(B893="", "", YEAR(B893))</f>
        <v>2024</v>
      </c>
      <c r="H893" t="s">
        <v>2649</v>
      </c>
      <c r="I893" t="s">
        <v>263</v>
      </c>
      <c r="J893" t="s">
        <v>89</v>
      </c>
      <c r="K893" t="s">
        <v>53</v>
      </c>
      <c r="L893" t="s">
        <v>246</v>
      </c>
      <c r="M893" t="s">
        <v>247</v>
      </c>
      <c r="N893" t="s">
        <v>74</v>
      </c>
      <c r="O893" t="s">
        <v>272</v>
      </c>
      <c r="P893" t="s">
        <v>2650</v>
      </c>
      <c r="Q893" t="s">
        <v>43</v>
      </c>
      <c r="R893">
        <v>5</v>
      </c>
      <c r="S893" s="15">
        <v>2407.9699999999998</v>
      </c>
      <c r="T893" s="4">
        <v>0.1</v>
      </c>
      <c r="U893" s="3" t="str">
        <f>IF(T893&lt;0, "negative_discount", IF(AND(T893&gt;0.5, T893&lt;=1), "high_discount", ""))</f>
        <v/>
      </c>
      <c r="V893" s="11">
        <v>10835.86</v>
      </c>
      <c r="W893" s="12">
        <v>10835.87</v>
      </c>
      <c r="X893" s="11">
        <v>6419.92</v>
      </c>
      <c r="Y893" s="11">
        <v>4415.9399999999996</v>
      </c>
      <c r="Z893" s="11">
        <f>ROUND(W893-X893,2)</f>
        <v>4415.95</v>
      </c>
      <c r="AA893" s="4">
        <f>IF(W893=0,0,Z893/W893)</f>
        <v>0.40753072895854225</v>
      </c>
      <c r="AB893" t="s">
        <v>151</v>
      </c>
      <c r="AC893" t="s">
        <v>67</v>
      </c>
      <c r="AD893" t="str">
        <f>IF(AND(E893="", T893&gt;=0, T893&lt;=0.5, K893&lt;&gt;"Unknown", Q893&lt;&gt;"Unknown"), "CLEAN", _xlfn.CONCAT("WARNING: ", IF(E893&lt;&gt;"","invalid_date",""), IF(T893&lt;0,"negative_discount",""), IF(AND(T893&gt;0.5,T893&lt;=1),"high_discount",""), IF(K893="Unknown","missing_region",""), IF(Q893="Unknown","missing_ship_mode","")))</f>
        <v>WARNING: invalid_date</v>
      </c>
      <c r="AE893" t="str">
        <f>IF(COUNTIF($AF$2:$AF$926,AF893)&gt;1,"DUPLICATE","UNIQUE")</f>
        <v>UNIQUE</v>
      </c>
      <c r="AF893" t="str">
        <f>A893&amp;"|"&amp;B893&amp;"|"&amp;H893&amp;"|"&amp;I893&amp;"|"&amp;R893&amp;"|"&amp;S893&amp;"|"&amp;V893</f>
        <v>ORD-2024-10892|2024-10-08|CUST-6647|Kabir Singh|5|2407.97|10835.86</v>
      </c>
      <c r="AG893" t="str">
        <f>IF(COUNTIF($A$2:$A$913,A893)&gt;1,"TRUE","FALSE")</f>
        <v>FALSE</v>
      </c>
    </row>
    <row r="894" spans="1:33">
      <c r="A894" t="s">
        <v>3384</v>
      </c>
      <c r="B894" t="s">
        <v>1378</v>
      </c>
      <c r="C894" t="s">
        <v>2851</v>
      </c>
      <c r="D894">
        <f>IF(OR(B894="", C894=""), "", (C894 - B894))</f>
        <v>6</v>
      </c>
      <c r="E894" t="str">
        <f>IF(C894&lt;B894, "INVALID: Ship date before order date", "")</f>
        <v/>
      </c>
      <c r="F894" t="str">
        <f>IF(B894="", "", TEXT(B894, "mmmm"))</f>
        <v>April</v>
      </c>
      <c r="G894">
        <f>IF(B894="", "", YEAR(B894))</f>
        <v>2025</v>
      </c>
      <c r="H894" t="s">
        <v>2651</v>
      </c>
      <c r="I894" t="s">
        <v>46</v>
      </c>
      <c r="J894" t="s">
        <v>36</v>
      </c>
      <c r="K894" t="s">
        <v>37</v>
      </c>
      <c r="L894" t="s">
        <v>226</v>
      </c>
      <c r="M894" t="s">
        <v>227</v>
      </c>
      <c r="N894" t="s">
        <v>74</v>
      </c>
      <c r="O894" t="s">
        <v>79</v>
      </c>
      <c r="P894" t="s">
        <v>2652</v>
      </c>
      <c r="Q894" t="s">
        <v>43</v>
      </c>
      <c r="R894">
        <v>1</v>
      </c>
      <c r="S894" s="15">
        <v>726.89</v>
      </c>
      <c r="T894" s="4">
        <v>0.2</v>
      </c>
      <c r="U894" s="3" t="str">
        <f>IF(T894&lt;0, "negative_discount", IF(AND(T894&gt;0.5, T894&lt;=1), "high_discount", ""))</f>
        <v/>
      </c>
      <c r="V894" s="11">
        <v>581.51</v>
      </c>
      <c r="W894" s="12">
        <v>581.51</v>
      </c>
      <c r="X894" s="11">
        <v>423.86</v>
      </c>
      <c r="Y894" s="11">
        <v>157.65</v>
      </c>
      <c r="Z894" s="11">
        <f>ROUND(W894-X894,2)</f>
        <v>157.65</v>
      </c>
      <c r="AA894" s="4">
        <f>IF(W894=0,0,Z894/W894)</f>
        <v>0.27110453818506991</v>
      </c>
      <c r="AB894" t="s">
        <v>31</v>
      </c>
      <c r="AC894" t="s">
        <v>32</v>
      </c>
      <c r="AD894" t="str">
        <f>IF(AND(E894="", T894&gt;=0, T894&lt;=0.5, K894&lt;&gt;"Unknown", Q894&lt;&gt;"Unknown"), "CLEAN", _xlfn.CONCAT("WARNING: ", IF(E894&lt;&gt;"","invalid_date",""), IF(T894&lt;0,"negative_discount",""), IF(AND(T894&gt;0.5,T894&lt;=1),"high_discount",""), IF(K894="Unknown","missing_region",""), IF(Q894="Unknown","missing_ship_mode","")))</f>
        <v>CLEAN</v>
      </c>
      <c r="AE894" t="str">
        <f>IF(COUNTIF($AF$2:$AF$926,AF894)&gt;1,"DUPLICATE","UNIQUE")</f>
        <v>UNIQUE</v>
      </c>
      <c r="AF894" t="str">
        <f>A894&amp;"|"&amp;B894&amp;"|"&amp;H894&amp;"|"&amp;I894&amp;"|"&amp;R894&amp;"|"&amp;S894&amp;"|"&amp;V894</f>
        <v>ORD-2025-10893|2025-04-12|CUST-5087|Isha Nair|1|726.89|581.51</v>
      </c>
      <c r="AG894" t="str">
        <f>IF(COUNTIF($A$2:$A$913,A894)&gt;1,"TRUE","FALSE")</f>
        <v>FALSE</v>
      </c>
    </row>
    <row r="895" spans="1:33">
      <c r="A895" t="s">
        <v>2653</v>
      </c>
      <c r="B895" t="s">
        <v>2789</v>
      </c>
      <c r="C895" t="s">
        <v>2673</v>
      </c>
      <c r="D895">
        <f>IF(OR(B895="", C895=""), "", (C895 - B895))</f>
        <v>2</v>
      </c>
      <c r="E895" t="str">
        <f>IF(C895&lt;B895, "INVALID: Ship date before order date", "")</f>
        <v/>
      </c>
      <c r="F895" t="str">
        <f>IF(B895="", "", TEXT(B895, "mmmm"))</f>
        <v>June</v>
      </c>
      <c r="G895">
        <f>IF(B895="", "", YEAR(B895))</f>
        <v>2024</v>
      </c>
      <c r="H895" t="s">
        <v>2654</v>
      </c>
      <c r="I895" t="s">
        <v>126</v>
      </c>
      <c r="J895" t="s">
        <v>89</v>
      </c>
      <c r="K895" t="s">
        <v>53</v>
      </c>
      <c r="L895" t="s">
        <v>171</v>
      </c>
      <c r="M895" t="s">
        <v>172</v>
      </c>
      <c r="N895" t="s">
        <v>40</v>
      </c>
      <c r="O895" t="s">
        <v>41</v>
      </c>
      <c r="P895" t="s">
        <v>2655</v>
      </c>
      <c r="Q895" t="s">
        <v>30</v>
      </c>
      <c r="R895">
        <v>3</v>
      </c>
      <c r="S895" s="15">
        <v>395.49</v>
      </c>
      <c r="T895" s="4">
        <v>0.05</v>
      </c>
      <c r="U895" s="3" t="str">
        <f>IF(T895&lt;0, "negative_discount", IF(AND(T895&gt;0.5, T895&lt;=1), "high_discount", ""))</f>
        <v/>
      </c>
      <c r="V895" s="11">
        <v>1127.1500000000001</v>
      </c>
      <c r="W895" s="12">
        <v>1127.1500000000001</v>
      </c>
      <c r="X895" s="11">
        <v>845.62</v>
      </c>
      <c r="Y895" s="11">
        <v>281.52999999999997</v>
      </c>
      <c r="Z895" s="11">
        <f>ROUND(W895-X895,2)</f>
        <v>281.52999999999997</v>
      </c>
      <c r="AA895" s="4">
        <f>IF(W895=0,0,Z895/W895)</f>
        <v>0.24977154770882309</v>
      </c>
      <c r="AB895" t="s">
        <v>31</v>
      </c>
      <c r="AC895" t="s">
        <v>100</v>
      </c>
      <c r="AD895" t="str">
        <f>IF(AND(E895="", T895&gt;=0, T895&lt;=0.5, K895&lt;&gt;"Unknown", Q895&lt;&gt;"Unknown"), "CLEAN", _xlfn.CONCAT("WARNING: ", IF(E895&lt;&gt;"","invalid_date",""), IF(T895&lt;0,"negative_discount",""), IF(AND(T895&gt;0.5,T895&lt;=1),"high_discount",""), IF(K895="Unknown","missing_region",""), IF(Q895="Unknown","missing_ship_mode","")))</f>
        <v>CLEAN</v>
      </c>
      <c r="AE895" t="str">
        <f>IF(COUNTIF($AF$2:$AF$926,AF895)&gt;1,"DUPLICATE","UNIQUE")</f>
        <v>UNIQUE</v>
      </c>
      <c r="AF895" t="str">
        <f>A895&amp;"|"&amp;B895&amp;"|"&amp;H895&amp;"|"&amp;I895&amp;"|"&amp;R895&amp;"|"&amp;S895&amp;"|"&amp;V895</f>
        <v>ORD-2024-10894|2024-06-06|CUST-9297|Aarav Sharma|3|395.49|1127.15</v>
      </c>
      <c r="AG895" t="str">
        <f>IF(COUNTIF($A$2:$A$913,A895)&gt;1,"TRUE","FALSE")</f>
        <v>FALSE</v>
      </c>
    </row>
    <row r="896" spans="1:33">
      <c r="A896" t="s">
        <v>2656</v>
      </c>
      <c r="B896" t="s">
        <v>1842</v>
      </c>
      <c r="C896" t="s">
        <v>2932</v>
      </c>
      <c r="D896">
        <f>IF(OR(B896="", C896=""), "", (C896 - B896))</f>
        <v>7</v>
      </c>
      <c r="E896" t="str">
        <f>IF(C896&lt;B896, "INVALID: Ship date before order date", "")</f>
        <v/>
      </c>
      <c r="F896" t="str">
        <f>IF(B896="", "", TEXT(B896, "mmmm"))</f>
        <v>February</v>
      </c>
      <c r="G896">
        <f>IF(B896="", "", YEAR(B896))</f>
        <v>2024</v>
      </c>
      <c r="H896" t="s">
        <v>2657</v>
      </c>
      <c r="I896" t="s">
        <v>46</v>
      </c>
      <c r="J896" t="s">
        <v>93</v>
      </c>
      <c r="K896" t="s">
        <v>53</v>
      </c>
      <c r="L896" t="s">
        <v>54</v>
      </c>
      <c r="M896" t="s">
        <v>55</v>
      </c>
      <c r="N896" t="s">
        <v>40</v>
      </c>
      <c r="O896" t="s">
        <v>41</v>
      </c>
      <c r="P896" t="s">
        <v>2658</v>
      </c>
      <c r="Q896" t="s">
        <v>49</v>
      </c>
      <c r="R896">
        <v>6</v>
      </c>
      <c r="S896" s="15">
        <v>4254.05</v>
      </c>
      <c r="T896" s="4">
        <v>0</v>
      </c>
      <c r="U896" s="3" t="str">
        <f>IF(T896&lt;0, "negative_discount", IF(AND(T896&gt;0.5, T896&lt;=1), "high_discount", ""))</f>
        <v/>
      </c>
      <c r="V896" s="11">
        <v>25524.3</v>
      </c>
      <c r="W896" s="12">
        <v>25524.3</v>
      </c>
      <c r="X896" s="11">
        <v>16711.93</v>
      </c>
      <c r="Y896" s="11">
        <v>8812.3700000000008</v>
      </c>
      <c r="Z896" s="11">
        <f>ROUND(W896-X896,2)</f>
        <v>8812.3700000000008</v>
      </c>
      <c r="AA896" s="4">
        <f>IF(W896=0,0,Z896/W896)</f>
        <v>0.34525413037771852</v>
      </c>
      <c r="AB896" t="s">
        <v>31</v>
      </c>
      <c r="AC896" t="s">
        <v>32</v>
      </c>
      <c r="AD896" t="str">
        <f>IF(AND(E896="", T896&gt;=0, T896&lt;=0.5, K896&lt;&gt;"Unknown", Q896&lt;&gt;"Unknown"), "CLEAN", _xlfn.CONCAT("WARNING: ", IF(E896&lt;&gt;"","invalid_date",""), IF(T896&lt;0,"negative_discount",""), IF(AND(T896&gt;0.5,T896&lt;=1),"high_discount",""), IF(K896="Unknown","missing_region",""), IF(Q896="Unknown","missing_ship_mode","")))</f>
        <v>CLEAN</v>
      </c>
      <c r="AE896" t="str">
        <f>IF(COUNTIF($AF$2:$AF$926,AF896)&gt;1,"DUPLICATE","UNIQUE")</f>
        <v>UNIQUE</v>
      </c>
      <c r="AF896" t="str">
        <f>A896&amp;"|"&amp;B896&amp;"|"&amp;H896&amp;"|"&amp;I896&amp;"|"&amp;R896&amp;"|"&amp;S896&amp;"|"&amp;V896</f>
        <v>ORD-2024-10895|2024-02-22|CUST-7996|Isha Nair|6|4254.05|25524.3</v>
      </c>
      <c r="AG896" t="str">
        <f>IF(COUNTIF($A$2:$A$913,A896)&gt;1,"TRUE","FALSE")</f>
        <v>FALSE</v>
      </c>
    </row>
    <row r="897" spans="1:33">
      <c r="A897" t="s">
        <v>2659</v>
      </c>
      <c r="B897" t="s">
        <v>867</v>
      </c>
      <c r="C897" t="s">
        <v>2681</v>
      </c>
      <c r="D897">
        <f>IF(OR(B897="", C897=""), "", (C897 - B897))</f>
        <v>5</v>
      </c>
      <c r="E897" t="str">
        <f>IF(C897&lt;B897, "INVALID: Ship date before order date", "")</f>
        <v/>
      </c>
      <c r="F897" t="str">
        <f>IF(B897="", "", TEXT(B897, "mmmm"))</f>
        <v>November</v>
      </c>
      <c r="G897">
        <f>IF(B897="", "", YEAR(B897))</f>
        <v>2024</v>
      </c>
      <c r="H897" t="s">
        <v>2660</v>
      </c>
      <c r="I897" t="s">
        <v>52</v>
      </c>
      <c r="J897" t="s">
        <v>23</v>
      </c>
      <c r="K897" t="s">
        <v>53</v>
      </c>
      <c r="L897" t="s">
        <v>180</v>
      </c>
      <c r="M897" t="s">
        <v>181</v>
      </c>
      <c r="N897" t="s">
        <v>40</v>
      </c>
      <c r="O897" t="s">
        <v>65</v>
      </c>
      <c r="P897" t="s">
        <v>2661</v>
      </c>
      <c r="Q897" t="s">
        <v>43</v>
      </c>
      <c r="R897">
        <v>4</v>
      </c>
      <c r="S897" s="15">
        <v>711.18</v>
      </c>
      <c r="T897" s="4">
        <v>0.15</v>
      </c>
      <c r="U897" s="3" t="str">
        <f>IF(T897&lt;0, "negative_discount", IF(AND(T897&gt;0.5, T897&lt;=1), "high_discount", ""))</f>
        <v/>
      </c>
      <c r="V897" s="11">
        <v>2418.0100000000002</v>
      </c>
      <c r="W897" s="12">
        <v>2418.0100000000002</v>
      </c>
      <c r="X897" s="11">
        <v>1441.89</v>
      </c>
      <c r="Y897" s="11">
        <v>976.12</v>
      </c>
      <c r="Z897" s="11">
        <f>ROUND(W897-X897,2)</f>
        <v>976.12</v>
      </c>
      <c r="AA897" s="4">
        <f>IF(W897=0,0,Z897/W897)</f>
        <v>0.40368732966364901</v>
      </c>
      <c r="AB897" t="s">
        <v>109</v>
      </c>
      <c r="AC897" t="s">
        <v>100</v>
      </c>
      <c r="AD897" t="str">
        <f>IF(AND(E897="", T897&gt;=0, T897&lt;=0.5, K897&lt;&gt;"Unknown", Q897&lt;&gt;"Unknown"), "CLEAN", _xlfn.CONCAT("WARNING: ", IF(E897&lt;&gt;"","invalid_date",""), IF(T897&lt;0,"negative_discount",""), IF(AND(T897&gt;0.5,T897&lt;=1),"high_discount",""), IF(K897="Unknown","missing_region",""), IF(Q897="Unknown","missing_ship_mode","")))</f>
        <v>CLEAN</v>
      </c>
      <c r="AE897" t="str">
        <f>IF(COUNTIF($AF$2:$AF$926,AF897)&gt;1,"DUPLICATE","UNIQUE")</f>
        <v>UNIQUE</v>
      </c>
      <c r="AF897" t="str">
        <f>A897&amp;"|"&amp;B897&amp;"|"&amp;H897&amp;"|"&amp;I897&amp;"|"&amp;R897&amp;"|"&amp;S897&amp;"|"&amp;V897</f>
        <v>ORD-2024-10896|2024-11-05|CUST-4117|Arjun Bose|4|711.18|2418.01</v>
      </c>
      <c r="AG897" t="str">
        <f>IF(COUNTIF($A$2:$A$913,A897)&gt;1,"TRUE","FALSE")</f>
        <v>FALSE</v>
      </c>
    </row>
    <row r="898" spans="1:33">
      <c r="A898" t="s">
        <v>2662</v>
      </c>
      <c r="B898" t="s">
        <v>2896</v>
      </c>
      <c r="C898" t="s">
        <v>2819</v>
      </c>
      <c r="D898">
        <f>IF(OR(B898="", C898=""), "", (C898 - B898))</f>
        <v>1</v>
      </c>
      <c r="E898" t="str">
        <f>IF(C898&lt;B898, "INVALID: Ship date before order date", "")</f>
        <v/>
      </c>
      <c r="F898" t="str">
        <f>IF(B898="", "", TEXT(B898, "mmmm"))</f>
        <v>December</v>
      </c>
      <c r="G898">
        <f>IF(B898="", "", YEAR(B898))</f>
        <v>2024</v>
      </c>
      <c r="H898" t="s">
        <v>2663</v>
      </c>
      <c r="I898" t="s">
        <v>61</v>
      </c>
      <c r="J898" t="s">
        <v>36</v>
      </c>
      <c r="K898" t="s">
        <v>53</v>
      </c>
      <c r="L898" t="s">
        <v>246</v>
      </c>
      <c r="M898" t="s">
        <v>247</v>
      </c>
      <c r="N898" t="s">
        <v>74</v>
      </c>
      <c r="O898" t="s">
        <v>79</v>
      </c>
      <c r="P898" t="s">
        <v>2664</v>
      </c>
      <c r="Q898" t="s">
        <v>30</v>
      </c>
      <c r="R898">
        <v>1</v>
      </c>
      <c r="S898" s="15">
        <v>3693.03</v>
      </c>
      <c r="T898" s="4">
        <v>0.05</v>
      </c>
      <c r="U898" s="3" t="str">
        <f>IF(T898&lt;0, "negative_discount", IF(AND(T898&gt;0.5, T898&lt;=1), "high_discount", ""))</f>
        <v/>
      </c>
      <c r="V898" s="11">
        <v>3508.38</v>
      </c>
      <c r="W898" s="12">
        <v>3508.38</v>
      </c>
      <c r="X898" s="11">
        <v>2828.06</v>
      </c>
      <c r="Y898" s="11">
        <v>680.32</v>
      </c>
      <c r="Z898" s="11">
        <f>ROUND(W898-X898,2)</f>
        <v>680.32</v>
      </c>
      <c r="AA898" s="4">
        <f>IF(W898=0,0,Z898/W898)</f>
        <v>0.19391286006646943</v>
      </c>
      <c r="AB898" t="s">
        <v>151</v>
      </c>
      <c r="AC898" t="s">
        <v>100</v>
      </c>
      <c r="AD898" t="str">
        <f>IF(AND(E898="", T898&gt;=0, T898&lt;=0.5, K898&lt;&gt;"Unknown", Q898&lt;&gt;"Unknown"), "CLEAN", _xlfn.CONCAT("WARNING: ", IF(E898&lt;&gt;"","invalid_date",""), IF(T898&lt;0,"negative_discount",""), IF(AND(T898&gt;0.5,T898&lt;=1),"high_discount",""), IF(K898="Unknown","missing_region",""), IF(Q898="Unknown","missing_ship_mode","")))</f>
        <v>CLEAN</v>
      </c>
      <c r="AE898" t="str">
        <f>IF(COUNTIF($AF$2:$AF$926,AF898)&gt;1,"DUPLICATE","UNIQUE")</f>
        <v>UNIQUE</v>
      </c>
      <c r="AF898" t="str">
        <f>A898&amp;"|"&amp;B898&amp;"|"&amp;H898&amp;"|"&amp;I898&amp;"|"&amp;R898&amp;"|"&amp;S898&amp;"|"&amp;V898</f>
        <v>ORD-2024-10897|2024-12-24|CUST-4848|Ananya Rao|1|3693.03|3508.38</v>
      </c>
      <c r="AG898" t="str">
        <f>IF(COUNTIF($A$2:$A$913,A898)&gt;1,"TRUE","FALSE")</f>
        <v>FALSE</v>
      </c>
    </row>
    <row r="899" spans="1:33">
      <c r="A899" t="s">
        <v>3385</v>
      </c>
      <c r="B899" t="s">
        <v>1274</v>
      </c>
      <c r="C899" t="s">
        <v>896</v>
      </c>
      <c r="D899">
        <f>IF(OR(B899="", C899=""), "", (C899 - B899))</f>
        <v>4</v>
      </c>
      <c r="E899" t="str">
        <f>IF(C899&lt;B899, "INVALID: Ship date before order date", "")</f>
        <v/>
      </c>
      <c r="F899" t="str">
        <f>IF(B899="", "", TEXT(B899, "mmmm"))</f>
        <v>April</v>
      </c>
      <c r="G899">
        <f>IF(B899="", "", YEAR(B899))</f>
        <v>2025</v>
      </c>
      <c r="H899" t="s">
        <v>2080</v>
      </c>
      <c r="I899" t="s">
        <v>139</v>
      </c>
      <c r="J899" t="s">
        <v>89</v>
      </c>
      <c r="K899" t="s">
        <v>24</v>
      </c>
      <c r="L899" t="s">
        <v>234</v>
      </c>
      <c r="M899" t="s">
        <v>235</v>
      </c>
      <c r="N899" t="s">
        <v>27</v>
      </c>
      <c r="O899" t="s">
        <v>28</v>
      </c>
      <c r="P899" t="s">
        <v>2665</v>
      </c>
      <c r="Q899" t="s">
        <v>49</v>
      </c>
      <c r="R899">
        <v>4</v>
      </c>
      <c r="S899" s="15">
        <v>1786.65</v>
      </c>
      <c r="T899" s="4">
        <v>0.05</v>
      </c>
      <c r="U899" s="3" t="str">
        <f>IF(T899&lt;0, "negative_discount", IF(AND(T899&gt;0.5, T899&lt;=1), "high_discount", ""))</f>
        <v/>
      </c>
      <c r="V899" s="11">
        <v>6789.27</v>
      </c>
      <c r="W899" s="12">
        <v>6789.27</v>
      </c>
      <c r="X899" s="11">
        <v>5626.43</v>
      </c>
      <c r="Y899" s="11">
        <v>1162.8399999999999</v>
      </c>
      <c r="Z899" s="11">
        <f>ROUND(W899-X899,2)</f>
        <v>1162.8399999999999</v>
      </c>
      <c r="AA899" s="4">
        <f>IF(W899=0,0,Z899/W899)</f>
        <v>0.17127614603631905</v>
      </c>
      <c r="AB899" t="s">
        <v>31</v>
      </c>
      <c r="AC899" t="s">
        <v>32</v>
      </c>
      <c r="AD899" t="str">
        <f>IF(AND(E899="", T899&gt;=0, T899&lt;=0.5, K899&lt;&gt;"Unknown", Q899&lt;&gt;"Unknown"), "CLEAN", _xlfn.CONCAT("WARNING: ", IF(E899&lt;&gt;"","invalid_date",""), IF(T899&lt;0,"negative_discount",""), IF(AND(T899&gt;0.5,T899&lt;=1),"high_discount",""), IF(K899="Unknown","missing_region",""), IF(Q899="Unknown","missing_ship_mode","")))</f>
        <v>CLEAN</v>
      </c>
      <c r="AE899" t="str">
        <f>IF(COUNTIF($AF$2:$AF$926,AF899)&gt;1,"DUPLICATE","UNIQUE")</f>
        <v>UNIQUE</v>
      </c>
      <c r="AF899" t="str">
        <f>A899&amp;"|"&amp;B899&amp;"|"&amp;H899&amp;"|"&amp;I899&amp;"|"&amp;R899&amp;"|"&amp;S899&amp;"|"&amp;V899</f>
        <v>ORD-2025-10898|2025-04-29|CUST-2897|Rohan Mehta|4|1786.65|6789.27</v>
      </c>
      <c r="AG899" t="str">
        <f>IF(COUNTIF($A$2:$A$913,A899)&gt;1,"TRUE","FALSE")</f>
        <v>FALSE</v>
      </c>
    </row>
    <row r="900" spans="1:33">
      <c r="A900" t="s">
        <v>2666</v>
      </c>
      <c r="B900" t="s">
        <v>2381</v>
      </c>
      <c r="C900" t="s">
        <v>2673</v>
      </c>
      <c r="D900">
        <f>IF(OR(B900="", C900=""), "", (C900 - B900))</f>
        <v>6</v>
      </c>
      <c r="E900" t="str">
        <f>IF(C900&lt;B900, "INVALID: Ship date before order date", "")</f>
        <v/>
      </c>
      <c r="F900" t="str">
        <f>IF(B900="", "", TEXT(B900, "mmmm"))</f>
        <v>June</v>
      </c>
      <c r="G900">
        <f>IF(B900="", "", YEAR(B900))</f>
        <v>2024</v>
      </c>
      <c r="H900" t="s">
        <v>2667</v>
      </c>
      <c r="I900" t="s">
        <v>71</v>
      </c>
      <c r="J900" t="s">
        <v>23</v>
      </c>
      <c r="K900" t="s">
        <v>24</v>
      </c>
      <c r="L900" t="s">
        <v>353</v>
      </c>
      <c r="M900" t="s">
        <v>354</v>
      </c>
      <c r="N900" t="s">
        <v>40</v>
      </c>
      <c r="O900" t="s">
        <v>41</v>
      </c>
      <c r="P900" t="s">
        <v>2668</v>
      </c>
      <c r="Q900" t="s">
        <v>49</v>
      </c>
      <c r="R900">
        <v>4</v>
      </c>
      <c r="S900" s="15">
        <v>1536.7</v>
      </c>
      <c r="T900" s="4">
        <v>0.2</v>
      </c>
      <c r="U900" s="3" t="str">
        <f>IF(T900&lt;0, "negative_discount", IF(AND(T900&gt;0.5, T900&lt;=1), "high_discount", ""))</f>
        <v/>
      </c>
      <c r="V900" s="11">
        <v>4917.4399999999996</v>
      </c>
      <c r="W900" s="12">
        <v>4917.4399999999996</v>
      </c>
      <c r="X900" s="11">
        <v>3846.77</v>
      </c>
      <c r="Y900" s="11">
        <v>1070.67</v>
      </c>
      <c r="Z900" s="11">
        <f>ROUND(W900-X900,2)</f>
        <v>1070.67</v>
      </c>
      <c r="AA900" s="4">
        <f>IF(W900=0,0,Z900/W900)</f>
        <v>0.21772914361944429</v>
      </c>
      <c r="AB900" t="s">
        <v>31</v>
      </c>
      <c r="AC900" t="s">
        <v>32</v>
      </c>
      <c r="AD900" t="str">
        <f>IF(AND(E900="", T900&gt;=0, T900&lt;=0.5, K900&lt;&gt;"Unknown", Q900&lt;&gt;"Unknown"), "CLEAN", _xlfn.CONCAT("WARNING: ", IF(E900&lt;&gt;"","invalid_date",""), IF(T900&lt;0,"negative_discount",""), IF(AND(T900&gt;0.5,T900&lt;=1),"high_discount",""), IF(K900="Unknown","missing_region",""), IF(Q900="Unknown","missing_ship_mode","")))</f>
        <v>CLEAN</v>
      </c>
      <c r="AE900" t="str">
        <f>IF(COUNTIF($AF$2:$AF$926,AF900)&gt;1,"DUPLICATE","UNIQUE")</f>
        <v>UNIQUE</v>
      </c>
      <c r="AF900" t="str">
        <f>A900&amp;"|"&amp;B900&amp;"|"&amp;H900&amp;"|"&amp;I900&amp;"|"&amp;R900&amp;"|"&amp;S900&amp;"|"&amp;V900</f>
        <v>ORD-2024-10899|2024-06-02|CUST-6046|Vikram Iyer|4|1536.7|4917.44</v>
      </c>
      <c r="AG900" t="str">
        <f>IF(COUNTIF($A$2:$A$913,A900)&gt;1,"TRUE","FALSE")</f>
        <v>FALSE</v>
      </c>
    </row>
    <row r="901" spans="1:33">
      <c r="A901" t="s">
        <v>3386</v>
      </c>
      <c r="B901" t="s">
        <v>2777</v>
      </c>
      <c r="C901" t="s">
        <v>2840</v>
      </c>
      <c r="D901">
        <f>IF(OR(B901="", C901=""), "", (C901 - B901))</f>
        <v>7</v>
      </c>
      <c r="E901" t="str">
        <f>IF(C901&lt;B901, "INVALID: Ship date before order date", "")</f>
        <v/>
      </c>
      <c r="F901" t="str">
        <f>IF(B901="", "", TEXT(B901, "mmmm"))</f>
        <v>May</v>
      </c>
      <c r="G901">
        <f>IF(B901="", "", YEAR(B901))</f>
        <v>2025</v>
      </c>
      <c r="H901" t="s">
        <v>2669</v>
      </c>
      <c r="I901" t="s">
        <v>22</v>
      </c>
      <c r="J901" t="s">
        <v>23</v>
      </c>
      <c r="K901" t="s">
        <v>24</v>
      </c>
      <c r="L901" t="s">
        <v>120</v>
      </c>
      <c r="M901" t="s">
        <v>121</v>
      </c>
      <c r="N901" t="s">
        <v>40</v>
      </c>
      <c r="O901" t="s">
        <v>65</v>
      </c>
      <c r="P901" t="s">
        <v>2670</v>
      </c>
      <c r="Q901" t="s">
        <v>49</v>
      </c>
      <c r="R901">
        <v>5</v>
      </c>
      <c r="S901" s="15">
        <v>881.08</v>
      </c>
      <c r="T901" s="4">
        <v>0.25</v>
      </c>
      <c r="U901" s="3" t="str">
        <f>IF(T901&lt;0, "negative_discount", IF(AND(T901&gt;0.5, T901&lt;=1), "high_discount", ""))</f>
        <v/>
      </c>
      <c r="V901" s="11">
        <v>3304.05</v>
      </c>
      <c r="W901" s="12">
        <v>3304.05</v>
      </c>
      <c r="X901" s="11">
        <v>2279.41</v>
      </c>
      <c r="Y901" s="11">
        <v>1024.6400000000001</v>
      </c>
      <c r="Z901" s="11">
        <f>ROUND(W901-X901,2)</f>
        <v>1024.6400000000001</v>
      </c>
      <c r="AA901" s="4">
        <f>IF(W901=0,0,Z901/W901)</f>
        <v>0.3101163723309272</v>
      </c>
      <c r="AB901" t="s">
        <v>151</v>
      </c>
      <c r="AC901" t="s">
        <v>67</v>
      </c>
      <c r="AD901" t="str">
        <f>IF(AND(E901="", T901&gt;=0, T901&lt;=0.5, K901&lt;&gt;"Unknown", Q901&lt;&gt;"Unknown"), "CLEAN", _xlfn.CONCAT("WARNING: ", IF(E901&lt;&gt;"","invalid_date",""), IF(T901&lt;0,"negative_discount",""), IF(AND(T901&gt;0.5,T901&lt;=1),"high_discount",""), IF(K901="Unknown","missing_region",""), IF(Q901="Unknown","missing_ship_mode","")))</f>
        <v>CLEAN</v>
      </c>
      <c r="AE901" t="str">
        <f>IF(COUNTIF($AF$2:$AF$926,AF901)&gt;1,"DUPLICATE","UNIQUE")</f>
        <v>UNIQUE</v>
      </c>
      <c r="AF901" t="str">
        <f>A901&amp;"|"&amp;B901&amp;"|"&amp;H901&amp;"|"&amp;I901&amp;"|"&amp;R901&amp;"|"&amp;S901&amp;"|"&amp;V901</f>
        <v>ORD-2025-10900|2025-05-27|CUST-3789|Karan Malhotra|5|881.08|3304.05</v>
      </c>
      <c r="AG901" t="str">
        <f>IF(COUNTIF($A$2:$A$913,A901)&gt;1,"TRUE","FALSE")</f>
        <v>FALSE</v>
      </c>
    </row>
    <row r="902" spans="1:33">
      <c r="A902" t="s">
        <v>1084</v>
      </c>
      <c r="B902" t="s">
        <v>1304</v>
      </c>
      <c r="C902" t="s">
        <v>1085</v>
      </c>
      <c r="D902">
        <f>IF(OR(B902="", C902=""), "", (C902 - B902))</f>
        <v>238</v>
      </c>
      <c r="E902" t="str">
        <f>IF(C902&lt;B902, "INVALID: Ship date before order date", "")</f>
        <v/>
      </c>
      <c r="F902" t="str">
        <f>IF(B902="", "", TEXT(B902, "mmmm"))</f>
        <v>April</v>
      </c>
      <c r="G902">
        <f>IF(B902="", "", YEAR(B902))</f>
        <v>2024</v>
      </c>
      <c r="H902" t="s">
        <v>1086</v>
      </c>
      <c r="I902" t="s">
        <v>131</v>
      </c>
      <c r="J902" t="s">
        <v>93</v>
      </c>
      <c r="K902" t="s">
        <v>37</v>
      </c>
      <c r="L902" t="s">
        <v>38</v>
      </c>
      <c r="M902" t="s">
        <v>39</v>
      </c>
      <c r="N902" t="s">
        <v>27</v>
      </c>
      <c r="O902" t="s">
        <v>149</v>
      </c>
      <c r="P902" t="s">
        <v>1087</v>
      </c>
      <c r="Q902" t="s">
        <v>30</v>
      </c>
      <c r="R902">
        <v>4</v>
      </c>
      <c r="S902" s="15">
        <v>2685.66</v>
      </c>
      <c r="T902" s="4">
        <v>0</v>
      </c>
      <c r="U902" s="3" t="str">
        <f>IF(T902&lt;0, "negative_discount", IF(AND(T902&gt;0.5, T902&lt;=1), "high_discount", ""))</f>
        <v/>
      </c>
      <c r="V902" s="11">
        <v>10989.89</v>
      </c>
      <c r="W902" s="12">
        <v>10742.64</v>
      </c>
      <c r="X902" s="11">
        <v>6477.37</v>
      </c>
      <c r="Y902" s="11">
        <v>4265.2700000000004</v>
      </c>
      <c r="Z902" s="11">
        <f>ROUND(W902-X902,2)</f>
        <v>4265.2700000000004</v>
      </c>
      <c r="AA902" s="4">
        <f>IF(W902=0,0,Z902/W902)</f>
        <v>0.3970411370017054</v>
      </c>
      <c r="AB902" t="s">
        <v>31</v>
      </c>
      <c r="AC902" t="s">
        <v>32</v>
      </c>
      <c r="AD902" t="str">
        <f>IF(AND(E902="", T902&gt;=0, T902&lt;=0.5, K902&lt;&gt;"Unknown", Q902&lt;&gt;"Unknown"), "CLEAN", _xlfn.CONCAT("WARNING: ", IF(E902&lt;&gt;"","invalid_date",""), IF(T902&lt;0,"negative_discount",""), IF(AND(T902&gt;0.5,T902&lt;=1),"high_discount",""), IF(K902="Unknown","missing_region",""), IF(Q902="Unknown","missing_ship_mode","")))</f>
        <v>CLEAN</v>
      </c>
      <c r="AE902" t="str">
        <f>IF(COUNTIF($AF$2:$AF$926,AF902)&gt;1,"DUPLICATE","UNIQUE")</f>
        <v>UNIQUE</v>
      </c>
      <c r="AF902" t="str">
        <f>A902&amp;"|"&amp;B902&amp;"|"&amp;H902&amp;"|"&amp;I902&amp;"|"&amp;R902&amp;"|"&amp;S902&amp;"|"&amp;V902</f>
        <v>ORD-2024-10332|2024-04-12|CUST-9346|Sneha Kapoor|4|2685.66|10989.89</v>
      </c>
      <c r="AG902" t="str">
        <f>IF(COUNTIF($A$2:$A$913,A902)&gt;1,"TRUE","FALSE")</f>
        <v>TRUE</v>
      </c>
    </row>
    <row r="903" spans="1:33" ht="14" customHeight="1">
      <c r="A903" s="7" t="s">
        <v>3007</v>
      </c>
      <c r="B903" t="s">
        <v>519</v>
      </c>
      <c r="C903" t="s">
        <v>2674</v>
      </c>
      <c r="D903">
        <f>IF(OR(B903="", C903=""), "", (C903 - B903))</f>
        <v>5</v>
      </c>
      <c r="E903" t="str">
        <f>IF(C903&lt;B903, "INVALID: Ship date before order date", "")</f>
        <v/>
      </c>
      <c r="F903" t="str">
        <f>IF(B903="", "", TEXT(B903, "mmmm"))</f>
        <v>August</v>
      </c>
      <c r="G903">
        <f>IF(B903="", "", YEAR(B903))</f>
        <v>2025</v>
      </c>
      <c r="H903" t="s">
        <v>386</v>
      </c>
      <c r="I903" t="s">
        <v>126</v>
      </c>
      <c r="J903" t="s">
        <v>36</v>
      </c>
      <c r="K903" t="s">
        <v>37</v>
      </c>
      <c r="L903" t="s">
        <v>142</v>
      </c>
      <c r="M903" t="s">
        <v>143</v>
      </c>
      <c r="N903" t="s">
        <v>74</v>
      </c>
      <c r="O903" t="s">
        <v>79</v>
      </c>
      <c r="P903" t="s">
        <v>387</v>
      </c>
      <c r="Q903" t="s">
        <v>49</v>
      </c>
      <c r="R903">
        <v>3</v>
      </c>
      <c r="S903" s="15">
        <v>3703.96</v>
      </c>
      <c r="T903" s="4">
        <v>0</v>
      </c>
      <c r="U903" s="3" t="str">
        <f>IF(T903&lt;0, "negative_discount", IF(AND(T903&gt;0.5, T903&lt;=1), "high_discount", ""))</f>
        <v/>
      </c>
      <c r="V903" s="11">
        <v>9549.44</v>
      </c>
      <c r="W903" s="12">
        <v>11111.88</v>
      </c>
      <c r="X903" s="11">
        <v>5586.28</v>
      </c>
      <c r="Y903" s="11">
        <v>3858.82</v>
      </c>
      <c r="Z903" s="11">
        <f>ROUND(W903-X903,2)</f>
        <v>5525.6</v>
      </c>
      <c r="AA903" s="4">
        <f>IF(W903=0,0,Z903/W903)</f>
        <v>0.49726958894444512</v>
      </c>
      <c r="AB903" t="s">
        <v>31</v>
      </c>
      <c r="AC903" t="s">
        <v>100</v>
      </c>
      <c r="AD903" t="str">
        <f>IF(AND(E903="", T903&gt;=0, T903&lt;=0.5, K903&lt;&gt;"Unknown", Q903&lt;&gt;"Unknown"), "CLEAN", _xlfn.CONCAT("WARNING: ", IF(E903&lt;&gt;"","invalid_date",""), IF(T903&lt;0,"negative_discount",""), IF(AND(T903&gt;0.5,T903&lt;=1),"high_discount",""), IF(K903="Unknown","missing_region",""), IF(Q903="Unknown","missing_ship_mode","")))</f>
        <v>CLEAN</v>
      </c>
      <c r="AE903" t="str">
        <f>IF(COUNTIF($AF$2:$AF$926,AF903)&gt;1,"DUPLICATE","UNIQUE")</f>
        <v>UNIQUE</v>
      </c>
      <c r="AF903" t="str">
        <f>A903&amp;"|"&amp;B903&amp;"|"&amp;H903&amp;"|"&amp;I903&amp;"|"&amp;R903&amp;"|"&amp;S903&amp;"|"&amp;V903</f>
        <v>ORD-2025-10091|2025-08-24|CUST-5909|Aarav Sharma|3|3703.96|9549.44</v>
      </c>
      <c r="AG903" t="str">
        <f>IF(COUNTIF($A$2:$A$913,A903)&gt;1,"TRUE","FALSE")</f>
        <v>TRUE</v>
      </c>
    </row>
    <row r="904" spans="1:33">
      <c r="A904" t="s">
        <v>3142</v>
      </c>
      <c r="B904" t="s">
        <v>1202</v>
      </c>
      <c r="C904" t="s">
        <v>1202</v>
      </c>
      <c r="D904">
        <f>IF(OR(B904="", C904=""), "", (C904 - B904))</f>
        <v>0</v>
      </c>
      <c r="E904" t="str">
        <f>IF(C904&lt;B904, "INVALID: Ship date before order date", "")</f>
        <v/>
      </c>
      <c r="F904" t="str">
        <f>IF(B904="", "", TEXT(B904, "mmmm"))</f>
        <v>April</v>
      </c>
      <c r="G904">
        <f>IF(B904="", "", YEAR(B904))</f>
        <v>2025</v>
      </c>
      <c r="H904" t="s">
        <v>1203</v>
      </c>
      <c r="I904" t="s">
        <v>131</v>
      </c>
      <c r="J904" t="s">
        <v>36</v>
      </c>
      <c r="K904" t="s">
        <v>24</v>
      </c>
      <c r="L904" t="s">
        <v>134</v>
      </c>
      <c r="M904" t="s">
        <v>135</v>
      </c>
      <c r="N904" t="s">
        <v>27</v>
      </c>
      <c r="O904" t="s">
        <v>122</v>
      </c>
      <c r="P904" t="s">
        <v>1204</v>
      </c>
      <c r="Q904" t="s">
        <v>30</v>
      </c>
      <c r="R904">
        <v>9</v>
      </c>
      <c r="S904" s="15">
        <v>1118.68</v>
      </c>
      <c r="T904" s="4">
        <v>0</v>
      </c>
      <c r="U904" s="3" t="str">
        <f>IF(T904&lt;0, "negative_discount", IF(AND(T904&gt;0.5, T904&lt;=1), "high_discount", ""))</f>
        <v/>
      </c>
      <c r="V904" s="11">
        <v>10348.43</v>
      </c>
      <c r="W904" s="12">
        <v>10068.120000000001</v>
      </c>
      <c r="X904" s="11">
        <v>8595.3700000000008</v>
      </c>
      <c r="Y904" s="11">
        <v>1472.75</v>
      </c>
      <c r="Z904" s="11">
        <f>ROUND(W904-X904,2)</f>
        <v>1472.75</v>
      </c>
      <c r="AA904" s="4">
        <f>IF(W904=0,0,Z904/W904)</f>
        <v>0.14627855051389932</v>
      </c>
      <c r="AB904" t="s">
        <v>31</v>
      </c>
      <c r="AC904" t="s">
        <v>100</v>
      </c>
      <c r="AD904" t="str">
        <f>IF(AND(E904="", T904&gt;=0, T904&lt;=0.5, K904&lt;&gt;"Unknown", Q904&lt;&gt;"Unknown"), "CLEAN", _xlfn.CONCAT("WARNING: ", IF(E904&lt;&gt;"","invalid_date",""), IF(T904&lt;0,"negative_discount",""), IF(AND(T904&gt;0.5,T904&lt;=1),"high_discount",""), IF(K904="Unknown","missing_region",""), IF(Q904="Unknown","missing_ship_mode","")))</f>
        <v>CLEAN</v>
      </c>
      <c r="AE904" t="str">
        <f>IF(COUNTIF($AF$2:$AF$926,AF904)&gt;1,"DUPLICATE","UNIQUE")</f>
        <v>UNIQUE</v>
      </c>
      <c r="AF904" t="str">
        <f>A904&amp;"|"&amp;B904&amp;"|"&amp;H904&amp;"|"&amp;I904&amp;"|"&amp;R904&amp;"|"&amp;S904&amp;"|"&amp;V904</f>
        <v>ORD-2025-10374|2025-04-13|CUST-8566|Sneha Kapoor|9|1118.68|10348.43</v>
      </c>
      <c r="AG904" t="str">
        <f>IF(COUNTIF($A$2:$A$913,A904)&gt;1,"TRUE","FALSE")</f>
        <v>TRUE</v>
      </c>
    </row>
    <row r="905" spans="1:33">
      <c r="A905" t="s">
        <v>3073</v>
      </c>
      <c r="B905" t="s">
        <v>2746</v>
      </c>
      <c r="C905" t="s">
        <v>2415</v>
      </c>
      <c r="D905">
        <f>IF(OR(B905="", C905=""), "", (C905 - B905))</f>
        <v>6</v>
      </c>
      <c r="E905" t="str">
        <f>IF(C905&lt;B905, "INVALID: Ship date before order date", "")</f>
        <v/>
      </c>
      <c r="F905" t="str">
        <f>IF(B905="", "", TEXT(B905, "mmmm"))</f>
        <v>October</v>
      </c>
      <c r="G905">
        <f>IF(B905="", "", YEAR(B905))</f>
        <v>2025</v>
      </c>
      <c r="H905" t="s">
        <v>770</v>
      </c>
      <c r="I905" t="s">
        <v>46</v>
      </c>
      <c r="J905" t="s">
        <v>36</v>
      </c>
      <c r="K905" t="s">
        <v>24</v>
      </c>
      <c r="L905" t="s">
        <v>120</v>
      </c>
      <c r="M905" t="s">
        <v>121</v>
      </c>
      <c r="N905" t="s">
        <v>40</v>
      </c>
      <c r="O905" t="s">
        <v>56</v>
      </c>
      <c r="P905" t="s">
        <v>771</v>
      </c>
      <c r="Q905" t="s">
        <v>58</v>
      </c>
      <c r="R905">
        <v>4</v>
      </c>
      <c r="S905" s="15">
        <v>3944.64</v>
      </c>
      <c r="T905" s="4">
        <v>0</v>
      </c>
      <c r="U905" s="3" t="str">
        <f>IF(T905&lt;0, "negative_discount", IF(AND(T905&gt;0.5, T905&lt;=1), "high_discount", ""))</f>
        <v/>
      </c>
      <c r="V905" s="11">
        <v>12116.89</v>
      </c>
      <c r="W905" s="12">
        <v>15778.56</v>
      </c>
      <c r="X905" s="11">
        <v>6682.92</v>
      </c>
      <c r="Y905" s="11">
        <v>5151</v>
      </c>
      <c r="Z905" s="11">
        <f>ROUND(W905-X905,2)</f>
        <v>9095.64</v>
      </c>
      <c r="AA905" s="4">
        <f>IF(W905=0,0,Z905/W905)</f>
        <v>0.5764556461426138</v>
      </c>
      <c r="AB905" t="s">
        <v>31</v>
      </c>
      <c r="AC905" t="s">
        <v>100</v>
      </c>
      <c r="AD905" t="str">
        <f>IF(AND(E905="", T905&gt;=0, T905&lt;=0.5, K905&lt;&gt;"Unknown", Q905&lt;&gt;"Unknown"), "CLEAN", _xlfn.CONCAT("WARNING: ", IF(E905&lt;&gt;"","invalid_date",""), IF(T905&lt;0,"negative_discount",""), IF(AND(T905&gt;0.5,T905&lt;=1),"high_discount",""), IF(K905="Unknown","missing_region",""), IF(Q905="Unknown","missing_ship_mode","")))</f>
        <v>CLEAN</v>
      </c>
      <c r="AE905" t="str">
        <f>IF(COUNTIF($AF$2:$AF$926,AF905)&gt;1,"DUPLICATE","UNIQUE")</f>
        <v>UNIQUE</v>
      </c>
      <c r="AF905" t="str">
        <f>A905&amp;"|"&amp;B905&amp;"|"&amp;H905&amp;"|"&amp;I905&amp;"|"&amp;R905&amp;"|"&amp;S905&amp;"|"&amp;V905</f>
        <v>ORD-2025-10225|2025-10-02|CUST-9871|Isha Nair|4|3944.64|12116.89</v>
      </c>
      <c r="AG905" t="str">
        <f>IF(COUNTIF($A$2:$A$913,A905)&gt;1,"TRUE","FALSE")</f>
        <v>TRUE</v>
      </c>
    </row>
    <row r="906" spans="1:33">
      <c r="A906" t="s">
        <v>3113</v>
      </c>
      <c r="B906" t="s">
        <v>1078</v>
      </c>
      <c r="C906" t="s">
        <v>2536</v>
      </c>
      <c r="D906">
        <f>IF(OR(B906="", C906=""), "", (C906 - B906))</f>
        <v>2</v>
      </c>
      <c r="E906" t="str">
        <f>IF(C906&lt;B906, "INVALID: Ship date before order date", "")</f>
        <v/>
      </c>
      <c r="F906" t="str">
        <f>IF(B906="", "", TEXT(B906, "mmmm"))</f>
        <v>May</v>
      </c>
      <c r="G906">
        <f>IF(B906="", "", YEAR(B906))</f>
        <v>2025</v>
      </c>
      <c r="H906" t="s">
        <v>1034</v>
      </c>
      <c r="I906" t="s">
        <v>46</v>
      </c>
      <c r="J906" t="s">
        <v>89</v>
      </c>
      <c r="K906" t="s">
        <v>62</v>
      </c>
      <c r="L906" t="s">
        <v>72</v>
      </c>
      <c r="M906" t="s">
        <v>73</v>
      </c>
      <c r="N906" t="s">
        <v>27</v>
      </c>
      <c r="O906" t="s">
        <v>90</v>
      </c>
      <c r="P906" t="s">
        <v>1035</v>
      </c>
      <c r="Q906" t="s">
        <v>58</v>
      </c>
      <c r="R906">
        <v>9</v>
      </c>
      <c r="S906" s="15">
        <v>847.76</v>
      </c>
      <c r="T906" s="4">
        <v>0</v>
      </c>
      <c r="U906" s="3" t="str">
        <f>IF(T906&lt;0, "negative_discount", IF(AND(T906&gt;0.5, T906&lt;=1), "high_discount", ""))</f>
        <v/>
      </c>
      <c r="V906" s="11">
        <v>6589.37</v>
      </c>
      <c r="W906" s="12">
        <v>7629.84</v>
      </c>
      <c r="X906" s="11">
        <v>5376.17</v>
      </c>
      <c r="Y906" s="11">
        <v>1109.19</v>
      </c>
      <c r="Z906" s="11">
        <f>ROUND(W906-X906,2)</f>
        <v>2253.67</v>
      </c>
      <c r="AA906" s="4">
        <f>IF(W906=0,0,Z906/W906)</f>
        <v>0.29537578769672757</v>
      </c>
      <c r="AB906" t="s">
        <v>151</v>
      </c>
      <c r="AC906" t="s">
        <v>32</v>
      </c>
      <c r="AD906" t="str">
        <f>IF(AND(E906="", T906&gt;=0, T906&lt;=0.5, K906&lt;&gt;"Unknown", Q906&lt;&gt;"Unknown"), "CLEAN", _xlfn.CONCAT("WARNING: ", IF(E906&lt;&gt;"","invalid_date",""), IF(T906&lt;0,"negative_discount",""), IF(AND(T906&gt;0.5,T906&lt;=1),"high_discount",""), IF(K906="Unknown","missing_region",""), IF(Q906="Unknown","missing_ship_mode","")))</f>
        <v>CLEAN</v>
      </c>
      <c r="AE906" t="str">
        <f>IF(COUNTIF($AF$2:$AF$926,AF906)&gt;1,"DUPLICATE","UNIQUE")</f>
        <v>UNIQUE</v>
      </c>
      <c r="AF906" t="str">
        <f>A906&amp;"|"&amp;B906&amp;"|"&amp;H906&amp;"|"&amp;I906&amp;"|"&amp;R906&amp;"|"&amp;S906&amp;"|"&amp;V906</f>
        <v>ORD-2025-10315|2025-05-18|CUST-1945|Isha Nair|9|847.76|6589.37</v>
      </c>
      <c r="AG906" t="str">
        <f>IF(COUNTIF($A$2:$A$913,A906)&gt;1,"TRUE","FALSE")</f>
        <v>TRUE</v>
      </c>
    </row>
    <row r="907" spans="1:33">
      <c r="A907" t="s">
        <v>3045</v>
      </c>
      <c r="B907" t="s">
        <v>1695</v>
      </c>
      <c r="C907" t="s">
        <v>2912</v>
      </c>
      <c r="D907">
        <f>IF(OR(B907="", C907=""), "", (C907 - B907))</f>
        <v>68</v>
      </c>
      <c r="E907" t="str">
        <f>IF(C907&lt;B907, "INVALID: Ship date before order date", "")</f>
        <v/>
      </c>
      <c r="F907" t="str">
        <f>IF(B907="", "", TEXT(B907, "mmmm"))</f>
        <v>July</v>
      </c>
      <c r="G907">
        <f>IF(B907="", "", YEAR(B907))</f>
        <v>2025</v>
      </c>
      <c r="H907" t="s">
        <v>619</v>
      </c>
      <c r="I907" t="s">
        <v>139</v>
      </c>
      <c r="J907" t="s">
        <v>89</v>
      </c>
      <c r="K907" t="s">
        <v>37</v>
      </c>
      <c r="L907" t="s">
        <v>142</v>
      </c>
      <c r="M907" t="s">
        <v>143</v>
      </c>
      <c r="N907" t="s">
        <v>74</v>
      </c>
      <c r="O907" t="s">
        <v>79</v>
      </c>
      <c r="P907" t="s">
        <v>620</v>
      </c>
      <c r="Q907" t="s">
        <v>58</v>
      </c>
      <c r="R907">
        <v>3</v>
      </c>
      <c r="S907" s="15">
        <v>1711.32</v>
      </c>
      <c r="T907" s="4">
        <v>0</v>
      </c>
      <c r="U907" s="3" t="str">
        <f>IF(T907&lt;0, "negative_discount", IF(AND(T907&gt;0.5, T907&lt;=1), "high_discount", ""))</f>
        <v/>
      </c>
      <c r="V907" s="11">
        <v>5206.53</v>
      </c>
      <c r="W907" s="12">
        <v>5133.96</v>
      </c>
      <c r="X907" s="11">
        <v>3930</v>
      </c>
      <c r="Y907" s="11">
        <v>1203.96</v>
      </c>
      <c r="Z907" s="11">
        <f>ROUND(W907-X907,2)</f>
        <v>1203.96</v>
      </c>
      <c r="AA907" s="4">
        <f>IF(W907=0,0,Z907/W907)</f>
        <v>0.23450903396208775</v>
      </c>
      <c r="AB907" t="s">
        <v>31</v>
      </c>
      <c r="AC907" t="s">
        <v>100</v>
      </c>
      <c r="AD907" t="str">
        <f>IF(AND(E907="", T907&gt;=0, T907&lt;=0.5, K907&lt;&gt;"Unknown", Q907&lt;&gt;"Unknown"), "CLEAN", _xlfn.CONCAT("WARNING: ", IF(E907&lt;&gt;"","invalid_date",""), IF(T907&lt;0,"negative_discount",""), IF(AND(T907&gt;0.5,T907&lt;=1),"high_discount",""), IF(K907="Unknown","missing_region",""), IF(Q907="Unknown","missing_ship_mode","")))</f>
        <v>CLEAN</v>
      </c>
      <c r="AE907" t="str">
        <f>IF(COUNTIF($AF$2:$AF$926,AF907)&gt;1,"DUPLICATE","UNIQUE")</f>
        <v>UNIQUE</v>
      </c>
      <c r="AF907" t="str">
        <f>A907&amp;"|"&amp;B907&amp;"|"&amp;H907&amp;"|"&amp;I907&amp;"|"&amp;R907&amp;"|"&amp;S907&amp;"|"&amp;V907</f>
        <v>ORD-2025-10171|2025-07-09|CUST-3734|Rohan Mehta|3|1711.32|5206.53</v>
      </c>
      <c r="AG907" t="str">
        <f>IF(COUNTIF($A$2:$A$913,A907)&gt;1,"TRUE","FALSE")</f>
        <v>TRUE</v>
      </c>
    </row>
    <row r="908" spans="1:33">
      <c r="A908" t="s">
        <v>1341</v>
      </c>
      <c r="B908" t="s">
        <v>1342</v>
      </c>
      <c r="C908" t="s">
        <v>1727</v>
      </c>
      <c r="D908">
        <f>IF(OR(B908="", C908=""), "", (C908 - B908))</f>
        <v>7</v>
      </c>
      <c r="E908" t="str">
        <f>IF(C908&lt;B908, "INVALID: Ship date before order date", "")</f>
        <v/>
      </c>
      <c r="F908" t="str">
        <f>IF(B908="", "", TEXT(B908, "mmmm"))</f>
        <v>February</v>
      </c>
      <c r="G908">
        <f>IF(B908="", "", YEAR(B908))</f>
        <v>2024</v>
      </c>
      <c r="H908" t="s">
        <v>1343</v>
      </c>
      <c r="I908" t="s">
        <v>158</v>
      </c>
      <c r="J908" t="s">
        <v>23</v>
      </c>
      <c r="K908" t="s">
        <v>53</v>
      </c>
      <c r="L908" t="s">
        <v>180</v>
      </c>
      <c r="M908" t="s">
        <v>181</v>
      </c>
      <c r="N908" t="s">
        <v>74</v>
      </c>
      <c r="O908" t="s">
        <v>75</v>
      </c>
      <c r="P908" t="s">
        <v>1344</v>
      </c>
      <c r="Q908" t="s">
        <v>49</v>
      </c>
      <c r="R908">
        <v>9</v>
      </c>
      <c r="S908" s="15">
        <v>3779.31</v>
      </c>
      <c r="T908" s="4">
        <v>0</v>
      </c>
      <c r="U908" s="3" t="str">
        <f>IF(T908&lt;0, "negative_discount", IF(AND(T908&gt;0.5, T908&lt;=1), "high_discount", ""))</f>
        <v/>
      </c>
      <c r="V908" s="11">
        <v>27322.9</v>
      </c>
      <c r="W908" s="12">
        <v>34013.79</v>
      </c>
      <c r="X908" s="11">
        <v>17940.43</v>
      </c>
      <c r="Y908" s="11">
        <v>9270.6</v>
      </c>
      <c r="Z908" s="11">
        <f>ROUND(W908-X908,2)</f>
        <v>16073.36</v>
      </c>
      <c r="AA908" s="4">
        <f>IF(W908=0,0,Z908/W908)</f>
        <v>0.47255421992080271</v>
      </c>
      <c r="AB908" t="s">
        <v>31</v>
      </c>
      <c r="AC908" t="s">
        <v>100</v>
      </c>
      <c r="AD908" t="str">
        <f>IF(AND(E908="", T908&gt;=0, T908&lt;=0.5, K908&lt;&gt;"Unknown", Q908&lt;&gt;"Unknown"), "CLEAN", _xlfn.CONCAT("WARNING: ", IF(E908&lt;&gt;"","invalid_date",""), IF(T908&lt;0,"negative_discount",""), IF(AND(T908&gt;0.5,T908&lt;=1),"high_discount",""), IF(K908="Unknown","missing_region",""), IF(Q908="Unknown","missing_ship_mode","")))</f>
        <v>CLEAN</v>
      </c>
      <c r="AE908" t="str">
        <f>IF(COUNTIF($AF$2:$AF$926,AF908)&gt;1,"DUPLICATE","UNIQUE")</f>
        <v>UNIQUE</v>
      </c>
      <c r="AF908" t="str">
        <f>A908&amp;"|"&amp;B908&amp;"|"&amp;H908&amp;"|"&amp;I908&amp;"|"&amp;R908&amp;"|"&amp;S908&amp;"|"&amp;V908</f>
        <v>ORD-2024-10424|2024-02-20|CUST-6169|Diya Patel|9|3779.31|27322.9</v>
      </c>
      <c r="AG908" t="str">
        <f>IF(COUNTIF($A$2:$A$913,A908)&gt;1,"TRUE","FALSE")</f>
        <v>TRUE</v>
      </c>
    </row>
    <row r="909" spans="1:33">
      <c r="A909" t="s">
        <v>3231</v>
      </c>
      <c r="B909" t="s">
        <v>2759</v>
      </c>
      <c r="C909" t="s">
        <v>1785</v>
      </c>
      <c r="D909">
        <f>IF(OR(B909="", C909=""), "", (C909 - B909))</f>
        <v>4</v>
      </c>
      <c r="E909" t="str">
        <f>IF(C909&lt;B909, "INVALID: Ship date before order date", "")</f>
        <v/>
      </c>
      <c r="F909" t="str">
        <f>IF(B909="", "", TEXT(B909, "mmmm"))</f>
        <v>February</v>
      </c>
      <c r="G909">
        <f>IF(B909="", "", YEAR(B909))</f>
        <v>2025</v>
      </c>
      <c r="H909" t="s">
        <v>1786</v>
      </c>
      <c r="I909" t="s">
        <v>112</v>
      </c>
      <c r="J909" t="s">
        <v>36</v>
      </c>
      <c r="K909" t="s">
        <v>24</v>
      </c>
      <c r="L909" t="s">
        <v>134</v>
      </c>
      <c r="M909" t="s">
        <v>135</v>
      </c>
      <c r="N909" t="s">
        <v>74</v>
      </c>
      <c r="O909" t="s">
        <v>168</v>
      </c>
      <c r="P909" t="s">
        <v>1787</v>
      </c>
      <c r="Q909" t="s">
        <v>2970</v>
      </c>
      <c r="R909">
        <v>5</v>
      </c>
      <c r="S909" s="15">
        <v>4276.29</v>
      </c>
      <c r="T909" s="4">
        <v>0</v>
      </c>
      <c r="U909" s="3" t="str">
        <f>IF(T909&lt;0, "negative_discount", IF(AND(T909&gt;0.5, T909&lt;=1), "high_discount", ""))</f>
        <v/>
      </c>
      <c r="V909" s="11">
        <v>21443.63</v>
      </c>
      <c r="W909" s="12">
        <v>21381.45</v>
      </c>
      <c r="X909" s="11">
        <v>13240.21</v>
      </c>
      <c r="Y909" s="11">
        <v>8141.24</v>
      </c>
      <c r="Z909" s="11">
        <f>ROUND(W909-X909,2)</f>
        <v>8141.24</v>
      </c>
      <c r="AA909" s="4">
        <f>IF(W909=0,0,Z909/W909)</f>
        <v>0.38076182859441243</v>
      </c>
      <c r="AB909" t="s">
        <v>151</v>
      </c>
      <c r="AC909" t="s">
        <v>32</v>
      </c>
      <c r="AD909" t="str">
        <f>IF(AND(E909="", T909&gt;=0, T909&lt;=0.5, K909&lt;&gt;"Unknown", Q909&lt;&gt;"Unknown"), "CLEAN", _xlfn.CONCAT("WARNING: ", IF(E909&lt;&gt;"","invalid_date",""), IF(T909&lt;0,"negative_discount",""), IF(AND(T909&gt;0.5,T909&lt;=1),"high_discount",""), IF(K909="Unknown","missing_region",""), IF(Q909="Unknown","missing_ship_mode","")))</f>
        <v>WARNING: missing_ship_mode</v>
      </c>
      <c r="AE909" t="str">
        <f>IF(COUNTIF($AF$2:$AF$926,AF909)&gt;1,"DUPLICATE","UNIQUE")</f>
        <v>UNIQUE</v>
      </c>
      <c r="AF909" t="str">
        <f>A909&amp;"|"&amp;B909&amp;"|"&amp;H909&amp;"|"&amp;I909&amp;"|"&amp;R909&amp;"|"&amp;S909&amp;"|"&amp;V909</f>
        <v>ORD-2025-10572|2025-02-10|CUST-3425|Priya Menon|5|4276.29|21443.63</v>
      </c>
      <c r="AG909" t="str">
        <f>IF(COUNTIF($A$2:$A$913,A909)&gt;1,"TRUE","FALSE")</f>
        <v>TRUE</v>
      </c>
    </row>
    <row r="910" spans="1:33">
      <c r="A910" t="s">
        <v>540</v>
      </c>
      <c r="B910" t="s">
        <v>714</v>
      </c>
      <c r="C910" t="s">
        <v>544</v>
      </c>
      <c r="D910">
        <f>IF(OR(B910="", C910=""), "", (C910 - B910))</f>
        <v>-4</v>
      </c>
      <c r="E910" t="str">
        <f>IF(C910&lt;B910, "INVALID: Ship date before order date", "")</f>
        <v>INVALID: Ship date before order date</v>
      </c>
      <c r="F910" t="str">
        <f>IF(B910="", "", TEXT(B910, "mmmm"))</f>
        <v>March</v>
      </c>
      <c r="G910">
        <f>IF(B910="", "", YEAR(B910))</f>
        <v>2024</v>
      </c>
      <c r="H910" t="s">
        <v>541</v>
      </c>
      <c r="I910" t="s">
        <v>88</v>
      </c>
      <c r="J910" t="s">
        <v>93</v>
      </c>
      <c r="K910" t="s">
        <v>24</v>
      </c>
      <c r="L910" t="s">
        <v>25</v>
      </c>
      <c r="M910" t="s">
        <v>26</v>
      </c>
      <c r="N910" t="s">
        <v>74</v>
      </c>
      <c r="O910" t="s">
        <v>168</v>
      </c>
      <c r="P910" t="s">
        <v>542</v>
      </c>
      <c r="Q910" t="s">
        <v>30</v>
      </c>
      <c r="R910">
        <v>5</v>
      </c>
      <c r="S910" s="15">
        <v>907.54</v>
      </c>
      <c r="T910" s="4">
        <v>0</v>
      </c>
      <c r="U910" s="3" t="str">
        <f>IF(T910&lt;0, "negative_discount", IF(AND(T910&gt;0.5, T910&lt;=1), "high_discount", ""))</f>
        <v/>
      </c>
      <c r="V910" s="11">
        <v>4099.6899999999996</v>
      </c>
      <c r="W910" s="12">
        <v>4537.7</v>
      </c>
      <c r="X910" s="11">
        <v>2769.26</v>
      </c>
      <c r="Y910" s="11">
        <v>1087.78</v>
      </c>
      <c r="Z910" s="11">
        <f>ROUND(W910-X910,2)</f>
        <v>1768.44</v>
      </c>
      <c r="AA910" s="4">
        <f>IF(W910=0,0,Z910/W910)</f>
        <v>0.38972166516076429</v>
      </c>
      <c r="AB910" t="s">
        <v>31</v>
      </c>
      <c r="AC910" t="s">
        <v>100</v>
      </c>
      <c r="AD910" t="str">
        <f>IF(AND(E910="", T910&gt;=0, T910&lt;=0.5, K910&lt;&gt;"Unknown", Q910&lt;&gt;"Unknown"), "CLEAN", _xlfn.CONCAT("WARNING: ", IF(E910&lt;&gt;"","invalid_date",""), IF(T910&lt;0,"negative_discount",""), IF(AND(T910&gt;0.5,T910&lt;=1),"high_discount",""), IF(K910="Unknown","missing_region",""), IF(Q910="Unknown","missing_ship_mode","")))</f>
        <v>WARNING: invalid_date</v>
      </c>
      <c r="AE910" t="str">
        <f>IF(COUNTIF($AF$2:$AF$926,AF910)&gt;1,"DUPLICATE","UNIQUE")</f>
        <v>UNIQUE</v>
      </c>
      <c r="AF910" t="str">
        <f>A910&amp;"|"&amp;B910&amp;"|"&amp;H910&amp;"|"&amp;I910&amp;"|"&amp;R910&amp;"|"&amp;S910&amp;"|"&amp;V910</f>
        <v>ORD-2024-10143|2024-03-30|CUST-8944|Aditi Sen|5|907.54|4099.69</v>
      </c>
      <c r="AG910" t="str">
        <f>IF(COUNTIF($A$2:$A$913,A910)&gt;1,"TRUE","FALSE")</f>
        <v>TRUE</v>
      </c>
    </row>
    <row r="911" spans="1:33">
      <c r="A911" t="s">
        <v>912</v>
      </c>
      <c r="B911" t="s">
        <v>475</v>
      </c>
      <c r="C911" t="s">
        <v>832</v>
      </c>
      <c r="D911">
        <f>IF(OR(B911="", C911=""), "", (C911 - B911))</f>
        <v>6</v>
      </c>
      <c r="E911" t="str">
        <f>IF(C911&lt;B911, "INVALID: Ship date before order date", "")</f>
        <v/>
      </c>
      <c r="F911" t="str">
        <f>IF(B911="", "", TEXT(B911, "mmmm"))</f>
        <v>August</v>
      </c>
      <c r="G911">
        <f>IF(B911="", "", YEAR(B911))</f>
        <v>2024</v>
      </c>
      <c r="H911" t="s">
        <v>913</v>
      </c>
      <c r="I911" t="s">
        <v>52</v>
      </c>
      <c r="J911" t="s">
        <v>23</v>
      </c>
      <c r="K911" t="s">
        <v>53</v>
      </c>
      <c r="L911" t="s">
        <v>83</v>
      </c>
      <c r="M911" t="s">
        <v>84</v>
      </c>
      <c r="N911" t="s">
        <v>40</v>
      </c>
      <c r="O911" t="s">
        <v>65</v>
      </c>
      <c r="P911" t="s">
        <v>914</v>
      </c>
      <c r="Q911" t="s">
        <v>49</v>
      </c>
      <c r="R911">
        <v>7</v>
      </c>
      <c r="S911" s="15">
        <v>557.21</v>
      </c>
      <c r="T911" s="4">
        <v>0</v>
      </c>
      <c r="U911" s="3" t="str">
        <f>IF(T911&lt;0, "negative_discount", IF(AND(T911&gt;0.5, T911&lt;=1), "high_discount", ""))</f>
        <v/>
      </c>
      <c r="V911" s="11">
        <v>3797.79</v>
      </c>
      <c r="W911" s="12">
        <v>3900.47</v>
      </c>
      <c r="X911" s="11">
        <v>2191.5</v>
      </c>
      <c r="Y911" s="11">
        <v>1213.48</v>
      </c>
      <c r="Z911" s="11">
        <f>ROUND(W911-X911,2)</f>
        <v>1708.97</v>
      </c>
      <c r="AA911" s="4">
        <f>IF(W911=0,0,Z911/W911)</f>
        <v>0.4381446338518179</v>
      </c>
      <c r="AB911" t="s">
        <v>31</v>
      </c>
      <c r="AC911" t="s">
        <v>100</v>
      </c>
      <c r="AD911" t="str">
        <f>IF(AND(E911="", T911&gt;=0, T911&lt;=0.5, K911&lt;&gt;"Unknown", Q911&lt;&gt;"Unknown"), "CLEAN", _xlfn.CONCAT("WARNING: ", IF(E911&lt;&gt;"","invalid_date",""), IF(T911&lt;0,"negative_discount",""), IF(AND(T911&gt;0.5,T911&lt;=1),"high_discount",""), IF(K911="Unknown","missing_region",""), IF(Q911="Unknown","missing_ship_mode","")))</f>
        <v>CLEAN</v>
      </c>
      <c r="AE911" t="str">
        <f>IF(COUNTIF($AF$2:$AF$926,AF911)&gt;1,"DUPLICATE","UNIQUE")</f>
        <v>UNIQUE</v>
      </c>
      <c r="AF911" t="str">
        <f>A911&amp;"|"&amp;B911&amp;"|"&amp;H911&amp;"|"&amp;I911&amp;"|"&amp;R911&amp;"|"&amp;S911&amp;"|"&amp;V911</f>
        <v>ORD-2024-10273|2024-08-18|CUST-7389|Arjun Bose|7|557.21|3797.79</v>
      </c>
      <c r="AG911" t="str">
        <f>IF(COUNTIF($A$2:$A$913,A911)&gt;1,"TRUE","FALSE")</f>
        <v>TRUE</v>
      </c>
    </row>
    <row r="912" spans="1:33">
      <c r="A912" t="s">
        <v>483</v>
      </c>
      <c r="B912" t="s">
        <v>69</v>
      </c>
      <c r="C912" t="s">
        <v>1958</v>
      </c>
      <c r="D912">
        <f>IF(OR(B912="", C912=""), "", (C912 - B912))</f>
        <v>1</v>
      </c>
      <c r="E912" t="str">
        <f>IF(C912&lt;B912, "INVALID: Ship date before order date", "")</f>
        <v/>
      </c>
      <c r="F912" t="str">
        <f>IF(B912="", "", TEXT(B912, "mmmm"))</f>
        <v>May</v>
      </c>
      <c r="G912">
        <f>IF(B912="", "", YEAR(B912))</f>
        <v>2024</v>
      </c>
      <c r="H912" t="s">
        <v>484</v>
      </c>
      <c r="I912" t="s">
        <v>131</v>
      </c>
      <c r="J912" t="s">
        <v>36</v>
      </c>
      <c r="K912" t="s">
        <v>24</v>
      </c>
      <c r="L912" t="s">
        <v>120</v>
      </c>
      <c r="M912" t="s">
        <v>121</v>
      </c>
      <c r="N912" t="s">
        <v>74</v>
      </c>
      <c r="O912" t="s">
        <v>79</v>
      </c>
      <c r="P912" t="s">
        <v>485</v>
      </c>
      <c r="Q912" t="s">
        <v>43</v>
      </c>
      <c r="R912">
        <v>1</v>
      </c>
      <c r="S912" s="15">
        <v>634.13</v>
      </c>
      <c r="T912" s="4">
        <v>0</v>
      </c>
      <c r="U912" s="3" t="str">
        <f>IF(T912&lt;0, "negative_discount", IF(AND(T912&gt;0.5, T912&lt;=1), "high_discount", ""))</f>
        <v/>
      </c>
      <c r="V912" s="11">
        <v>808.67</v>
      </c>
      <c r="W912" s="12">
        <v>634.13</v>
      </c>
      <c r="X912" s="11">
        <v>453.35</v>
      </c>
      <c r="Y912" s="11">
        <v>180.78</v>
      </c>
      <c r="Z912" s="11">
        <f>ROUND(W912-X912,2)</f>
        <v>180.78</v>
      </c>
      <c r="AA912" s="4">
        <f>IF(W912=0,0,Z912/W912)</f>
        <v>0.28508350022865975</v>
      </c>
      <c r="AB912" t="s">
        <v>99</v>
      </c>
      <c r="AC912" t="s">
        <v>100</v>
      </c>
      <c r="AD912" t="str">
        <f>IF(AND(E912="", T912&gt;=0, T912&lt;=0.5, K912&lt;&gt;"Unknown", Q912&lt;&gt;"Unknown"), "CLEAN", _xlfn.CONCAT("WARNING: ", IF(E912&lt;&gt;"","invalid_date",""), IF(T912&lt;0,"negative_discount",""), IF(AND(T912&gt;0.5,T912&lt;=1),"high_discount",""), IF(K912="Unknown","missing_region",""), IF(Q912="Unknown","missing_ship_mode","")))</f>
        <v>CLEAN</v>
      </c>
      <c r="AE912" t="str">
        <f>IF(COUNTIF($AF$2:$AF$926,AF912)&gt;1,"DUPLICATE","UNIQUE")</f>
        <v>UNIQUE</v>
      </c>
      <c r="AF912" t="str">
        <f>A912&amp;"|"&amp;B912&amp;"|"&amp;H912&amp;"|"&amp;I912&amp;"|"&amp;R912&amp;"|"&amp;S912&amp;"|"&amp;V912</f>
        <v>ORD-2024-10124|2024-05-24|CUST-1007|Sneha Kapoor|1|634.13|808.67</v>
      </c>
      <c r="AG912" t="str">
        <f>IF(COUNTIF($A$2:$A$913,A912)&gt;1,"TRUE","FALSE")</f>
        <v>TRUE</v>
      </c>
    </row>
    <row r="913" spans="1:34">
      <c r="A913" t="s">
        <v>3122</v>
      </c>
      <c r="B913" t="s">
        <v>2778</v>
      </c>
      <c r="C913" t="s">
        <v>2757</v>
      </c>
      <c r="D913">
        <f>IF(OR(B913="", C913=""), "", (C913 - B913))</f>
        <v>2</v>
      </c>
      <c r="E913" t="str">
        <f>IF(C913&lt;B913, "INVALID: Ship date before order date", "")</f>
        <v/>
      </c>
      <c r="F913" t="str">
        <f>IF(B913="", "", TEXT(B913, "mmmm"))</f>
        <v>June</v>
      </c>
      <c r="G913">
        <f>IF(B913="", "", YEAR(B913))</f>
        <v>2025</v>
      </c>
      <c r="H913" t="s">
        <v>1097</v>
      </c>
      <c r="I913" t="s">
        <v>116</v>
      </c>
      <c r="J913" t="s">
        <v>93</v>
      </c>
      <c r="K913" t="s">
        <v>62</v>
      </c>
      <c r="L913" t="s">
        <v>72</v>
      </c>
      <c r="M913" t="s">
        <v>73</v>
      </c>
      <c r="N913" t="s">
        <v>27</v>
      </c>
      <c r="O913" t="s">
        <v>28</v>
      </c>
      <c r="P913" t="s">
        <v>1098</v>
      </c>
      <c r="Q913" t="s">
        <v>49</v>
      </c>
      <c r="R913">
        <v>3</v>
      </c>
      <c r="S913" s="15">
        <v>4289.37</v>
      </c>
      <c r="T913" s="4">
        <v>0</v>
      </c>
      <c r="U913" s="3" t="str">
        <f>IF(T913&lt;0, "negative_discount", IF(AND(T913&gt;0.5, T913&lt;=1), "high_discount", ""))</f>
        <v/>
      </c>
      <c r="V913" s="11">
        <v>11778.71</v>
      </c>
      <c r="W913" s="12">
        <v>12868.11</v>
      </c>
      <c r="X913" s="11">
        <v>6829.43</v>
      </c>
      <c r="Y913" s="11">
        <v>4751.87</v>
      </c>
      <c r="Z913" s="11">
        <f>ROUND(W913-X913,2)</f>
        <v>6038.68</v>
      </c>
      <c r="AA913" s="4">
        <f>IF(W913=0,0,Z913/W913)</f>
        <v>0.46927481968991563</v>
      </c>
      <c r="AB913" t="s">
        <v>31</v>
      </c>
      <c r="AC913" t="s">
        <v>100</v>
      </c>
      <c r="AD913" t="str">
        <f>IF(AND(E913="", T913&gt;=0, T913&lt;=0.5, K913&lt;&gt;"Unknown", Q913&lt;&gt;"Unknown"), "CLEAN", _xlfn.CONCAT("WARNING: ", IF(E913&lt;&gt;"","invalid_date",""), IF(T913&lt;0,"negative_discount",""), IF(AND(T913&gt;0.5,T913&lt;=1),"high_discount",""), IF(K913="Unknown","missing_region",""), IF(Q913="Unknown","missing_ship_mode","")))</f>
        <v>CLEAN</v>
      </c>
      <c r="AE913" t="str">
        <f>IF(COUNTIF($AF$2:$AF$926,AF913)&gt;1,"DUPLICATE","UNIQUE")</f>
        <v>UNIQUE</v>
      </c>
      <c r="AF913" t="str">
        <f>A913&amp;"|"&amp;B913&amp;"|"&amp;H913&amp;"|"&amp;I913&amp;"|"&amp;R913&amp;"|"&amp;S913&amp;"|"&amp;V913</f>
        <v>ORD-2025-10336|2025-06-16|CUST-3621|Rahul Verma|3|4289.37|11778.71</v>
      </c>
      <c r="AG913" t="str">
        <f>IF(COUNTIF($A$2:$A$913,A913)&gt;1,"TRUE","FALSE")</f>
        <v>TRUE</v>
      </c>
      <c r="AH913">
        <f>COUNTIFS(AG2:AG913,"TRUE")</f>
        <v>0</v>
      </c>
    </row>
    <row r="914" spans="1:34">
      <c r="T914"/>
      <c r="AH914">
        <f>COUNTIF(AG2:AG913,"*TRUE*")</f>
        <v>24</v>
      </c>
    </row>
    <row r="915" spans="1:34">
      <c r="T915"/>
    </row>
    <row r="916" spans="1:34" ht="16" customHeight="1">
      <c r="T916"/>
    </row>
    <row r="917" spans="1:34">
      <c r="T917"/>
    </row>
    <row r="918" spans="1:34">
      <c r="T918"/>
    </row>
    <row r="919" spans="1:34">
      <c r="T919"/>
    </row>
    <row r="920" spans="1:34">
      <c r="T920"/>
    </row>
    <row r="921" spans="1:34">
      <c r="T921"/>
    </row>
    <row r="922" spans="1:34">
      <c r="T922"/>
    </row>
    <row r="923" spans="1:34">
      <c r="T923"/>
    </row>
    <row r="924" spans="1:34">
      <c r="T924"/>
    </row>
    <row r="925" spans="1:34">
      <c r="T925"/>
    </row>
    <row r="926" spans="1:34">
      <c r="T926"/>
    </row>
    <row r="927" spans="1:34">
      <c r="AA927" s="4"/>
    </row>
    <row r="928" spans="1:34">
      <c r="AA928" s="4"/>
    </row>
    <row r="929" spans="1:27">
      <c r="A929" t="str">
        <f>E8</f>
        <v/>
      </c>
      <c r="AA929" s="4"/>
    </row>
    <row r="930" spans="1:27">
      <c r="AA930" s="4"/>
    </row>
    <row r="946" spans="33:33" ht="16">
      <c r="AG946" s="8" t="s">
        <v>0</v>
      </c>
    </row>
    <row r="947" spans="33:33">
      <c r="AG947" t="s">
        <v>2974</v>
      </c>
    </row>
    <row r="948" spans="33:33" ht="16">
      <c r="AG948" s="9" t="s">
        <v>3007</v>
      </c>
    </row>
    <row r="949" spans="33:33">
      <c r="AG949" t="s">
        <v>483</v>
      </c>
    </row>
    <row r="950" spans="33:33">
      <c r="AG950" t="s">
        <v>540</v>
      </c>
    </row>
    <row r="951" spans="33:33">
      <c r="AG951" t="s">
        <v>3045</v>
      </c>
    </row>
    <row r="952" spans="33:33">
      <c r="AG952" t="s">
        <v>3073</v>
      </c>
    </row>
    <row r="953" spans="33:33">
      <c r="AG953" t="s">
        <v>849</v>
      </c>
    </row>
    <row r="954" spans="33:33">
      <c r="AG954" t="s">
        <v>912</v>
      </c>
    </row>
    <row r="955" spans="33:33">
      <c r="AG955" t="s">
        <v>3113</v>
      </c>
    </row>
    <row r="956" spans="33:33">
      <c r="AG956" t="s">
        <v>1084</v>
      </c>
    </row>
    <row r="957" spans="33:33">
      <c r="AG957" t="s">
        <v>3122</v>
      </c>
    </row>
    <row r="958" spans="33:33">
      <c r="AG958" t="s">
        <v>3142</v>
      </c>
    </row>
    <row r="959" spans="33:33">
      <c r="AG959" t="s">
        <v>1341</v>
      </c>
    </row>
    <row r="960" spans="33:33">
      <c r="AG960" t="s">
        <v>3221</v>
      </c>
    </row>
    <row r="961" spans="33:33">
      <c r="AG961" t="s">
        <v>3231</v>
      </c>
    </row>
    <row r="962" spans="33:33">
      <c r="AG962" t="s">
        <v>849</v>
      </c>
    </row>
    <row r="963" spans="33:33">
      <c r="AG963" t="s">
        <v>3221</v>
      </c>
    </row>
    <row r="964" spans="33:33">
      <c r="AG964" t="s">
        <v>2974</v>
      </c>
    </row>
    <row r="965" spans="33:33">
      <c r="AG965" t="s">
        <v>1084</v>
      </c>
    </row>
    <row r="966" spans="33:33" ht="16">
      <c r="AG966" s="9" t="s">
        <v>3007</v>
      </c>
    </row>
    <row r="967" spans="33:33">
      <c r="AG967" t="s">
        <v>3142</v>
      </c>
    </row>
    <row r="968" spans="33:33">
      <c r="AG968" t="s">
        <v>3073</v>
      </c>
    </row>
    <row r="969" spans="33:33">
      <c r="AG969" t="s">
        <v>3113</v>
      </c>
    </row>
    <row r="970" spans="33:33">
      <c r="AG970" t="s">
        <v>3045</v>
      </c>
    </row>
    <row r="971" spans="33:33">
      <c r="AG971" t="s">
        <v>1341</v>
      </c>
    </row>
    <row r="972" spans="33:33">
      <c r="AG972" t="s">
        <v>3231</v>
      </c>
    </row>
    <row r="973" spans="33:33">
      <c r="AG973" t="s">
        <v>540</v>
      </c>
    </row>
    <row r="974" spans="33:33">
      <c r="AG974" t="s">
        <v>912</v>
      </c>
    </row>
    <row r="975" spans="33:33">
      <c r="AG975" t="s">
        <v>483</v>
      </c>
    </row>
    <row r="976" spans="33:33">
      <c r="AG976" t="s">
        <v>3122</v>
      </c>
    </row>
  </sheetData>
  <phoneticPr fontId="3" type="noConversion"/>
  <conditionalFormatting sqref="AD927:AD1048576 AD1:AD913">
    <cfRule type="containsText" dxfId="1" priority="1" operator="containsText" text="WARNING">
      <formula>NOT(ISERROR(SEARCH("WARNING",AD1)))</formula>
    </cfRule>
    <cfRule type="containsText" dxfId="0" priority="2" operator="containsText" text="CLEAN">
      <formula>NOT(ISERROR(SEARCH("CLEAN",AD1)))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Yogesh Choudhari</cp:lastModifiedBy>
  <dcterms:created xsi:type="dcterms:W3CDTF">2026-06-19T03:47:53Z</dcterms:created>
  <dcterms:modified xsi:type="dcterms:W3CDTF">2026-06-20T07:07:48Z</dcterms:modified>
</cp:coreProperties>
</file>